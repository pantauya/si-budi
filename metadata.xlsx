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210" sheetId="1" r:id="rId4"/>
    <sheet state="visible" name="Kertas Kerja" sheetId="2" r:id="rId5"/>
    <sheet state="visible" name="Pembagian Tugas" sheetId="3" r:id="rId6"/>
    <sheet state="visible" name="Kamus Ruta" sheetId="4" r:id="rId7"/>
    <sheet state="visible" name="Kamus SPV" sheetId="5" r:id="rId8"/>
    <sheet state="visible" name="Kamus Usaha-Bisnis" sheetId="6" r:id="rId9"/>
    <sheet state="visible" name="Kamus Usaha-Ruta" sheetId="7" r:id="rId10"/>
    <sheet state="visible" name="Kamus Harga" sheetId="8" r:id="rId11"/>
    <sheet state="visible" name="Kamus Area" sheetId="9" r:id="rId12"/>
    <sheet state="visible" name="Kamus Kompromin" sheetId="10" r:id="rId13"/>
    <sheet state="visible" name="Dukman Prov" sheetId="11" r:id="rId14"/>
    <sheet state="visible" name="Dukman Kako" sheetId="12" r:id="rId15"/>
    <sheet state="visible" name="Kamus Uraian Pekerjaan" sheetId="13" r:id="rId16"/>
  </sheets>
  <definedNames>
    <definedName hidden="1" localSheetId="0" name="_xlnm._FilterDatabase">'7210'!$A$6:$U$381</definedName>
    <definedName hidden="1" localSheetId="1" name="_xlnm._FilterDatabase">'Kertas Kerja'!$A$6:$U$361</definedName>
    <definedName hidden="1" localSheetId="12" name="_xlnm._FilterDatabase">'Kamus Uraian Pekerjaan'!$A$1:$F$5683</definedName>
  </definedNames>
  <calcPr/>
  <extLst>
    <ext uri="GoogleSheetsCustomDataVersion2">
      <go:sheetsCustomData xmlns:go="http://customooxmlschemas.google.com/" r:id="rId17" roundtripDataChecksum="PkcSEtX2MWKNPaqD//uwRt9OEP2ljs7o3OpE/eRwJNQ="/>
    </ext>
  </extLst>
</workbook>
</file>

<file path=xl/sharedStrings.xml><?xml version="1.0" encoding="utf-8"?>
<sst xmlns="http://schemas.openxmlformats.org/spreadsheetml/2006/main" count="31813" uniqueCount="3341">
  <si>
    <t>Arahan Sestama Pembagian Tugas Invetarisir Rincian Pekerjaan Riil Berdasarkan Bidang RO</t>
  </si>
  <si>
    <t>Uraian Pekerjaan Lv 3</t>
  </si>
  <si>
    <t>Kertas Kerja Analisis Beban Kerja (ABK) berdasarkan RO dan Rincian Pekerjaan</t>
  </si>
  <si>
    <t>Jangan DIHAPUS!!!</t>
  </si>
  <si>
    <t>Unit Organisasi</t>
  </si>
  <si>
    <t xml:space="preserve">- versi: 11 Juli 2026 - </t>
  </si>
  <si>
    <t>RO Bidang</t>
  </si>
  <si>
    <t>Uraian Pekerjaan Lv 4</t>
  </si>
  <si>
    <t>Jenis Jabatan</t>
  </si>
  <si>
    <t>Kondisi</t>
  </si>
  <si>
    <t>Jabatan</t>
  </si>
  <si>
    <t>Jenjang</t>
  </si>
  <si>
    <t>BPS Provinsi Aceh</t>
  </si>
  <si>
    <t>update: perbaikan aktivitas</t>
  </si>
  <si>
    <t>Dukman</t>
  </si>
  <si>
    <t>Menyusun KAK kegiatan</t>
  </si>
  <si>
    <t>Jabatan Pimpinan Tinggi</t>
  </si>
  <si>
    <t>I</t>
  </si>
  <si>
    <t>Kepala</t>
  </si>
  <si>
    <t>Utama</t>
  </si>
  <si>
    <t>BPS Provinsi Sumatera Utara</t>
  </si>
  <si>
    <t>Jabatan Administrasi</t>
  </si>
  <si>
    <t>II</t>
  </si>
  <si>
    <t>Wakil Kepala</t>
  </si>
  <si>
    <t>Madya</t>
  </si>
  <si>
    <t>BPS Provinsi Sumatera Barat</t>
  </si>
  <si>
    <t>Identifikasi Sampel Blok Sensus</t>
  </si>
  <si>
    <t>Menyiapkan kerangka sampel</t>
  </si>
  <si>
    <t>Jabatan Fungsional</t>
  </si>
  <si>
    <t>III</t>
  </si>
  <si>
    <t>Sekretaris Utama</t>
  </si>
  <si>
    <t>Muda</t>
  </si>
  <si>
    <t>: BPS Kabupaten Sigi</t>
  </si>
  <si>
    <t>BPS Provinsi Riau</t>
  </si>
  <si>
    <t>Jabatan Pelaksana</t>
  </si>
  <si>
    <t>Deputi Bidang Metodologi dan Informasi Statistik</t>
  </si>
  <si>
    <t>Pertama</t>
  </si>
  <si>
    <t>BPS Provinsi Jambi</t>
  </si>
  <si>
    <t>Finalisasi kerangka sampel</t>
  </si>
  <si>
    <t>Deputi Bidang Statistik Sosial</t>
  </si>
  <si>
    <t xml:space="preserve">Kegiatan Tahun </t>
  </si>
  <si>
    <t>Penyelia</t>
  </si>
  <si>
    <t xml:space="preserve">: </t>
  </si>
  <si>
    <t>BPS Provinsi Sumatera Selatan</t>
  </si>
  <si>
    <t>Menarik sampel blok sensus</t>
  </si>
  <si>
    <t>Deputi Bidang Statistik Produksi</t>
  </si>
  <si>
    <t>Mahir</t>
  </si>
  <si>
    <t>BPS Provinsi Bengkulu</t>
  </si>
  <si>
    <t>MIS</t>
  </si>
  <si>
    <t>Menganalisis sampel blok sensus</t>
  </si>
  <si>
    <t>Deputi Bidang Statistik Distribusi dan Jasa</t>
  </si>
  <si>
    <t>Terampil</t>
  </si>
  <si>
    <t>BPS Provinsi Lampung</t>
  </si>
  <si>
    <t>Deputi Bidang Neraca dan Analisis Statistik</t>
  </si>
  <si>
    <t>-</t>
  </si>
  <si>
    <t>Pemadanan Jabatan</t>
  </si>
  <si>
    <t>BPS Provinsi Kepulauan Bangka Belitung</t>
  </si>
  <si>
    <t>Inspektur Utama</t>
  </si>
  <si>
    <t>BPS Provinsi Kepulauan Riau</t>
  </si>
  <si>
    <t>Menarik sampel blok sensus pengganti</t>
  </si>
  <si>
    <t>Kepala Pusat Pendidikan dan Pelatihan</t>
  </si>
  <si>
    <t>BPS Provinsi DKI Jakarta</t>
  </si>
  <si>
    <t>Kepala Biro Perencanaan dan Kerja Sama</t>
  </si>
  <si>
    <t>Finalisasi blok sensus terpilih</t>
  </si>
  <si>
    <t>BPS Provinsi Jawa Barat</t>
  </si>
  <si>
    <t>Neraca</t>
  </si>
  <si>
    <t>khusus JF</t>
  </si>
  <si>
    <t>Kepala Biro Keuangan dan Barang Milik Negara</t>
  </si>
  <si>
    <t>Menarik sampel rumah tangga oleh BPS Pusat</t>
  </si>
  <si>
    <t>BPS Provinsi Jawa Tengah</t>
  </si>
  <si>
    <t>Kepala Biro Sumber Daya Manusia</t>
  </si>
  <si>
    <t>Kode Unor
(diisi untuk RO yang dikerjakan)</t>
  </si>
  <si>
    <t>Mengirim sampel rumah tangga ke BPS Daerah</t>
  </si>
  <si>
    <t>BPS Provinsi D I Yogyakarta</t>
  </si>
  <si>
    <t>Kondisi
I = RO + Aktv. Awal
II = RO Awal + Aktv. Baru
III = RO Baru</t>
  </si>
  <si>
    <t>Bidang</t>
  </si>
  <si>
    <t>RO</t>
  </si>
  <si>
    <t>Aktivitas</t>
  </si>
  <si>
    <t xml:space="preserve">Rincian Pekerjaan </t>
  </si>
  <si>
    <t>Kepala Biro Hukum dan Organisasi</t>
  </si>
  <si>
    <t>Output Rincian Pekerjaan</t>
  </si>
  <si>
    <t>Waktu Penyelesaian Rincian Pekerjaan</t>
  </si>
  <si>
    <t>BPS Provinsi Jawa Timur</t>
  </si>
  <si>
    <t>Volume Rincian Pekerjaan</t>
  </si>
  <si>
    <t>Satuan Output</t>
  </si>
  <si>
    <t>Menarik sampel rumah tangga oleh BPS Daerah</t>
  </si>
  <si>
    <t>Kepala Biro Umum dan Hubungan Masyarakat</t>
  </si>
  <si>
    <t>Jenis Jabatan
(JPT/JA/JF/ Pelaksana)</t>
  </si>
  <si>
    <t>Jabatan
(Nama Jabatan Lengkap)</t>
  </si>
  <si>
    <t>BPS Provinsi Banten</t>
  </si>
  <si>
    <t>Jenjang (khusus JF)</t>
  </si>
  <si>
    <t>Unsur-Sub Unsur (Khusus JF)</t>
  </si>
  <si>
    <t>Padanan Butir JF</t>
  </si>
  <si>
    <t>Hasil Kerja</t>
  </si>
  <si>
    <t>Angka Kredit (Akb)</t>
  </si>
  <si>
    <t>Kepala Bagian Manajemen Risiko dan Dukungan Strategis Pimpinan</t>
  </si>
  <si>
    <t>Konstanta 
(Kt)</t>
  </si>
  <si>
    <t>BPS Provinsi Bali</t>
  </si>
  <si>
    <t>Menyusun alokasi petugas lapangan</t>
  </si>
  <si>
    <t>Waktu Penyelesaian Butir Kegiatan JF (Wpk) 
 Akb/Kt</t>
  </si>
  <si>
    <t>Melihat Kebutuhan Petugas dan instruktur yang dibutuhkan</t>
  </si>
  <si>
    <t>Distribusi-Jasa</t>
  </si>
  <si>
    <t>Volume Kegiatan 
(V)</t>
  </si>
  <si>
    <t xml:space="preserve">Waktu Efektif Penyelesaian Volume Pekerjaan </t>
  </si>
  <si>
    <t>Hari</t>
  </si>
  <si>
    <t>Kebutuhan Pegawai JF</t>
  </si>
  <si>
    <t>Kepala Bagian Pengelolaan Barang Milik Negara</t>
  </si>
  <si>
    <t>Kebutuhan Pegawai (RP)</t>
  </si>
  <si>
    <t>Membandingkan kebutuhan jumlah dan kualifikasi petugas dengan ketersediaan jumlah dan kualifikasi petugas yang masih tersedia</t>
  </si>
  <si>
    <t>BPS Provinsi Nusa Tenggara Barat</t>
  </si>
  <si>
    <t>Produksi</t>
  </si>
  <si>
    <t>Publikasi/Laporan Sensus Pertanian</t>
  </si>
  <si>
    <t>Menyiapkan mekanisme perekrutan petugas dan instruktur sesuai dengan kebutuhan yang belum terpenuhi</t>
  </si>
  <si>
    <t>Analisis Hasil ST2023</t>
  </si>
  <si>
    <t>Tidak ada</t>
  </si>
  <si>
    <t>Kepala Bagian Rumah Tangga</t>
  </si>
  <si>
    <t>BPS Provinsi Nusa Tenggara Timur</t>
  </si>
  <si>
    <t>Kepala Bagian Pengadaan Barang/Jasa</t>
  </si>
  <si>
    <t>BPS Provinsi Kalimantan Barat</t>
  </si>
  <si>
    <t>Menginput biodata petugas dan instruktur baru untuk suvei berjalan dan untuk kebutuhan survei selanjutnya</t>
  </si>
  <si>
    <t>Kepala Bagian Protokol dan Tata Usaha Pimpinan</t>
  </si>
  <si>
    <t>BPS Provinsi Kalimantan Tengah</t>
  </si>
  <si>
    <t>Membuat daftar alokasi petugas</t>
  </si>
  <si>
    <t>Kepala Bagian Umum (Inspektorat Utama)</t>
  </si>
  <si>
    <t>BPS Provinsi Kalimantan Selatan</t>
  </si>
  <si>
    <t>Publikasi/Laporan Sensus Ekonomi</t>
  </si>
  <si>
    <t>Kepala Bagian Umum (Pusat Pendidikan dan Pelatihan)</t>
  </si>
  <si>
    <t>Menyusun draft dokumen kontrak untuk petugas mitra</t>
  </si>
  <si>
    <t>BPS Provinsi Kalimantan Timur</t>
  </si>
  <si>
    <t>Analisis Kegiatan Ekonomi dan Tematik Hasil SE2026</t>
  </si>
  <si>
    <t>Kepala Subbagian Urusan Dalam dan Pemeliharaan Kantor</t>
  </si>
  <si>
    <t>BPS Provinsi Kalimantan Utara</t>
  </si>
  <si>
    <t>Membuat daftar calon instruktur berikut dengan alokasi tugas mengajar</t>
  </si>
  <si>
    <t>Kepala Subbagian Keamanan dan Ketertiban</t>
  </si>
  <si>
    <t>BPS Provinsi Sulawesi Utara</t>
  </si>
  <si>
    <t>Kepala Subbagian Protokol</t>
  </si>
  <si>
    <t>Melatih petugas pendataan</t>
  </si>
  <si>
    <t>Merencanakan waktu, tempat, dan biaya pelatihan</t>
  </si>
  <si>
    <t>BPS Provinsi Sulawesi Tengah</t>
  </si>
  <si>
    <t>Kepala Subbagian Tata Usaha Kepala</t>
  </si>
  <si>
    <t>BPS Provinsi Sulawesi Selatan</t>
  </si>
  <si>
    <t>Menyiapkan materi pelatihan dan berkas administrasi pelatihan</t>
  </si>
  <si>
    <t>Kepala Subbagian Tata Usaha Wakil Kepala</t>
  </si>
  <si>
    <t>BPS Provinsi Sulawesi Tenggara</t>
  </si>
  <si>
    <t>Publisitas Hasil ST2023</t>
  </si>
  <si>
    <t>Mempelajari pedoman dan materi publisitas ST2023</t>
  </si>
  <si>
    <t>Direktur Metodologi Statistik dan Sains Data</t>
  </si>
  <si>
    <t>Pemahaman materi dan pedoman publisitas</t>
  </si>
  <si>
    <t>BPS Provinsi Gorontalo</t>
  </si>
  <si>
    <t>Sosial</t>
  </si>
  <si>
    <t>Menyelenggarakan pelatihan</t>
  </si>
  <si>
    <t>Kegiatan</t>
  </si>
  <si>
    <t>Direktur Diseminasi, Pemberdayaan, dan Evaluasi Penyelenggaraan Statistik</t>
  </si>
  <si>
    <t>BPS Provinsi Sulawesi Barat</t>
  </si>
  <si>
    <t>Direktur Sistem Informasi Statistik</t>
  </si>
  <si>
    <t>BPS Provinsi Maluku</t>
  </si>
  <si>
    <t>Direktur Statistik Kependudukan dan Ketenagakerjaan</t>
  </si>
  <si>
    <t>Menentukan alokasi kerja instruktur</t>
  </si>
  <si>
    <t>BPS Provinsi Maluku Utara</t>
  </si>
  <si>
    <t>Direktur Statistik Kesejahteraan Rakyat</t>
  </si>
  <si>
    <t>BPS Provinsi Papua Barat</t>
  </si>
  <si>
    <t>Menetapkan dokumen kontrak petugas</t>
  </si>
  <si>
    <t>Direktur Statistik Ketahanan Sosial</t>
  </si>
  <si>
    <t>BPS Provinsi Papua</t>
  </si>
  <si>
    <t>Menyusun rencana pelaksanaan kegiatan publisitas</t>
  </si>
  <si>
    <t>Rencana pelaksanaan kegiatan</t>
  </si>
  <si>
    <t>dokumen</t>
  </si>
  <si>
    <t>Direktur Statistik Sumber Daya Hayati</t>
  </si>
  <si>
    <t>Menyusun laporan hasil pelatihan</t>
  </si>
  <si>
    <t>Direktur Statistik Sumber Daya Mineral dan Konstruksi</t>
  </si>
  <si>
    <t>Direktur Statistik Industri</t>
  </si>
  <si>
    <t>Direktur Statistik Distribusi</t>
  </si>
  <si>
    <t>Menyiapkan sumber daya dan instrumen pengumpulan data</t>
  </si>
  <si>
    <t>Mencetak instrumen untuk pendataan PAPI</t>
  </si>
  <si>
    <t>Dukungan Penyelenggaraan Tugas dan Fungsi Unit</t>
  </si>
  <si>
    <t>Direktur Statistik Harga</t>
  </si>
  <si>
    <t>Direktur Statistik Jasa</t>
  </si>
  <si>
    <t>Berkoordinasi dengan pemerintah daerah dan instansi terkait</t>
  </si>
  <si>
    <t>Hasil koordinasi/Notulen</t>
  </si>
  <si>
    <t>Direktur Neraca Produksi</t>
  </si>
  <si>
    <t>Mendistribusikan instrumen pendataan ke BPS Daerah</t>
  </si>
  <si>
    <t>Direktur Neraca Pengeluaran</t>
  </si>
  <si>
    <t>Direktur Analisis Statistik dan Neraca Satelit</t>
  </si>
  <si>
    <t>Inspektur I</t>
  </si>
  <si>
    <t>Memeriksa ketersediaan komponen IT pendukung pengumpulan data</t>
  </si>
  <si>
    <t>Inspektur II</t>
  </si>
  <si>
    <t>Inspektur III</t>
  </si>
  <si>
    <t>Kepala Subdirektorat Sains Data</t>
  </si>
  <si>
    <t>Melengkapi komponen TI pendukung yang belum tersedia</t>
  </si>
  <si>
    <t>Kepala Subdirektorat Diseminasi dan Pemberdayaan Statistik</t>
  </si>
  <si>
    <t>Kepala Subdirektorat Evaluasi Penyelenggaraan Statistik</t>
  </si>
  <si>
    <t>Menyiapkan bahan dan media publisitas</t>
  </si>
  <si>
    <t>Melakukan setting infrastruktur TI sesuai kebutuhan pendataan</t>
  </si>
  <si>
    <t>Paket bahan publisitas (banner, leaflet, infografis, presentasi, dll.)</t>
  </si>
  <si>
    <t>Gladi Bersih SE2026</t>
  </si>
  <si>
    <t>Kepala Subdirektorat Infrastruktur Teknologi Informasi dan Keamanan Data</t>
  </si>
  <si>
    <t>Paket</t>
  </si>
  <si>
    <t>Menyiapkan instrumen untuk quality assurance/penjaminan kualitas</t>
  </si>
  <si>
    <t>Kepala Subdirektorat Integrasi Data</t>
  </si>
  <si>
    <t>Menyesuaikan sumber daya, instrumen dan prosedur Quality Assurance</t>
  </si>
  <si>
    <t>Kepala Subdirektorat Tata Kelola Data Statistik Pembangunan</t>
  </si>
  <si>
    <t>Kepala BPS Provinsi</t>
  </si>
  <si>
    <t>Kepala Bagian Umum (BPS Provinsi)</t>
  </si>
  <si>
    <t>Cetak instrumen Quality Assurance</t>
  </si>
  <si>
    <t>Kepala BPS Kabupaten/Kota</t>
  </si>
  <si>
    <t>Kepala Subbagian Umum (BPS Kabupaten/Kota)</t>
  </si>
  <si>
    <t>Menyusun Kerangka Acuan Kerja (KAK) kegiatan</t>
  </si>
  <si>
    <t>Dokumen KAK</t>
  </si>
  <si>
    <t>Direktur Politeknik Statistika STIS</t>
  </si>
  <si>
    <t>Melakukan instalasi instrumen Quality Assurance ke perangkat CAPI</t>
  </si>
  <si>
    <t>Kepala Bagian Umum Politeknik Statistik STIS</t>
  </si>
  <si>
    <t>Analis Hukum</t>
  </si>
  <si>
    <t>Publikasi/Laporan Statistik Harga</t>
  </si>
  <si>
    <t>Analis Kebijakan</t>
  </si>
  <si>
    <t>Indeks Kemahalan Konstruksi</t>
  </si>
  <si>
    <t>Pranata Keuangan APBN</t>
  </si>
  <si>
    <t>Analis Pengelolaan Keuangan APBN</t>
  </si>
  <si>
    <t>Pranata SDM Aparatur</t>
  </si>
  <si>
    <t>Melakukan instalasi instrumen Quality Assurance ke production server CAWI</t>
  </si>
  <si>
    <t>Menyusun pengajuan anggaran melalui BOS</t>
  </si>
  <si>
    <t>Dokumen pengajuan anggaran</t>
  </si>
  <si>
    <t>Analis SDM Aparatur</t>
  </si>
  <si>
    <t>Asesor SDM Aparatur</t>
  </si>
  <si>
    <t>Melatih Petugas Quality Assurance</t>
  </si>
  <si>
    <t>Apoteker</t>
  </si>
  <si>
    <t>Asisten Apoteker</t>
  </si>
  <si>
    <t>Mendistribusikan perangkat dan instrumen Quality Assurance</t>
  </si>
  <si>
    <t>Penata Penerbitan Ilmiah</t>
  </si>
  <si>
    <t>Penerjemah</t>
  </si>
  <si>
    <t>Penata Laksana Barang</t>
  </si>
  <si>
    <t>Pengelola Pengadaan Barang/Jasa</t>
  </si>
  <si>
    <t>Membuat Surat Tugas pelaksanaan</t>
  </si>
  <si>
    <t>Surat Tugas</t>
  </si>
  <si>
    <t>Pengembangkan Teknologi Pembelajaran</t>
  </si>
  <si>
    <t>Terapis Gigi dan Mulut</t>
  </si>
  <si>
    <t>Send Out pre-Collection Information/Sosialisasi Kegiatan Survei dan Sensus</t>
  </si>
  <si>
    <t>Menyiapkan informasi pra-survei untuk dikirim ke calon responden</t>
  </si>
  <si>
    <t>Peneliti</t>
  </si>
  <si>
    <t>Arsiparis</t>
  </si>
  <si>
    <t>Auditor</t>
  </si>
  <si>
    <t>Dokter</t>
  </si>
  <si>
    <t>Dokter Gigi</t>
  </si>
  <si>
    <t>Melaksanakan kegiatan sosialisasi/publisitas hasil ST2023</t>
  </si>
  <si>
    <t>Mendesain informasi pra survei</t>
  </si>
  <si>
    <t>Kegiatan publisitas yang terlaksana</t>
  </si>
  <si>
    <t>Dosen</t>
  </si>
  <si>
    <t>Perancang Peraturan Perundang-Undangan</t>
  </si>
  <si>
    <t>Penyuluh Hukum</t>
  </si>
  <si>
    <t>Mendistribusikan softcopy desain informasi pra-survei ke BPS daerah</t>
  </si>
  <si>
    <t>Perawat</t>
  </si>
  <si>
    <t>Perencana</t>
  </si>
  <si>
    <t>Pranata Hubungan Masyarakat</t>
  </si>
  <si>
    <t>Pustakawan</t>
  </si>
  <si>
    <t>Melakukan dokumentasi kegiatan</t>
  </si>
  <si>
    <t>Mencetak informasi pra-survei</t>
  </si>
  <si>
    <t>Dokumentasi kegiatan</t>
  </si>
  <si>
    <t>Pranata Komputer</t>
  </si>
  <si>
    <t>Asisten Statistisi</t>
  </si>
  <si>
    <t>Statistisi</t>
  </si>
  <si>
    <t>Widyaiswara</t>
  </si>
  <si>
    <t>Mendistribusikan informasi pra-survei kepada calon responden</t>
  </si>
  <si>
    <t>Perekam Medis</t>
  </si>
  <si>
    <t>Bidan</t>
  </si>
  <si>
    <t>Pengawas Pendataan Statistik (Pelaksana)</t>
  </si>
  <si>
    <t>Updating/Listing</t>
  </si>
  <si>
    <t>Penata Acara (Pelaksana)</t>
  </si>
  <si>
    <t>Menyusun laporan pelaksanaan publisitas</t>
  </si>
  <si>
    <t>Laporan kegiatan publisitas</t>
  </si>
  <si>
    <t>Penelaah Teknis Kebijakan (Pelaksana)</t>
  </si>
  <si>
    <t>laporan</t>
  </si>
  <si>
    <t>Pengolah Data dan Informasi (Pelaksana)</t>
  </si>
  <si>
    <t>Penata Layanan Operasional (Pelaksana)</t>
  </si>
  <si>
    <t>Pengawasan/Pemeriksaan dokumen updating/listing</t>
  </si>
  <si>
    <t>Kajian Pembentukan Frame dan Wilayah Kerja Statistik SE2026</t>
  </si>
  <si>
    <t>Pengelola Layanan Operasional (Pelaksana)</t>
  </si>
  <si>
    <t>Pengelola Umum Operasional (Pelaksana)</t>
  </si>
  <si>
    <t>Entri dokumen updating/listing</t>
  </si>
  <si>
    <t>Pengadministrasi Perkantoran (Pelaksana)</t>
  </si>
  <si>
    <t>Operator Layanan Operasional (Pelaksana)</t>
  </si>
  <si>
    <t>Menyiapkan administrasi pertanggungjawaban kegiatan</t>
  </si>
  <si>
    <t>SPJ lengkap</t>
  </si>
  <si>
    <t>Analis Kerja Sama</t>
  </si>
  <si>
    <t>Penarikan sampel survei</t>
  </si>
  <si>
    <t>Analis Pengembangan Kompetensi</t>
  </si>
  <si>
    <t>Collect Data/Pengumpulan data</t>
  </si>
  <si>
    <t>Wawancara dan mengisi kuesioner (PAPI)</t>
  </si>
  <si>
    <t>Survei Ekonomi Pertanian</t>
  </si>
  <si>
    <t>Mengikuti pelatihan Instruktur Daerah (INDA)</t>
  </si>
  <si>
    <t>Menyerahkan kuesioner ke pengawas (PAPI)</t>
  </si>
  <si>
    <t>Pelatihan selesai diikuti</t>
  </si>
  <si>
    <t>Sertifikat/daftar hadir</t>
  </si>
  <si>
    <t>Wawancara dan input kuesioner (CAPI)</t>
  </si>
  <si>
    <t>Menyiapkan token dan link entri mandiri (CAWI)</t>
  </si>
  <si>
    <t>Mengisi kuesioner online mandiri (CAWI)</t>
  </si>
  <si>
    <t>Mengecek jumlah sampel</t>
  </si>
  <si>
    <t>Sampel</t>
  </si>
  <si>
    <t>Publikasi/Laporan Statistik Distribusi</t>
  </si>
  <si>
    <t>Wawancara, rekam, dan entri data (CATI)</t>
  </si>
  <si>
    <t>Kompilasi Data Statistik Ekspor</t>
  </si>
  <si>
    <t>Mengawasi pendataan yg dilakukan oleh petugas pencacah</t>
  </si>
  <si>
    <t>Memeriksa status dan paradata kuesioner (CATI/CAWI/CAPI)</t>
  </si>
  <si>
    <t>Petugas teralokasi</t>
  </si>
  <si>
    <t>Konfirmasi dan memperbaiki isian (CATI/CAWI/CAPI)</t>
  </si>
  <si>
    <t>Kompilasi Data Statistik Impor</t>
  </si>
  <si>
    <t>Approve dokumen (CATI/CAWI/CAPI)</t>
  </si>
  <si>
    <t>Menawarkan pekerjaan di Simitra</t>
  </si>
  <si>
    <t>Pekerjaan diterima oleh calon petugas</t>
  </si>
  <si>
    <t>Memeriksa rambu-rambu dan kewajaran kuesioner (PAPI)</t>
  </si>
  <si>
    <t>kegiatan</t>
  </si>
  <si>
    <t>Mengembalikan dokumen ke pencacahan (PAPI)</t>
  </si>
  <si>
    <t>Konfirmasi dan memperbaiki isian (PAPI)</t>
  </si>
  <si>
    <t>Membuat SK petugas</t>
  </si>
  <si>
    <t>SK yang telah ditandatangani pimpinan</t>
  </si>
  <si>
    <t>Melakukan pengkodean dokumen (PAPI)</t>
  </si>
  <si>
    <t>Kompilasi Data Statistik Jasa Transportasi</t>
  </si>
  <si>
    <t>Rincian Pekerjaan</t>
  </si>
  <si>
    <t>Output</t>
  </si>
  <si>
    <t>Mengirim dokumen ke BPS kabupaten (PAPI)</t>
  </si>
  <si>
    <t>Supervisi</t>
  </si>
  <si>
    <t>Menyusun rencana supervisi</t>
  </si>
  <si>
    <t>Dokumen rencana supervisi</t>
  </si>
  <si>
    <t>Pengawasan/Pemeriksaan Data</t>
  </si>
  <si>
    <t>Dokumen</t>
  </si>
  <si>
    <t>Menyiapkan administrasi pelatihan</t>
  </si>
  <si>
    <t>Menelaah dokumen sebelum supervisi</t>
  </si>
  <si>
    <t>Berkas administrasi pelatihan</t>
  </si>
  <si>
    <t>Dokumen hasil telaah</t>
  </si>
  <si>
    <t>Supervisi lapangan oleh BPS daerah</t>
  </si>
  <si>
    <t>Menyusun instrumen/checklist supervisi</t>
  </si>
  <si>
    <t>Instrumen supervisi</t>
  </si>
  <si>
    <t>Melaksanakan supervisi lapangan</t>
  </si>
  <si>
    <t>Kegiatan supervisi terlaksana</t>
  </si>
  <si>
    <t>Melakukan observasi pelaksanaan kegiatan</t>
  </si>
  <si>
    <t>Hasil observasi</t>
  </si>
  <si>
    <t>Laporan/Catatan</t>
  </si>
  <si>
    <t>Melakukan wawancara dengan pelaksana</t>
  </si>
  <si>
    <t>Receiving batching</t>
  </si>
  <si>
    <t>Berita acara/catatan wawancara</t>
  </si>
  <si>
    <t>Melakukan verifikasi kesesuaian pelaksanaan</t>
  </si>
  <si>
    <t>Hasil verifikasi</t>
  </si>
  <si>
    <t>Memberikan arahan atau pembinaan saat supervisi</t>
  </si>
  <si>
    <t>Monitor and report data collection progress/Monitoring progress pendataan</t>
  </si>
  <si>
    <t>Sesi pembinaan</t>
  </si>
  <si>
    <t>Mengevaluasi kegiatan pengumpulan data</t>
  </si>
  <si>
    <t>Sesi</t>
  </si>
  <si>
    <t>Menyusun rekomendasi hasil supervisi</t>
  </si>
  <si>
    <t>Dokumen rekomendasi</t>
  </si>
  <si>
    <t>Menyusun laporan hasil supervisi</t>
  </si>
  <si>
    <t>Laporan supervisi</t>
  </si>
  <si>
    <t>Laporan</t>
  </si>
  <si>
    <t>Menyampaikan hasil supervisi kepada unit terkait</t>
  </si>
  <si>
    <t>Penyampaian hasil supervisi</t>
  </si>
  <si>
    <t>Melakukan penilaian kualitas data</t>
  </si>
  <si>
    <t>Memantau tindak lanjut hasil supervisi</t>
  </si>
  <si>
    <t>Laporan pemantauan tindak lanjut</t>
  </si>
  <si>
    <t>Kompilasi Data Statistik Perdagangan Luar Negeri</t>
  </si>
  <si>
    <t>Menyusun rekomendasi terkait kualitas data</t>
  </si>
  <si>
    <t>Mengevaluasi progres kegiatan pencacahan</t>
  </si>
  <si>
    <t>Menyusun rekomendasi aksi response rate</t>
  </si>
  <si>
    <t>Mengassign petugas ke aplikasi FASIH</t>
  </si>
  <si>
    <t>Petugas terassign</t>
  </si>
  <si>
    <t>Mengevaluasi kinerja petugas</t>
  </si>
  <si>
    <t>Menyusun rekomendasi solusi terhadap kinerja petugas</t>
  </si>
  <si>
    <t>Menyusun laporan progres pengumpulan data</t>
  </si>
  <si>
    <t>Menyiapkan instrumen pendataan</t>
  </si>
  <si>
    <t>Instrumen pendataan lengkap</t>
  </si>
  <si>
    <t>paket</t>
  </si>
  <si>
    <t>Non Responds Follow Up/Revisit Non Responds</t>
  </si>
  <si>
    <t>Mengkaji laporan progres pengumpulan data dan rekomendasinya</t>
  </si>
  <si>
    <t>Uraian Pekerjaan lv. 4</t>
  </si>
  <si>
    <t>Kompilasi Data Transportasi</t>
  </si>
  <si>
    <t>Revisit ke responden yang menolak diwawancara</t>
  </si>
  <si>
    <t>KAK</t>
  </si>
  <si>
    <t>Konfirmasi isian kepada petugas</t>
  </si>
  <si>
    <t>Mempersiapkan kerangka sampel</t>
  </si>
  <si>
    <t>Identifikasi Sampel</t>
  </si>
  <si>
    <t>Menyiapkan kerangka sample yang akan digunakan</t>
  </si>
  <si>
    <t>Revisit responden untuk konfirmasi isian</t>
  </si>
  <si>
    <t>Memilih Sampel</t>
  </si>
  <si>
    <t>Membuat pengajuan anggaran di BOS untuk honor pendataan</t>
  </si>
  <si>
    <t>Pengajuan anggaran</t>
  </si>
  <si>
    <t>Meminta responden menandatangani formulir menolak wawancara</t>
  </si>
  <si>
    <t>Menganalisis Daftar Sampel</t>
  </si>
  <si>
    <t>Memberikan pertimbangan terkait sampel terpilih</t>
  </si>
  <si>
    <t>Memperbaiki/melengkapi isian sesuai keterangan petugas</t>
  </si>
  <si>
    <t>Membuat Surat Tugas pendataan</t>
  </si>
  <si>
    <t>Finalisasi daftar sampel terpilih</t>
  </si>
  <si>
    <t>Collect/receive data</t>
  </si>
  <si>
    <t>Publikasi/Laporan Statistik Jasa</t>
  </si>
  <si>
    <t>Melihat jumlah dan kualifikasi petugas dan instruktur yang dibutuhkan</t>
  </si>
  <si>
    <t>Passenger Exit Survey</t>
  </si>
  <si>
    <t>Menyusun laporan tindak lanjut non-response</t>
  </si>
  <si>
    <t>Membandingkan kebutuhan dengan ketersediaan petugas dan infrastruktur</t>
  </si>
  <si>
    <t>Menyusun KAK translok pengawasan</t>
  </si>
  <si>
    <t xml:space="preserve">Merekrut calon petugas dan instruktur sesuai kebutuhan </t>
  </si>
  <si>
    <t xml:space="preserve">Data entry/Perekaman Data </t>
  </si>
  <si>
    <t>Menyiapkan dokumen untuk dientri</t>
  </si>
  <si>
    <t>Menginput data calon petugas dan instruktur</t>
  </si>
  <si>
    <t>Membuat pengajuan anggaran di BOS untuk honor pengawasan</t>
  </si>
  <si>
    <t>Entry data dan paradata (process metadata)</t>
  </si>
  <si>
    <t>Membuat draft dokumen kontrak</t>
  </si>
  <si>
    <t>Mengecek dan melaporkan progress entry data</t>
  </si>
  <si>
    <t>Membuat daftar calon instruktur</t>
  </si>
  <si>
    <t>Membuat Surat Tugas pengawasan</t>
  </si>
  <si>
    <t>Submit data entri ke dalam database</t>
  </si>
  <si>
    <t>Mengakses daftar calon peserta pelatihan</t>
  </si>
  <si>
    <t>Pelaksanaan SE2026</t>
  </si>
  <si>
    <t>Mengakses daftar calon instruktur pelatihan</t>
  </si>
  <si>
    <t>Mengarsipkan instrumen pencacahan</t>
  </si>
  <si>
    <t>Melakukan batching instrumen yang sudah dientri</t>
  </si>
  <si>
    <t>Melakukan pengawasan lapangan</t>
  </si>
  <si>
    <t>Pengawasan telah dilakukan</t>
  </si>
  <si>
    <t>Mengkonfirmasi kekurangan dokumen kepada PJ pengolahan</t>
  </si>
  <si>
    <t xml:space="preserve"> </t>
  </si>
  <si>
    <t>Menyiapkan materi pelatihan</t>
  </si>
  <si>
    <t>Menyiapkan dokumen administrasi pelatihan</t>
  </si>
  <si>
    <t>Menyimpan perangkat/dokumen pengumpulan data</t>
  </si>
  <si>
    <t>Melakukan pemeriksaan data di FASIH-SM</t>
  </si>
  <si>
    <t>Pemeriksaan telah dilakukan</t>
  </si>
  <si>
    <t>Menyusun dokumentasi pengarsipan dokumen</t>
  </si>
  <si>
    <t>Input data validation/Melakukan validasi data</t>
  </si>
  <si>
    <t>Cek kelengkapan script validasi</t>
  </si>
  <si>
    <t>Menyiapkan administrasi pencairan honor petugas (BAST dan dokumentasi)</t>
  </si>
  <si>
    <t>Menjalankan validasi data</t>
  </si>
  <si>
    <t>administrasi pencairan lengkap</t>
  </si>
  <si>
    <t>Pelatihan Intama dan Innas</t>
  </si>
  <si>
    <t>Mereview hasil validasi data</t>
  </si>
  <si>
    <t>Melaporkan hasil pelatihan</t>
  </si>
  <si>
    <t>Finalisasi hasil validasi data</t>
  </si>
  <si>
    <t>Mencetak instrumen pengumpulan data</t>
  </si>
  <si>
    <t>Membuat KAK Pencairan honor pengajar</t>
  </si>
  <si>
    <t>Error report/Konfirmasi hasil validasi data ke petugas</t>
  </si>
  <si>
    <t>Mengidentifikasi saran penyelesaian eror</t>
  </si>
  <si>
    <t>Memeriksa ketersediaan semua komopnen TI pendukung kegiatan pengumpulan data</t>
  </si>
  <si>
    <t>Mengidentifikasi aktor yang terlibat</t>
  </si>
  <si>
    <t>Menyiapkan komponen TI pendukung yang belum tersedia</t>
  </si>
  <si>
    <t>Membuat laporan validasi</t>
  </si>
  <si>
    <t xml:space="preserve">Setting infrastruktur TI sesuai dengan kebutuhan pengumpulan data </t>
  </si>
  <si>
    <t>Membuat pengajuan anggaran di BOS untuk honor pengajar</t>
  </si>
  <si>
    <t>Memeriksa laporan validasi</t>
  </si>
  <si>
    <t>Mendistribusikan instrumen kepada PO sesuai jadwal yang ditentukan</t>
  </si>
  <si>
    <t>Finalisasi laporan penyelesaian eror</t>
  </si>
  <si>
    <t>Menerima sumber daya/instrumen pengumpulan data tingkat provinsi</t>
  </si>
  <si>
    <t>Mendistribusikan sumber daya/instrumen kepada DO sesuai jadwal yang ditentukan</t>
  </si>
  <si>
    <t>Memeriksa kelengkapan laporan eror</t>
  </si>
  <si>
    <t>Menyiapkan administrasi pencairan honor pengajar</t>
  </si>
  <si>
    <t>Menerima sumber daya/instrumen pengumpulan data tingkat kota/kab</t>
  </si>
  <si>
    <t>Pemutakhiran Kerangka Geospasial dan Muatan Wilkerstat</t>
  </si>
  <si>
    <t>Menyusun laporan penyelesaian eror</t>
  </si>
  <si>
    <t>Mendistribusikan sumber daya/instrumen kepada petugas pengumpulan data</t>
  </si>
  <si>
    <t>Data Editing and imputation/Perbaikan isian dan imputasi data berdasarkan keadaan lapangan</t>
  </si>
  <si>
    <t>Pengadaan perlengkapan kegiatan</t>
  </si>
  <si>
    <t>Menyesuaikan sumber daya, instrumen dan prosedur QA (SMS)</t>
  </si>
  <si>
    <t>Cek kelengkapan script editing</t>
  </si>
  <si>
    <t>Cetak instrumen QA</t>
  </si>
  <si>
    <t>Diseminasi</t>
  </si>
  <si>
    <t>Instal instrumen QA ke perangkat CATI</t>
  </si>
  <si>
    <t>Melakukan editing</t>
  </si>
  <si>
    <t>Instal instrumen QA ke production server CAWI</t>
  </si>
  <si>
    <t>Mereview hasil editing data</t>
  </si>
  <si>
    <t>Mengakses informasi daftar sampel</t>
  </si>
  <si>
    <t>Loading daftar sampel ke aplikasi pengumpulan data</t>
  </si>
  <si>
    <t>Finalisasi hasil editing data</t>
  </si>
  <si>
    <t>Mengirimkan daftar sampel SMADO</t>
  </si>
  <si>
    <t>Cek kelengkapan script imputasi data</t>
  </si>
  <si>
    <t>Melakukan imputasi data</t>
  </si>
  <si>
    <t>Mendistribusikan daftar sampel ke field force enumerator</t>
  </si>
  <si>
    <t>Pendataan Ekspor Diluar Dokumen Bea Cukai</t>
  </si>
  <si>
    <t>Mereview hasil imputasi data</t>
  </si>
  <si>
    <t>Menyiapkan pemberitahuan informasi pre-survei</t>
  </si>
  <si>
    <t>Finalisasi hasil imputasi data</t>
  </si>
  <si>
    <t>Mengirimkan informasi pre-survei ke responden</t>
  </si>
  <si>
    <t>Publikasi/Laporan Statistik Sumber Daya Hayati</t>
  </si>
  <si>
    <t>Melakukan konfirmasi kesediaan responden</t>
  </si>
  <si>
    <t>Approve edited and imputed data/Persetujuan hasil validasi, perbaikan, dan imputasi data</t>
  </si>
  <si>
    <t>Survei Perusahaan Kehutanan</t>
  </si>
  <si>
    <t>Mengecek kewajaran data</t>
  </si>
  <si>
    <t>Tidak Ada</t>
  </si>
  <si>
    <t>Menyusun penjekasan/perbaikan data</t>
  </si>
  <si>
    <t>Pengawasan/Pemeriksaan dokumen updating/lsiting</t>
  </si>
  <si>
    <t>approval data</t>
  </si>
  <si>
    <t>Survei Perusahaan Perikanan, TPI/PPI/PP</t>
  </si>
  <si>
    <t>Melakukan konsultasi/diskusi dengan peneliti pengguna dan finalisasi temuan dan laporan yang dianalisis/Rekonsiliasi hasil akhir data</t>
  </si>
  <si>
    <t>Mengkonsultasikan draft laporan/publikasi dengan SM experts</t>
  </si>
  <si>
    <t>salam pembuka dan perjanjian wawancara</t>
  </si>
  <si>
    <t>Publikasi/Laporan Statistik Industri</t>
  </si>
  <si>
    <t>IBS Bulanan</t>
  </si>
  <si>
    <t>Mengevaluasi relevansi hasil konsultasi terhadap draft laporan/publikasi</t>
  </si>
  <si>
    <t>Tidak Ada dialihkan ke triwulanan</t>
  </si>
  <si>
    <t>Wawancara responden</t>
  </si>
  <si>
    <t>finalisasi draft laporan/publikasi hasil konsultasi</t>
  </si>
  <si>
    <t>Mengisi kuesioner paper</t>
  </si>
  <si>
    <t>Penerapan Kerangka Geospasial dan Muatan Wilkerstat</t>
  </si>
  <si>
    <t>Conduct Descriptive Analysis/Melakukan analisis deskriptif</t>
  </si>
  <si>
    <t>Menyerahkan kuesioner kepada field supervisor</t>
  </si>
  <si>
    <t>mengidentifikasi jenis analisis deskriptif yang akan disusun</t>
  </si>
  <si>
    <t>Menerima kuesioner paper dari field enumerator</t>
  </si>
  <si>
    <t>melakukan analisis data statistik</t>
  </si>
  <si>
    <t>input kuesioner CAPI</t>
  </si>
  <si>
    <t>IBS Tahunan</t>
  </si>
  <si>
    <t>menginterpretasikan hasil analisis data statistik</t>
  </si>
  <si>
    <t>Mempelajari pedoman pelaksanaan Survei IBS Tahunan</t>
  </si>
  <si>
    <t>Pemahaman pedoman dan konsep survei</t>
  </si>
  <si>
    <t>Submit kuesioner CAPI</t>
  </si>
  <si>
    <t>Mengkaji ulang output</t>
  </si>
  <si>
    <t>Finalisasi interprestasi analisis deskriptif</t>
  </si>
  <si>
    <t>Lapor kepada Field Supervisor</t>
  </si>
  <si>
    <t>Prepare reports and draft publication or dissemination materials/Penyusunan layout draft publikasi</t>
  </si>
  <si>
    <t>Menyusun layout lapoean/publikasi</t>
  </si>
  <si>
    <t>Field supervisor melakukan perjanjian wawancara</t>
  </si>
  <si>
    <t>Mengevaluasi draft laporan/publikasi</t>
  </si>
  <si>
    <t>Lapor kepada distric/provincial office</t>
  </si>
  <si>
    <t>Penerapan Prelist SBR Untuk SE2026</t>
  </si>
  <si>
    <t>Mengecek jumlah perusahaan sampel</t>
  </si>
  <si>
    <t>finalisasi draft laporan/publikasi</t>
  </si>
  <si>
    <t>Rekapitulasi jumlah perusahaan sampel yang telah diverifikasi</t>
  </si>
  <si>
    <t>Distric/profincial office melakukan wawancara</t>
  </si>
  <si>
    <t>Penyiapan produk diseminasi (web, leaflet, infografis,dll)</t>
  </si>
  <si>
    <t>Menyiapkan produk diseminasi</t>
  </si>
  <si>
    <t xml:space="preserve">Menelpon </t>
  </si>
  <si>
    <t>Menyiapkan media untuk diseminasi produk</t>
  </si>
  <si>
    <t>Memutakhirkan direktori perusahaan sampel</t>
  </si>
  <si>
    <t>Direktori perusahaan yang telah diperbarui</t>
  </si>
  <si>
    <t>melakukan wawancara kepada responden</t>
  </si>
  <si>
    <t>Mengecek kelengkapan produk dan media diseminasi</t>
  </si>
  <si>
    <t>Finalisasi produk dan media diseminasi</t>
  </si>
  <si>
    <t>menginput dan merekam jawaban responden</t>
  </si>
  <si>
    <t>Dokumen alokasi petugas lapangan</t>
  </si>
  <si>
    <t>Submit isian hasil wawancara</t>
  </si>
  <si>
    <t>Organize the release/Penyiapan dan melaksanakan rilis data</t>
  </si>
  <si>
    <t>Merencanakan kegiatan diseminasi produk statistik</t>
  </si>
  <si>
    <t>Menyiapkan token dan alamat website untuk self enumeration</t>
  </si>
  <si>
    <t>Melakukan diseminasi produk</t>
  </si>
  <si>
    <t xml:space="preserve">Menawarkan pekerjaan di Simitra </t>
  </si>
  <si>
    <t>Petugas menerima penawaran pekerjaan</t>
  </si>
  <si>
    <t>Login ke alamat website untuk self enumeration</t>
  </si>
  <si>
    <t>Aplikasi</t>
  </si>
  <si>
    <t>Mengisi kuesioner online secara mandiri</t>
  </si>
  <si>
    <t>Pengadaan Instrumen</t>
  </si>
  <si>
    <t>Submit isian kuesioner pada website</t>
  </si>
  <si>
    <t>SK petugas yang telah ditandatangani</t>
  </si>
  <si>
    <t>Membuat surat pernyataan tidak bersedia diwawancara</t>
  </si>
  <si>
    <t>Menyiapkan administrasi pelatihan petugas</t>
  </si>
  <si>
    <t>Administrasi pelatihan lengkap</t>
  </si>
  <si>
    <t>Pengawasan pencacahan CAI</t>
  </si>
  <si>
    <t>Melakukan pengawasan pencacah lapangan</t>
  </si>
  <si>
    <t>Petugas yang telah mengikuti pelatihan</t>
  </si>
  <si>
    <t>Melaporkan kemajuan kegiatan pencacahanm sensus/survei</t>
  </si>
  <si>
    <t>Monitoring progress pencacahan CAI dan PAPI</t>
  </si>
  <si>
    <t>Meng-assign petugas ke aplikasi pendataan</t>
  </si>
  <si>
    <t>Petugas ter-assign pada aplikasi</t>
  </si>
  <si>
    <t>Menyusun laporan dan evaluasi</t>
  </si>
  <si>
    <t>Membuat preformance report</t>
  </si>
  <si>
    <t>Pengembangan Infrastruktur dan Layanan Teknologi Informasi dan Komunikasi</t>
  </si>
  <si>
    <t>Instrumen pendataan siap digunakan</t>
  </si>
  <si>
    <t>Membuat rekomendasi aksi untuk petugas pencacahan</t>
  </si>
  <si>
    <t>Pengadaan TIK</t>
  </si>
  <si>
    <t>Mengupdate data performa petugas pencacahan</t>
  </si>
  <si>
    <t>Membuat progress report</t>
  </si>
  <si>
    <t>Menyusun Kerangka Acuan Kerja (KAK) pendataan</t>
  </si>
  <si>
    <t>Dokumen KAK pendataan</t>
  </si>
  <si>
    <t>Membuat rekomendasi aksi response rate rendah</t>
  </si>
  <si>
    <t>Membuat evaluation report</t>
  </si>
  <si>
    <t>Dokumen pengajuan anggaran honor pendataan</t>
  </si>
  <si>
    <t>Membuat rekomendasi terhadap kualitas data</t>
  </si>
  <si>
    <t>Pengawasan Internal SE2026</t>
  </si>
  <si>
    <t>Melakukan evaluasi non-respond pada response rate rendah</t>
  </si>
  <si>
    <t>Surat Tugas pendataan</t>
  </si>
  <si>
    <t>Menyusun rencana tidak lanjut non-respon response rate</t>
  </si>
  <si>
    <t>Melakukan evaluasi kualitas data</t>
  </si>
  <si>
    <t>Menyusun rencana tindak lanjut non-respon kualitas data</t>
  </si>
  <si>
    <t>Pengolahan SE2026</t>
  </si>
  <si>
    <t>Finalisasi tindak lanjut non-respon</t>
  </si>
  <si>
    <t>Menyusun KAK perjalanan/translok petugas</t>
  </si>
  <si>
    <t>Dokumen KAK perjalanan/translok</t>
  </si>
  <si>
    <t xml:space="preserve">Melakukan rekomendasi non-respon </t>
  </si>
  <si>
    <t>Pengelompokan (batching) dokumen</t>
  </si>
  <si>
    <t>Peningkatan Kualitas Pengisian Dokumen Pemberitahuan Ekspor Barang (PEB)</t>
  </si>
  <si>
    <t>Editing dan Coding</t>
  </si>
  <si>
    <t>Membuat pengajuan anggaran di BOS untuk perjalanan/translok</t>
  </si>
  <si>
    <t>Dokumen pengajuan anggaran perjalanan/translok</t>
  </si>
  <si>
    <t>Entri Dokumen</t>
  </si>
  <si>
    <t>Cetak error report</t>
  </si>
  <si>
    <t>Surat Tugas pengawasan</t>
  </si>
  <si>
    <t>Menyusun resolusi error</t>
  </si>
  <si>
    <t>Penyediaan dan Pembinaan Data 5 Sasaran Visi IE dan 45 IUP Statistik Distribusi</t>
  </si>
  <si>
    <t>Penyimpanan dokumen fisik</t>
  </si>
  <si>
    <t>Pengiriman data hasil entri</t>
  </si>
  <si>
    <t>Melakukan monitoring dan pengawasan lapangan</t>
  </si>
  <si>
    <t>Laporan hasil monitoring dan pengawasan</t>
  </si>
  <si>
    <t>Menyiapkan dan mengirim dokumen pengumpulan data</t>
  </si>
  <si>
    <t>Memeriksa kelengkapan dan batching dokumen pengumpulan data</t>
  </si>
  <si>
    <t>Penyediaan dan Pembinaan Data 5 Sasaran Visi IE dan 45 IUP Statistik Harga</t>
  </si>
  <si>
    <t>Melakukan pemeriksaan dan validasi hasil pendataan</t>
  </si>
  <si>
    <t>Data yang telah diperiksa dan divalidasi</t>
  </si>
  <si>
    <t>Melakukan konfirmasi kelengkapan dokumen pengumpulan data</t>
  </si>
  <si>
    <t>Membuat berita acara serah terima barang</t>
  </si>
  <si>
    <t>Menindaklanjuti data yang belum lengkap atau tidak wajar</t>
  </si>
  <si>
    <t>Data yang telah diperbaiki/terverifikasi</t>
  </si>
  <si>
    <t>Membaca record data</t>
  </si>
  <si>
    <t>Penyediaan dan Pembinaan Data 5 Sasaran Visi IE dan 45 IUP Statistik Jasa</t>
  </si>
  <si>
    <t>membaca validation rule</t>
  </si>
  <si>
    <t>cek kelengkapan validasi</t>
  </si>
  <si>
    <t>Menyusun laporan pelaksanaan kegiatan</t>
  </si>
  <si>
    <t>Laporan pelaksanaan survei</t>
  </si>
  <si>
    <t>Perbaikan atau penambahan validation rule</t>
  </si>
  <si>
    <t>Menjalankan validation</t>
  </si>
  <si>
    <t>Menyimpan flag record</t>
  </si>
  <si>
    <t>Berkas administrasi pencairan honor lengkap (BAST, daftar pembayaran, dokumentasi, dan dokumen pendukung)</t>
  </si>
  <si>
    <t>Penyusunan Bahan Publisitas</t>
  </si>
  <si>
    <t>Read error resolution suggestion</t>
  </si>
  <si>
    <t>IBS Triwulanan</t>
  </si>
  <si>
    <t>read related actor</t>
  </si>
  <si>
    <t>Rekapitulasi jumlah sampel yang telah diverifikasi</t>
  </si>
  <si>
    <t>build validation report</t>
  </si>
  <si>
    <t>Penyusunan Diseminasi SE2026</t>
  </si>
  <si>
    <t>upload validation report</t>
  </si>
  <si>
    <t>cek validation report</t>
  </si>
  <si>
    <t>menyusun resolusi error</t>
  </si>
  <si>
    <t>Update resolusi error</t>
  </si>
  <si>
    <t>Cek kelengkapan error report</t>
  </si>
  <si>
    <r>
      <rPr>
        <rFont val="Calibri"/>
        <color theme="1"/>
        <sz val="10.0"/>
      </rPr>
      <t>Penyusunan Indeks Pembangunan Teknologi Informasi dan Komunikasi (</t>
    </r>
    <r>
      <rPr>
        <rFont val="Calibri"/>
        <i/>
        <color theme="1"/>
        <sz val="10.0"/>
      </rPr>
      <t>ICT Development Index</t>
    </r>
    <r>
      <rPr>
        <rFont val="Calibri"/>
        <color theme="1"/>
        <sz val="10.0"/>
      </rPr>
      <t>)</t>
    </r>
  </si>
  <si>
    <t>Mempersiapkan editing data</t>
  </si>
  <si>
    <t>Memutakhirkan direktori usaha sampel (jika diperlukan)</t>
  </si>
  <si>
    <t>Direktori usaha yang telah diperbarui</t>
  </si>
  <si>
    <t>Mempersiapkan imputasi data</t>
  </si>
  <si>
    <t>Mempersiapkan approval data setelah editing dan imputasi</t>
  </si>
  <si>
    <t>Menyusun penjelasan/perbaikan data</t>
  </si>
  <si>
    <t>Menawarkan pekerjaan di Simitra (jika diperlukan)</t>
  </si>
  <si>
    <r>
      <rPr>
        <rFont val="Calibri"/>
        <color theme="1"/>
        <sz val="10.0"/>
      </rPr>
      <t>Penyusunan Inward FATS (</t>
    </r>
    <r>
      <rPr>
        <rFont val="Calibri"/>
        <i/>
        <color theme="1"/>
        <sz val="10.0"/>
      </rPr>
      <t>Foreign Affiliate Statistics</t>
    </r>
    <r>
      <rPr>
        <rFont val="Calibri"/>
        <color theme="1"/>
        <sz val="10.0"/>
      </rPr>
      <t>)</t>
    </r>
  </si>
  <si>
    <t>Finalisasi dan approval data</t>
  </si>
  <si>
    <t>Mengidentifikasi jenis analisis deskriptif yang akan disusun</t>
  </si>
  <si>
    <t>Melakukan analisis data statistik</t>
  </si>
  <si>
    <t>Penyusunan Rancangan Analisis</t>
  </si>
  <si>
    <t>Menginterpretasikan output</t>
  </si>
  <si>
    <t>Finalisasi uraian analisis deskriptif</t>
  </si>
  <si>
    <t>Menyiapkan laporan atau bahan draft publikasi</t>
  </si>
  <si>
    <t>Menarik outline draft laporan dan publikasi</t>
  </si>
  <si>
    <t>Persiapan Diseminasi</t>
  </si>
  <si>
    <t>Mengatur layout laporan dan publikasi</t>
  </si>
  <si>
    <t>Membuat tabel penyajian sesuai rancangan</t>
  </si>
  <si>
    <t>Melakukan penyusunan draft laporan dan publikasi</t>
  </si>
  <si>
    <t>Melakukan evaluasi draft laporan dan publikasi</t>
  </si>
  <si>
    <t>Persiapan Publisitas Sensus Ekonomi (SE2026)</t>
  </si>
  <si>
    <t>Mengidentifikasi kebutuhan komponen diseminasi</t>
  </si>
  <si>
    <t>Menyusun kata pengantar, pembukaan dan sambutan</t>
  </si>
  <si>
    <t>Mendesain cover serta rancangan layout produk</t>
  </si>
  <si>
    <t>Membuat rangkuman teknis</t>
  </si>
  <si>
    <t>Menyusun KAK kegiatan pendataan</t>
  </si>
  <si>
    <t>Menyiapkan bahan untuk media (sosmed, website resmi)</t>
  </si>
  <si>
    <r>
      <rPr>
        <rFont val="Calibri"/>
        <i/>
        <color theme="1"/>
        <sz val="10.0"/>
      </rPr>
      <t>Post Enumeration Survey</t>
    </r>
    <r>
      <rPr>
        <rFont val="Calibri"/>
        <color theme="1"/>
        <sz val="10.0"/>
      </rPr>
      <t xml:space="preserve"> (PES) SE2026</t>
    </r>
  </si>
  <si>
    <t>Mengekstrak komponen pendukung publikasi</t>
  </si>
  <si>
    <t>Menggabungkan komponen terkait</t>
  </si>
  <si>
    <t>Mengirimkan file final produk untuk channel media terkait</t>
  </si>
  <si>
    <t>Probity Audit SE2026</t>
  </si>
  <si>
    <t>Memperbaiki produk yang akan dirilis</t>
  </si>
  <si>
    <t>Mengumpulkan bahan yang akan dirilis</t>
  </si>
  <si>
    <t>mengembargo semua media rilis</t>
  </si>
  <si>
    <t>mempersiapkan tempat dan konsumsi rilis</t>
  </si>
  <si>
    <t>mengirimakn undangan rilis</t>
  </si>
  <si>
    <t xml:space="preserve">Publisitas SE2026 </t>
  </si>
  <si>
    <t>mempersiapkan bahan untuk rilis</t>
  </si>
  <si>
    <t>SPDT NTP</t>
  </si>
  <si>
    <t>Statistik Lembaga Keuangan</t>
  </si>
  <si>
    <t>Studi Cakupan Pelaku Usaha SE2026</t>
  </si>
  <si>
    <t>IMK Tahunan</t>
  </si>
  <si>
    <t>Mempelajari pedoman pelaksanaan Survei IMK Tahunan</t>
  </si>
  <si>
    <t>Survei Angkutan Penumpang dan Barang di Terminal dan Jembatan Timbang</t>
  </si>
  <si>
    <t>Survei Biaya Hidup</t>
  </si>
  <si>
    <t>Mengecek jumlah usaha/perusahaan sampel</t>
  </si>
  <si>
    <t>Survei Bidang Jasa Pariwisata</t>
  </si>
  <si>
    <t>Publikasi/Laporan Statistik E-Commerce</t>
  </si>
  <si>
    <t>Survei E-commerce</t>
  </si>
  <si>
    <t>Publikasi/Laporan Penyusunan Inflasi</t>
  </si>
  <si>
    <t>Survei Harga Konsumen</t>
  </si>
  <si>
    <t>Survei Volume Penjualan Eceran Beras</t>
  </si>
  <si>
    <t>Survei Harga Perdagangan Besar</t>
  </si>
  <si>
    <t>Survei Harga Perdagangan Internasional</t>
  </si>
  <si>
    <t>Survei Harga Perdesaan</t>
  </si>
  <si>
    <t>Survei Harga Produsen</t>
  </si>
  <si>
    <t>Survei Harga Produsen Gabah</t>
  </si>
  <si>
    <t>IMK Triwulanan</t>
  </si>
  <si>
    <t>ppkk</t>
  </si>
  <si>
    <t>Survei Jasa Penunjang Angkutan (Pergudangan dan Kurir)</t>
  </si>
  <si>
    <t>Survei Kemahalan Konstruksi</t>
  </si>
  <si>
    <t>Survei Outbound</t>
  </si>
  <si>
    <t>Survei Perdagangan Barang Domestik</t>
  </si>
  <si>
    <t>Survei Pola Barang Distribusi</t>
  </si>
  <si>
    <t>Survei Pola Usaha Non Pertanian</t>
  </si>
  <si>
    <t>Survei Profil Pasar, Pusat Perdagangan, dan Toko Modern</t>
  </si>
  <si>
    <t>Survei Statistik Badan Usaha dan Pasar Modal</t>
  </si>
  <si>
    <t>Survei Statistik Harga Produsen</t>
  </si>
  <si>
    <t>Survei Statistik Keuangan Pemerintah Daerah</t>
  </si>
  <si>
    <t>Survei Triwulanan Kegiatan Usaha Terintegrasi</t>
  </si>
  <si>
    <t>Survei Waktu Tunggu (Dwelling Time) Di Pelabuhan</t>
  </si>
  <si>
    <t>Survei Wisatawan Mancanegara</t>
  </si>
  <si>
    <t>Uji Coba Pendataan SE2026-Lanjutan</t>
  </si>
  <si>
    <t>Ujicoba SE2026</t>
  </si>
  <si>
    <t>Implementasi Pengumpulan Data Komoditas Pertanian Strategis Melalui Rumah Tangga</t>
  </si>
  <si>
    <t>Updating Direktori Usaha/Perusahaan Ekonomi</t>
  </si>
  <si>
    <t>Indepth Pendataan Statistik Tanaman Bawang dengan Metode Kerangka Sampling Area (KSA)</t>
  </si>
  <si>
    <t>Layanan Reformasi Kinerja</t>
  </si>
  <si>
    <t>Briefing Pengelola SAKIP</t>
  </si>
  <si>
    <t>Pengolahan Survei Ekonomi Pertanian</t>
  </si>
  <si>
    <t>tidak ada</t>
  </si>
  <si>
    <t>Capaian Kinerja Triwulanan</t>
  </si>
  <si>
    <t>Penyediaan dan Pembinaan Data 5 Sasaran Visi IE dan 45 IUP Statistik Industri</t>
  </si>
  <si>
    <t>Layanan Manajemen Keuangan</t>
  </si>
  <si>
    <t>Entri RKAKL</t>
  </si>
  <si>
    <t>Penyediaan dan Pembinaan Data 5 Sasaran Visi IE dan 45 IUP Statistik Sumber Daya Hayati</t>
  </si>
  <si>
    <t>Evaluasi AKIP</t>
  </si>
  <si>
    <t>Penyusunan Sistem Informasi Geospasial Hasil ST2023</t>
  </si>
  <si>
    <t>Layanan Perkantoran</t>
  </si>
  <si>
    <t>Kearsipan</t>
  </si>
  <si>
    <t>Probity Audit ST2023</t>
  </si>
  <si>
    <t>Layanan Hubungan Masyarakat dan Informasi</t>
  </si>
  <si>
    <t>Kehumasan</t>
  </si>
  <si>
    <t>Survei Karakteristik Usaha</t>
  </si>
  <si>
    <t>Layanan Manajemen SDM</t>
  </si>
  <si>
    <t>Kepegawaian - Laporan LHKASN/SPT</t>
  </si>
  <si>
    <t>Survei Perusahaan Konstruksi Triwulanan</t>
  </si>
  <si>
    <t>Mempelajari pedoman pelaksanaan Survei Perusahaan Konstruksi Triwulanan</t>
  </si>
  <si>
    <t>Kepegawaian - Laporan LHKPN</t>
  </si>
  <si>
    <t>Memutakhirkan direktori perusahaan sampel (jika diperlukan)</t>
  </si>
  <si>
    <t>Direktori perusahaan sampel yang telah diperbarui</t>
  </si>
  <si>
    <t>Kepegawaian - Pemutakhiran Data Pegawai Bps</t>
  </si>
  <si>
    <t>Kepegawaian - Pengelolaan Karis Karsu Pegawai</t>
  </si>
  <si>
    <t>Melakukan rekrutmen/penawaran pekerjaan melalui Simitra (jika diperlukan)</t>
  </si>
  <si>
    <t>Daftar petugas hasil rekrutmen</t>
  </si>
  <si>
    <t>Kepegawaian - Pengelolaan SKP Pegawai</t>
  </si>
  <si>
    <t>Kepegawaian - Pengelolaan Taspen</t>
  </si>
  <si>
    <t>Kepegawaian - Pengembangan Kompetensi Pegawai</t>
  </si>
  <si>
    <t>Kepegawaian - Pengurusan Kenaikan Gaji Berkala (KGB)</t>
  </si>
  <si>
    <t>Kepegawaian - Pengurusan Lembur Pegawai</t>
  </si>
  <si>
    <t>Kepegawaian - Pengurusan Tunjangan Kinerja</t>
  </si>
  <si>
    <t>Menyusun KAK perjalanan/pengawasan</t>
  </si>
  <si>
    <t>Dokumen KAK perjalanan/pengawasan</t>
  </si>
  <si>
    <t>Kepegawaian - Pengurusan Uang Makan</t>
  </si>
  <si>
    <t>Membuat pengajuan anggaran di BOS untuk pengawasan</t>
  </si>
  <si>
    <t>Dokumen pengajuan anggaran pengawasan</t>
  </si>
  <si>
    <t>Kepegawaian - Penyelenggaraan Apel dan Upacara</t>
  </si>
  <si>
    <t>Kepegawaian - Penyelenggaraan Pemilihan Insan Statistik Teladan (IST)</t>
  </si>
  <si>
    <t>Kepegawaian - Penyelenggaraan Ujian Dinas</t>
  </si>
  <si>
    <t>Kepegawaian - Penyelenggaraan Ujian Penyesuiaian Ijazah</t>
  </si>
  <si>
    <t>Kepegawaian - Rekap KJK Pegawai</t>
  </si>
  <si>
    <t>Survei Konstruksi Tahunan</t>
  </si>
  <si>
    <t>Mempelajari pedoman pelaksanaan Survei Perusahaan Konstruksi Tahunan</t>
  </si>
  <si>
    <t>Keuangan - Monitoring Realisasi KKP</t>
  </si>
  <si>
    <t>Keuangan - Monitoring SPI Online</t>
  </si>
  <si>
    <t>Keuangan - Pembayaran Dengan LS Bendahara</t>
  </si>
  <si>
    <t>Keuangan - Pembayaran Dengan LS Pihak Ketiga (Kontraktual/Non Kontraktual)</t>
  </si>
  <si>
    <t>Keuangan - Pembayaran Perjalanan Dinas Dengan UP/TUP</t>
  </si>
  <si>
    <t>Keuangan - Pembayaran Tunai Pihak Ketiga</t>
  </si>
  <si>
    <t>Keuangan - Pembayaran via CMS oleh Bendahara Pengeluaran</t>
  </si>
  <si>
    <t>Keuangan - Penatausahaan Dokumen Keuangan</t>
  </si>
  <si>
    <t>Keuangan - Penatausahaan Sistem Digipay Satu KPPN</t>
  </si>
  <si>
    <t>Keuangan - Pengajuan LS Bendahara Gaji Induk</t>
  </si>
  <si>
    <t>Keuangan - Pengajuan LS Tunjangan Kinerja</t>
  </si>
  <si>
    <t>Keuangan - Pengajuan LS Uang Lembur</t>
  </si>
  <si>
    <t>Keuangan - Pengajuan LS Uang Makan</t>
  </si>
  <si>
    <t>Keuangan - Pengajuan Perubahan Limit UP/KKP ke Bank Persepsi</t>
  </si>
  <si>
    <t>Survei Pertambangan, Energi, Penggalian, Captive Power dan Updating Direktori</t>
  </si>
  <si>
    <t>Sertifikat/daftar hadir pelatihan dan materi pelatihan</t>
  </si>
  <si>
    <t>Keuangan - Pengajuan Perubahan Pemegang Kartu KKP dan Penambahan Jumlah Kartu KKP</t>
  </si>
  <si>
    <t>Keuangan - Pengajuan Perubahan Proporsi UP/KKP</t>
  </si>
  <si>
    <t>Mengecek jumlah sampel perusahaa</t>
  </si>
  <si>
    <t>Keuangan - Pengajuan Uang Persediaan</t>
  </si>
  <si>
    <t>Melakukan updating direktori perusahaan</t>
  </si>
  <si>
    <t>Dokumen alokasi petugas</t>
  </si>
  <si>
    <t>Keuangan - Pengelolaan Pajak</t>
  </si>
  <si>
    <t>Daftar pelamar dan hasil rekrutmen</t>
  </si>
  <si>
    <t>Surat Keputusan penugasan petugas</t>
  </si>
  <si>
    <t>Paket administrasi pelatihan</t>
  </si>
  <si>
    <t>Keuangan - Penyiapan Dokumen Pemeriksaan/Audit</t>
  </si>
  <si>
    <t>Mengassign petugas ke aplikasi pendataan</t>
  </si>
  <si>
    <t>Petugas telah aktif pada aplikasi</t>
  </si>
  <si>
    <t>Keuangan - Penyusunan Laporan Keuangan SATKER</t>
  </si>
  <si>
    <t>Menyusun Kerangka Acuan Kerja (KAK)</t>
  </si>
  <si>
    <t>Keuangan - Penyusunan Register Penutupan Kas</t>
  </si>
  <si>
    <t>Keuangan - Pertanggungjawaban GU Nihil</t>
  </si>
  <si>
    <t>Dokumen KAK pengawasan</t>
  </si>
  <si>
    <t>Membuat pengajuan anggaran di BOS untuk translok/honor pengawasan</t>
  </si>
  <si>
    <t>Keuangan - Pertanggungjawaban TUP Nihil</t>
  </si>
  <si>
    <t>Laporan hasil pengawasan</t>
  </si>
  <si>
    <t>Keuangan - Pertanggungjawaban UP / GU Isi</t>
  </si>
  <si>
    <t>Melakukan pemeriksaan dan validasi data</t>
  </si>
  <si>
    <t>Menyusun laporan hasil survei</t>
  </si>
  <si>
    <t>Langganan Internet</t>
  </si>
  <si>
    <t>Berkas administrasi pencairan honor lengkap</t>
  </si>
  <si>
    <t>Publikasi/ Laporan Statistik Tanaman Pangan Terintegrasi Dengan Kerangka Sampel Area</t>
  </si>
  <si>
    <t>Pendataan Statistik Pertanian Tanaman Pangan Terintegrasi Dengan Metode Kerangka Sampel Area (KSA)</t>
  </si>
  <si>
    <t>Menyusun Kerangka Acuan Kerja (KAK) dan Rencana Anggaran Biaya (RAB) KSA Padi &amp; Jagung</t>
  </si>
  <si>
    <t>Dokumen KAK &amp; RAB KSA</t>
  </si>
  <si>
    <t>6 Jam</t>
  </si>
  <si>
    <t>Langganan Software</t>
  </si>
  <si>
    <t>Laporan Kinerja</t>
  </si>
  <si>
    <t>Menerbitkan Surat Keputusan (SK) Tim Kerja &amp; Petugas Pengamatan KSA Padi &amp; Jagung (PCS &amp; PMS)</t>
  </si>
  <si>
    <t>SK Petugas KSA Padi &amp; Jagung</t>
  </si>
  <si>
    <t>2 Jam</t>
  </si>
  <si>
    <t>Dokumen/SK</t>
  </si>
  <si>
    <t>Menyiapkan administrasi dan kelengkapan dokumen pembayaran honor petugas pengamatan lapangan</t>
  </si>
  <si>
    <t>Dokumen Administrasi Honor Petugas</t>
  </si>
  <si>
    <t>2 Hari</t>
  </si>
  <si>
    <t>Dokumen/Berkas</t>
  </si>
  <si>
    <t>Menyiapkan administrasi dan kelengkapan dokumen pembayaran supervisi dan pengawasan KSA</t>
  </si>
  <si>
    <t>Dokumen Administrasi Supervisi</t>
  </si>
  <si>
    <t>3 Jam</t>
  </si>
  <si>
    <t>Laporan Manajemen Risiko</t>
  </si>
  <si>
    <t>Melaksanakan Briefing Petugas KSA Padi &amp; Jagung di awal tahun (Penyegaran Metodologi &amp; Fitur Aplikasi Mobile)</t>
  </si>
  <si>
    <t>Kegiatan Briefing Petugas Awal Tahun</t>
  </si>
  <si>
    <t>8 Jam</t>
  </si>
  <si>
    <t>Menyiapkan dan mendistribusikan perlengkapan lapangan petugas (Peta Segmen, ID Card, Perlengkapan Safety)</t>
  </si>
  <si>
    <t>Paket Perlengkapan Lapangan Petugas</t>
  </si>
  <si>
    <t>5 Jam</t>
  </si>
  <si>
    <t>Manajemen Perubahan</t>
  </si>
  <si>
    <t>Melakukan alokasi/assign segmen sampel KSA Padi &amp; Jagung kepada petugas pencacah di website Manajemen KSA oleh Admin</t>
  </si>
  <si>
    <t>Segmen Sampel Ter-assign di Web Manajemen KSA</t>
  </si>
  <si>
    <t>Segmen</t>
  </si>
  <si>
    <t>Mengirim Surat/Dokumen</t>
  </si>
  <si>
    <t>Mengajukan penggantian sampel pada website KSA Pengganti Sampel</t>
  </si>
  <si>
    <t>Kegiatan mencari titik sampel baru dan mengajukan. Kemudian menunggu pusat setujui</t>
  </si>
  <si>
    <t>Kegiatan/Sistem</t>
  </si>
  <si>
    <t>Melakukan pencarian dan penentuan titik koordinat/subsegmen lokasi amatan menggunakan GPS / Peta Segmen</t>
  </si>
  <si>
    <t>Titik Subsegmen Teridentifikasi Presisi</t>
  </si>
  <si>
    <t>1 Jam</t>
  </si>
  <si>
    <t>Titik/Lokasi</t>
  </si>
  <si>
    <t>Monev Bappenas</t>
  </si>
  <si>
    <t>Melakukan pengamatan lapangan dan pengambilan foto tutupan lahan/fase tumbuh tanaman (padi/jagung) via Aplikasi Mobile KSA tiap bulan</t>
  </si>
  <si>
    <t>Foto &amp; Data Fase Tumbuh Terambil</t>
  </si>
  <si>
    <t>7 Hari</t>
  </si>
  <si>
    <t>Input dan submit hasil pengamatan fase tumbuh tanaman serta kondisi lahan pada Aplikasi Mobile KSA tiap bulan</t>
  </si>
  <si>
    <t>Monitoring Capaian PK Tahunan</t>
  </si>
  <si>
    <t>Data KSA Ter-submit di Aplikasi Mobile</t>
  </si>
  <si>
    <t>Melakukan verifikasi dan pemeriksaan awal hasil pengamatan segmen oleh Pengawas (PMS)  tiap bulan</t>
  </si>
  <si>
    <t>Hasil Verifikasi Pengawas (PMS)</t>
  </si>
  <si>
    <t>Monitoring Capaian Rencana Strategis</t>
  </si>
  <si>
    <t>Menyusun rencana dan jadwal supervisi/pemeriksaan pengamatan lapangan KSA Padi &amp; Jagung</t>
  </si>
  <si>
    <t>Dokumen Rencana Supervisi KSA</t>
  </si>
  <si>
    <t>Melaksanakan monitoring inkonsistensi pengamatan fase tumbuh secara berkala melalui menu Monitoring pada website Manajemen KSA  tiap bulan</t>
  </si>
  <si>
    <t>Tabel/Laporan Monitoring Inkonsistensi Web</t>
  </si>
  <si>
    <t>Layanan Pemantauan dan Evaluasi</t>
  </si>
  <si>
    <t>Dokumen/System Record</t>
  </si>
  <si>
    <t>Monitoring Kegiatan Secara Berkala</t>
  </si>
  <si>
    <t>Melaksanakan supervisi lapangan ke segmen sampel untuk konfirmasi kesesuaian foto dan fase tumbuh di lapangan</t>
  </si>
  <si>
    <t>Kegiatan Supervisi Lapangan Terlaksana</t>
  </si>
  <si>
    <t>1 Hari</t>
  </si>
  <si>
    <t>Layanan Umum</t>
  </si>
  <si>
    <t>PBJ - Evaluasi kinerja penyedia barang/jasa</t>
  </si>
  <si>
    <t>Melakukan koordinasi dan konfirmasi kepada pencacah apabila terdeteksi indikasi inkonsistensi di website Manajemen KSA</t>
  </si>
  <si>
    <t>Catatan Konfirmasi Inkonsistensi Data</t>
  </si>
  <si>
    <t>Dokumen/Catatan</t>
  </si>
  <si>
    <t>Memberikan arahan, koreksi teknis, dan pembinaan saat ditemukannya kendala penentuan fase tumbuh tanaman di lapangan</t>
  </si>
  <si>
    <t>Sesi Pembinaan Petugas Lapangan</t>
  </si>
  <si>
    <t>PBJ - Evaluasi penawaran dengan metode evaluasi harga terendah ambang batas, sistem nilai, penilaian biaya selama umur ekonomis, kualitas, kualitas dan biaya, pagu anggaran, atau biaya terendah</t>
  </si>
  <si>
    <t>Menyusun laporan hasil pelaksanaan supervisi dan pengawasan KSA Padi &amp; Jagung</t>
  </si>
  <si>
    <t>Laporan Hasil Supervisi KSA</t>
  </si>
  <si>
    <t>PBJ - Evaluasi penawaran dengan metode evaluasi harga terendah sistem gugur</t>
  </si>
  <si>
    <t>Melakukan pemantauan kelengkapan dan ketercapaian submit data seluruh segmen sampel bulanan pada website Manajemen KSA  tiap bulan</t>
  </si>
  <si>
    <t>Laporan Kelengkapan Submit Segmen</t>
  </si>
  <si>
    <t>Dokumen/Tabel</t>
  </si>
  <si>
    <t>Melakukan perbaikan/pemutakhiran isian fase tumbuh berdasarkan hasil tindak lanjut konfirmasi inkonsistensi data</t>
  </si>
  <si>
    <t>Data KSA Clean &amp; Konsisten di Web Manajemen</t>
  </si>
  <si>
    <t>3 Hari</t>
  </si>
  <si>
    <t>PBJ - Laporan Pengawasan dan Pengendalian (Wasdal)</t>
  </si>
  <si>
    <t>Record Data</t>
  </si>
  <si>
    <t>Membuat Berita Acara Non-respon untuk subsegmen yang tidak bisa diakses</t>
  </si>
  <si>
    <t>Berita Acara Non respon</t>
  </si>
  <si>
    <t>4 Jam</t>
  </si>
  <si>
    <t>PBJ - Negosiasi dengan mengacu pada Harga Perkiraan Sendiri (HPS) dan standar harga/biaya</t>
  </si>
  <si>
    <t>Menyusun dan memfinalisasi Laporan Akhir Pelaksanaan Pendataan KSA Tahunan</t>
  </si>
  <si>
    <t>Hasil Analisis Pemotongan Ternak Besar</t>
  </si>
  <si>
    <t>Melaksanakan Rapat Evaluasi Kegiatan KSA Padi &amp; Jagung di akhir tahun (Evaluasi Kinerja Fieldwork &amp; Pengoperasian Sistem)</t>
  </si>
  <si>
    <t>Laporan Evaluasi Akhir Tahun KSA</t>
  </si>
  <si>
    <t>PBJ - Negosiasi pada pekerjaan dengan metode pemilihan Tender/Seleksi/Penunjukan Langsung</t>
  </si>
  <si>
    <t>Publikasi/ Laporan Statistik Tanaman Pangan</t>
  </si>
  <si>
    <t>Survei Pertanian Tanaman Pangan/Ubinan</t>
  </si>
  <si>
    <t>Menyusun Kerangka Acuan Kerja (KAK) dan Rencana Anggaran Biaya (RAB) Survei Ubinan</t>
  </si>
  <si>
    <t>Dokumen KAK &amp; RAB Survei Ubinan</t>
  </si>
  <si>
    <t>PBJ - Pembinaan/Pendampingan Pengadaan Barang/Jasa pada tahap perencanaan pengadaan</t>
  </si>
  <si>
    <t>PBJ - Pendampingan/konsultasi penggunaan sistem informasi/aplikasi pada tahap pemilihan penyedia</t>
  </si>
  <si>
    <t>Penetapan dan penarikan sampel Ubinan Padi dan Palawijaberbasis hasil pengamatan fase tumbuh Kerangka Sampel Area (KSA)</t>
  </si>
  <si>
    <t>Dokumen Sampel Ubinan Padi (Eks KSA)</t>
  </si>
  <si>
    <t>Dokumen/File</t>
  </si>
  <si>
    <t>Melakukan pemutakhiran/updating kerangka sampel untuk Ubinan Palawija (Jagung, Kedelai, Ubi Kayu, Ubi Jalar, Kacang Tanah, Kacang Hijau) per subround</t>
  </si>
  <si>
    <t>Dokumen Hasil Updating Sampel Ubinan Palawija</t>
  </si>
  <si>
    <t>15 Hari</t>
  </si>
  <si>
    <t>Dokumen Kecamatan</t>
  </si>
  <si>
    <t>PBJ - Pengelolaan sanggah pada pekerjaan dengan metode pemilihan Tender/Seleksi/Penunjukan Langsung</t>
  </si>
  <si>
    <t>Menerbitkan Surat Keputusan (SK) Tim Kerja &amp; Petugas Pendataan Survei Ubinan (PCL &amp; PML)</t>
  </si>
  <si>
    <t>SK Petugas Survei Ubinan</t>
  </si>
  <si>
    <t>Menyiapkan administrasi dan kelengkapan dokumen pembayaran honor petugas pendataan (PCL/PML)</t>
  </si>
  <si>
    <t>PBJ - Penilaian kualifikasi pada Pengadaan Langsung</t>
  </si>
  <si>
    <t>Menyiapkan administrasi dan kelengkapan dokumen pembayaran supervisi dan pengawasan lapangan</t>
  </si>
  <si>
    <t>PBJ - Penilaian kualifikasi pada Tender/Seleksi/Penunjukan Langsung</t>
  </si>
  <si>
    <t>Menyiapkan administrasi dan dokumen pengganti biaya responden (uang lelah/pemberian kompensasi responden ubinan) Persubround</t>
  </si>
  <si>
    <t>Dokumen Administrasi Biaya Responden</t>
  </si>
  <si>
    <t>4 Bulan</t>
  </si>
  <si>
    <t>Dokumen/Berkas tiap subround</t>
  </si>
  <si>
    <t>Melaksanakan Pelatihan / Briefing Petugas Survei Ubinan (Teknis Pengubinan, Alat Ubinan, &amp; Pengoperasian FASIH SM)</t>
  </si>
  <si>
    <t>Kegiatan Pelatihan/Briefing Petugas</t>
  </si>
  <si>
    <t>PBJ - Penyusunan dan penjelasan dokumen pemilihan pada pekerjaan yang dilakukan dengan metode pemilihan Pengadaan Langsung/Tender Cepat/ Dikecualikan</t>
  </si>
  <si>
    <t>Menyiapkan dan mendistribusikan alat ubinan (Alat Pematang Plots, Timbangan Digital/Gantung, Uji Kadar Air, Kantong), ID Card, &amp; Perlengkapan Lapangan</t>
  </si>
  <si>
    <t>Paket Alat Ubinan &amp; Perlengkapan</t>
  </si>
  <si>
    <t>Melakukan alokasi/assign sampel Ubinan (Padi &amp; Palawija) tiap subround/bulan kepada petugas di website FASIH SM persubround</t>
  </si>
  <si>
    <t>Sampel Ubinan Ter-assign di FASIH SM</t>
  </si>
  <si>
    <t>Sampel persubround</t>
  </si>
  <si>
    <t>Melakukan koordinasi dengan Tani / PPL / Ketua Kelompok Tani untuk pemantauan perkiraan jadwal panen (prakiraan panen) persampelnya</t>
  </si>
  <si>
    <t>Catatan/Jadwal Prakiraan Panen Lapangan</t>
  </si>
  <si>
    <t>PBJ - Penyusunan dan penjelasan dokumen pemilihan pada pekerjaan yang dilakukan dengan metode pemilihan Tender/ Seleksi/ Penunjukan Langsung</t>
  </si>
  <si>
    <t>Melakukan verifikasi kesiapan petak lahan panen sampel ubinan di lapangan sebelum hari pemanenan persampelnya</t>
  </si>
  <si>
    <t>Hasil Verifikasi Petak Sampel Ubinan</t>
  </si>
  <si>
    <t>Dokumen/Record</t>
  </si>
  <si>
    <t>PBJ - Penyusunan dokumen perencanaan pengadaan barang/jasa</t>
  </si>
  <si>
    <t>Melakukan prosedur penggantian sampel ubinan (apabila terjadi kondisi lewat panen, fuso, atau tidak dapat diakses) sesuai pedoman teknis persampelnya</t>
  </si>
  <si>
    <t>Assign Penggantian Sampel Ubinan</t>
  </si>
  <si>
    <t>Melakukan proses pelepasan plot ubinan (ukuran 2.5m x 2.5m), pemotongan rumpun tanaman, perontokan, dan penimbangan berat kotor/bersih  persampelnya</t>
  </si>
  <si>
    <t>Data Hasil Pengukuran &amp; Penimbangan Ubinan</t>
  </si>
  <si>
    <t>PBJ - Penyusunan perkiraan harga untuk setiap tahapan Pengadaan Barang/Jasa Pemerintah</t>
  </si>
  <si>
    <t>Pemberian biaya pengganti/kompensasi kepada petani responden ubinan beserta penandatanganan bukti tanda terima  persampelnya</t>
  </si>
  <si>
    <t>Bukti Tanda Terima Biaya Responden</t>
  </si>
  <si>
    <t>Dokumen/Tanda Terima</t>
  </si>
  <si>
    <t>PBJ - Penyusunan spesifikasi teknis / Kerangka Acuan Kerja</t>
  </si>
  <si>
    <t>Input dan submit data hasil pengukuran ubinan,foto lokasi, serta karakteristik petak ke dalam Aplikasi FASIH Mobile / Web  persampelnya</t>
  </si>
  <si>
    <t>Data Ubinan Ter-submit di FASIH</t>
  </si>
  <si>
    <t>PBJ - Perumusan kontrak Pengadaan Barang/Jasa Pemerintah dalam bentuk Surat Perintah Kerja (SPK)</t>
  </si>
  <si>
    <t>Melakukan pemeriksaan awal dan verifikasi isian ubinan oleh Pengawas (PML) di sistem FASIH SM  persampelnya</t>
  </si>
  <si>
    <t>Hasil Verifikasi Pengawas (PML)</t>
  </si>
  <si>
    <t>Record/Dokumen</t>
  </si>
  <si>
    <t>PBJ - Reviu dokumen persiapan pada pekerjaan yang dilakukan dengan metode pemilihan Pengadaan Langsung/Tender Cepat/e-purchasing/pengadaan dikecualikan</t>
  </si>
  <si>
    <t>Menyusun rencana, jadwal, dan alokasi tim supervisi pelaksanaan pengubinan di lapangan persubround</t>
  </si>
  <si>
    <t>Dokumen Rencana Supervisi Ubinan</t>
  </si>
  <si>
    <t>PBJ - Reviu dokumen persiapan pada pekerjaan yang dilakukan dengan metode pemilihan Tender/Seleksi/Penunjukan Langsung</t>
  </si>
  <si>
    <t>Melaksanakan supervisi lapangan dan Melakukan verifikasi kesesuaian penerapan metodologi ubinan (ukuran plot, akurasi timbangan)</t>
  </si>
  <si>
    <t>PBJ - Serah terima hasil pengadaan pada pekerjaan dengan output barang jadi/ layanan jasa lainnya yang sederhana/ pekerjaan konsultan perseorangan</t>
  </si>
  <si>
    <t>Memberikan arahan, koreksi, dan pembinaan teknis saat ditemukannya kendala penentuan jadwal panen atau penimbangan di lapangan</t>
  </si>
  <si>
    <t>Menyusun laporan hasil pelaksanaan supervisi dan pengawasan Survei Ubinan</t>
  </si>
  <si>
    <t>Laporan Hasil Supervisi Ubinan</t>
  </si>
  <si>
    <t>Pemantauan dan Evaluasi</t>
  </si>
  <si>
    <t>Melakukan pemeriksaan, penyuntingan, dan pembersihan data (data cleaning &amp; validation) rincian ubinan di FASIH SM</t>
  </si>
  <si>
    <t>Data Ubinan Ter-validasi</t>
  </si>
  <si>
    <t>Layanan Prasarana Internal</t>
  </si>
  <si>
    <t>Pembangunan Gedung</t>
  </si>
  <si>
    <t>Pemeriksaan dan persetujuan akhir (Approve by Admin) atas data Survei Ubinan di website FASIH SM</t>
  </si>
  <si>
    <t>Data Ubinan Approved by Admin di FASIH SM</t>
  </si>
  <si>
    <t>Status System/Record</t>
  </si>
  <si>
    <t>Pembangunan Rumah Dinas</t>
  </si>
  <si>
    <t>Melaksanakan Rapat Koordinasi (Rakor) Penentuan Produktivitas Seprovinsi bersama BPS Provinsi, BPS Kabupaten/Kota, dan Dinas Pertanian</t>
  </si>
  <si>
    <t>Rakor Produktivitas Seprovinsi</t>
  </si>
  <si>
    <t>Kegiaatan</t>
  </si>
  <si>
    <t>Menyusun dan memfinalisasi Laporan Akhir Pelaksanaan Pendataan Ubinan Tahunan</t>
  </si>
  <si>
    <t>Pembayaran Perjalanan Dinas Dengan LS</t>
  </si>
  <si>
    <t>Melaksanakan Rapat Evaluasi Menyeluruh Pelaksanaan Survei Ubinan (Evaluasi Fieldwork, Sistem FASIH SM, &amp; Metodologi)</t>
  </si>
  <si>
    <t>Laporan Evaluasi Kegiatan Ubinan</t>
  </si>
  <si>
    <t>Survei Konversi Gabah ke Beras (SKGB)</t>
  </si>
  <si>
    <t>Menyusun Kerangka Acuan Kerja (KAK) dan Rencana Anggaran Biaya (RAB) Survei Konversi Gabah ke Beras (SKGB) Kering dan Giling</t>
  </si>
  <si>
    <t>Dokumen KAK &amp; RAB SKGB</t>
  </si>
  <si>
    <t>7 Jam</t>
  </si>
  <si>
    <t>Pembelian Tanah Gedung</t>
  </si>
  <si>
    <t>Menerbitkan Surat Keputusan (SK) Tim Kerja &amp; Petugas Pendataan SKGB (PCL &amp; PML)</t>
  </si>
  <si>
    <t>SK Petugas Survei SKGB</t>
  </si>
  <si>
    <t>Menyiapkan administrasi dan kelengkapan dokumen pembayaran honor petugas pendataan (PCL/PML) Perbulannya</t>
  </si>
  <si>
    <t>Pembelian Tanah Rumah Dinas</t>
  </si>
  <si>
    <t>Menyiapkan administrasi dan kelengkapan dokumen pembayaran supervisi dan pengawasan lapangan Perbulannya</t>
  </si>
  <si>
    <t>Pembentukan Tim SAKIP</t>
  </si>
  <si>
    <t>Menyiapkan administrasi dan dokumen pengganti biaya responden (uang lelah/pemberian kompensasi responden SKGB)</t>
  </si>
  <si>
    <t>2 Bulan</t>
  </si>
  <si>
    <t>Pembinaan Tim SAKIP</t>
  </si>
  <si>
    <t>Koordinasi dan pelaksanaan administrasi peminjaman alat pengukur kadar air (Moisture Meter) ke Dinas Pertanian/terkait akibat keterbatasan unit alat</t>
  </si>
  <si>
    <t>Dokumen/Surat Peminjaman Moisture Meter</t>
  </si>
  <si>
    <t>Dokumen/Surat</t>
  </si>
  <si>
    <t>Pemeliharaan Bangunan dan Gedung Kantor Dalam Keadaan Rutin</t>
  </si>
  <si>
    <t>Mengikuti Pelatihan Petugas Pendataan SKGB (PCL &amp; PML) yang diselenggarakan/diajar langsung oleh BPS Provinsi</t>
  </si>
  <si>
    <t>Kegiatan Pelatihan Petugas oleh Provinsi</t>
  </si>
  <si>
    <t>4 Hari</t>
  </si>
  <si>
    <t>Pemeliharaan Halaman</t>
  </si>
  <si>
    <t>Menyiapkan dan mendistribusikan perlengkapan pendataan, timbangan digital, moisture meter hasil pinjaman, ID Card, &amp; kantong sampel</t>
  </si>
  <si>
    <t>Sampel SKGB Ter-assign di FASIH SM</t>
  </si>
  <si>
    <t>5 Hari</t>
  </si>
  <si>
    <t>Layanan Barang Milik Negara</t>
  </si>
  <si>
    <t>Penatausahaan Barang Milik Negara</t>
  </si>
  <si>
    <t>Melakukan koordinasi dengan Petani / PPL / Pengelola Penggilingan Padi untuk pemantauan jadwal panen dan penggilingan</t>
  </si>
  <si>
    <t>Catatan/Jadwal Jadwal Panen &amp; Giling</t>
  </si>
  <si>
    <t>Melakukan prosedur penggantian sampel SKGB Kering (apabila terjadi kondisi lewat panen, fuso, atau gagal panen) sesuai pedoman teknis</t>
  </si>
  <si>
    <t>Dokumen/Berita Acara Penggantian Sampel SKGB</t>
  </si>
  <si>
    <t>Pendataan Survei Harga Barang dan Jasa (SHBJ) - Diseminasi</t>
  </si>
  <si>
    <t>1 jam</t>
  </si>
  <si>
    <t>Melakukan proses penimbangan berat gabah basah/kering, pengukuran kadar air dengan moisture meter, dan pemantauan rendemen pemanenan/penggilingan</t>
  </si>
  <si>
    <t>Data Penimbangan &amp; Kadar Air SKGB</t>
  </si>
  <si>
    <t>2 jam</t>
  </si>
  <si>
    <t>Pendataan Survei Harga Barang dan Jasa (SHBJ) - Pelatihan Petugas</t>
  </si>
  <si>
    <t>Pemberian biaya pengganti/kompensasi kepada responden SKGB (petani/pengelola penggilingan) beserta penandatanganan bukti tanda terima</t>
  </si>
  <si>
    <t>Pendataan Survei Harga Barang dan Jasa (SHBJ) - Pendataan Petugas</t>
  </si>
  <si>
    <t>Input dan submit data hasil pengukuran penimbangan, kadar air, dan persentase rendemen ke dalam Aplikasi FASIH Mobile / FASIH Web</t>
  </si>
  <si>
    <t>Data SKGB Ter-submit di FASIH</t>
  </si>
  <si>
    <t>Pendataan Survei Harga Barang dan Jasa (SHBJ) - Pengolahan</t>
  </si>
  <si>
    <t>Petugas Pemeriksa (PML) melakukan pemeriksaan, verifikasi isian, dan approval data pendataan SKGB di aplikasi FASIH SM</t>
  </si>
  <si>
    <t>Data SKGB Approved by PML di FASIH SM</t>
  </si>
  <si>
    <t>Status System/Recod</t>
  </si>
  <si>
    <t>Menyusun rencana, jadwal, dan alokasi tim supervisi pelaksanaan penimbangan &amp; pengukuran SKGB di lapangan</t>
  </si>
  <si>
    <t>Pendataan Survei Harga Barang dan Jasa (SHBJ) - Rapat Internal</t>
  </si>
  <si>
    <t>Dokumen Rencana Supervisi SKGB</t>
  </si>
  <si>
    <t>Melaksanakan supervisi lapangan saat proses penimbangan gabah/beras dan kalibrasi pengukurn kadar air bersama petugas</t>
  </si>
  <si>
    <t>Pendataan Survei Harga Barang dan Jasa (SHBJ) - Rekrutmen Petugas</t>
  </si>
  <si>
    <t>Menyusun laporan hasil pelaksanaan supervisi dan pengawasan Survei SKGB</t>
  </si>
  <si>
    <t>Laporan Hasil Supervisi SKGB</t>
  </si>
  <si>
    <t>Melakukan pemeriksaan, penyuntingan, dan deteksi anomali/outlier angka konversi/rendemen SKGB di FASIH SM</t>
  </si>
  <si>
    <t>Daftar Anomali Data SKGB</t>
  </si>
  <si>
    <t>Penerimaan Barang</t>
  </si>
  <si>
    <t>Melakukan perbaikan anomali data (konfirmasi ulang ke PML/PCL/responden dan pemutakhiran isian di sistem)</t>
  </si>
  <si>
    <t>Data SKGB Clean &amp; Bebas Anomali</t>
  </si>
  <si>
    <t>Penetapan Kinerja Tahunan</t>
  </si>
  <si>
    <t>Proses pengembalian alat moisture meter hasil peminjaman ke Dinas Pertanian/terkait disertai berita acara pengembalian</t>
  </si>
  <si>
    <t>Berita Acara Pengembalian Alat</t>
  </si>
  <si>
    <t>Dokumen/BA</t>
  </si>
  <si>
    <t>Melaksanakan Rapat Evaluasi Menyeluruh Pelaksanaan Survei SKGB (Evaluasi Fieldwork, Peralatan, Sistem FASIH SM, &amp; Rendemen Data)</t>
  </si>
  <si>
    <t>Laporan Evaluasi Kegiatan SKGB</t>
  </si>
  <si>
    <t>Publikasi/Laporan Statistik Sumber Daya Hayati (Survei Perusahaan Perkebunan)</t>
  </si>
  <si>
    <t>Updating Direktori Perusahaan Pertanian (DPP) dan Direktori Usaha Pertanian Lainnya</t>
  </si>
  <si>
    <t>Menyusun Kerangka Acuan Kerja (KAK) dan Rencana Anggaran Biaya (RAB) Kegiatan Updating DPP DUTL</t>
  </si>
  <si>
    <t>Dokumen KAK &amp; RAB Updating DPP DUTL</t>
  </si>
  <si>
    <t>Penetapan Status Penggunaan Barang Milik Negara</t>
  </si>
  <si>
    <t>Menerbitkan Surat Keputusan (SK) Tim Kerja &amp; Petugas Updating DPP DUTL (PCL &amp; PML)</t>
  </si>
  <si>
    <t>SK Petugas Updating DPP DUTL</t>
  </si>
  <si>
    <t>Menyiapkan administrasi dan kelengkapan dokumen pembayaran honor petugas pendataan/updating (PCL/PML)</t>
  </si>
  <si>
    <t>Layanan Sarana Internal</t>
  </si>
  <si>
    <t>Pengadaan Fasilitas Perkantoran</t>
  </si>
  <si>
    <t>Mengikuti/Melaksanakan Pelatihan Pengajar / Instruktur Nasional (Innas) Updating DPP DUTL</t>
  </si>
  <si>
    <t>Laporan/Sertifikat Pelatihan Inda</t>
  </si>
  <si>
    <t>Kegiatan/Dokumen</t>
  </si>
  <si>
    <t>Pengadaan Kendaraan Bermotor</t>
  </si>
  <si>
    <t>Melaksanakan Briefing / Pelatihan Petugas Updating DPP DUTL (PCL &amp; PML) mengenai cakupan perusahaan, kuesioner, &amp; FASIH SM</t>
  </si>
  <si>
    <t>Kegiatan Briefing Petugas Updating DPP DUTL</t>
  </si>
  <si>
    <t>Melakukan alokasi/assign target direktori perusahaan/DUTL kepada petugas pencacah (PCL) di website FASIH SM</t>
  </si>
  <si>
    <t>Target DPP DUTL Ter-assign di FASIH SM</t>
  </si>
  <si>
    <t>Pengajuan SPM Tambahan Uang Persediaan</t>
  </si>
  <si>
    <t>Melakukan koordinasi teknis awal dengan dinas/instansi terkait, asosiasi usaha, atau pihak manajemen perusahaan</t>
  </si>
  <si>
    <t>Surat Izin Pelaksanaan Lapangan</t>
  </si>
  <si>
    <t>Pengajuan Tambahan Uang Persediaan (Jumlah Kurang dari Rp. 500.000.000)</t>
  </si>
  <si>
    <t>Petugas Pencacah (PCL) melakukan penelusuran lapangan, verifikasi keberadaan, dan wawancara dengan pengelola Perusahaan/DUTL</t>
  </si>
  <si>
    <t>Data hasil Wawancara/Updating Lapangan</t>
  </si>
  <si>
    <t>Melakukan pendataan status keberadaan perusahaan (Aktif, Tutup, Ganti Nama/Bentuk Badan Hukum, Alih Usaha, atau Tidak Ditemukan)</t>
  </si>
  <si>
    <t>Record Status Keberadaan Perusahaan/DUTL</t>
  </si>
  <si>
    <t>Pengajuan Tambahan Uang Persediaan (Jumlah Lebih dari Rp. 500.000.000)</t>
  </si>
  <si>
    <t>Input dan submit data hasil updating direktori (kontak, alamat, komoditas utama, bentuk hukum, estimasi tenaga kerja/produksi) ke FASIH Mobile/Web</t>
  </si>
  <si>
    <t>Data Updating DPP DUTL Ter-submit di FASIH</t>
  </si>
  <si>
    <t>Petugas Pemeriksa (PML) melakukan verifikasi, pemeriksaan kelengkapan isian, dan approval hasil updating PCL di FASIH SM</t>
  </si>
  <si>
    <t>Data DPP DUTL Approved by PML di FASIH SM</t>
  </si>
  <si>
    <t>Pengelolaan Buku Kas Umum</t>
  </si>
  <si>
    <t>Melakukan pemeriksaan, penyuntingan, dan deteksi anomali/outlier data hasil updating DPP DUTL yang telah di-approve PML di FASIH SM</t>
  </si>
  <si>
    <t>Daftar Anomali Data DPP DUTL</t>
  </si>
  <si>
    <t>Pengelolaan SIRUP</t>
  </si>
  <si>
    <t>Melakukan perbaikan anomali data (konfirmasi ulang ke PML/PCL/perusahaan dan pemutakhiran isian di sistem)</t>
  </si>
  <si>
    <t>Data DPP DUTL Clean &amp; Bebas Anomali</t>
  </si>
  <si>
    <t>Survei Komstrat</t>
  </si>
  <si>
    <t>Menyusun Kerangka Acuan Kerja (KAK) dan Rencana Anggaran Biaya (RAB) Survei Komoditas Strategis (Komstrat) pertriwulan</t>
  </si>
  <si>
    <t>Dokumen KAK &amp; RAB Survei Komstrat</t>
  </si>
  <si>
    <t>Pengeluaran Barang</t>
  </si>
  <si>
    <t>Menerbitkan Surat Keputusan (SK) Tim Kerja &amp; Petugas Pendataan Komstrat (PCL &amp; PML)</t>
  </si>
  <si>
    <t>SK Petugas Survei Komstrat</t>
  </si>
  <si>
    <t>Mengikuti/Melaksanakan Pelatihan Pengajar / Instruktur Daerah (Inda) Survei Komstrat</t>
  </si>
  <si>
    <t>Pengendalian Buku Publikasi</t>
  </si>
  <si>
    <t>Menyiapkan administrasi dan kelengkapan dokumen pembayaran honor petugas pendataan listing dan triwulanan (PCL/PML)</t>
  </si>
  <si>
    <t>Pengisian Capaian Output</t>
  </si>
  <si>
    <t>Pengukuran Kinerja Individu</t>
  </si>
  <si>
    <t>Melaksanakan Briefing / Pelatihan Petugas Pendataan Komstrat (PCL &amp; PML) mengenai metodologi listing 11 hari &amp; pendataan triwulanan</t>
  </si>
  <si>
    <t>Kegiatan Briefing Petugas Komstrat</t>
  </si>
  <si>
    <t>Penilaian Reward/Punishment</t>
  </si>
  <si>
    <t>Menyiapkan dan mendistribusikan perlengkapan lapangan, ID Card, dan instrumen pendataan petugas</t>
  </si>
  <si>
    <t>Melakukan alokasi/assign wilayah/blok sensus beban kerja listing kepada petugas pencacah (PCL) di website FASIH SM</t>
  </si>
  <si>
    <t>Bebas Kerja Listing Ter-assign di FASIH SM</t>
  </si>
  <si>
    <t>Melakukan koordinasi teknis awal dengan pemerintah lokal (RT/RW/Desa/Kelurahan) sebelum pelaksanaan listing</t>
  </si>
  <si>
    <t>Surat Pemberitahuan Kegiatan Lapangan</t>
  </si>
  <si>
    <t>Penyelesaian Administrasi</t>
  </si>
  <si>
    <t>Petugas Pencacah (PCL) melaksanakan penelusuran lapangan dan pendaftaran (listing) seluruh usaha/bangunan komoditas strategis</t>
  </si>
  <si>
    <t>Dokumen/Record Hasil Listing Lapangan</t>
  </si>
  <si>
    <t>11 Hari</t>
  </si>
  <si>
    <t>SLS</t>
  </si>
  <si>
    <t>Input dan submit data hasil listing komstrat ke dalam aplikasi FASIH Mobile / FASIH Web</t>
  </si>
  <si>
    <t>Data Listing Komstrat Ter-submit di FASIH</t>
  </si>
  <si>
    <t>Petugas Pemeriksa (PML) melakukan verifikasi, kelengkapan isian listing, dan approval hasil listing PCL di FASIH SM</t>
  </si>
  <si>
    <t>Data Listing Approved by PML di FASIH SM</t>
  </si>
  <si>
    <t>Pemeriksaan anomali/outlier data listing dan approval akhir hasil listing (Approve by Admin) di website FASIH SM</t>
  </si>
  <si>
    <t>Data Listing Approved by Admin di FASIH SM</t>
  </si>
  <si>
    <t>Melakukan alokasi/assign sampel target Komstrat Triwulan I, Triwulan II, dan Triwulan III kepada PCL di website FASIH SM</t>
  </si>
  <si>
    <t>Sampel Triwulanan Ter-assign di FASIH SM</t>
  </si>
  <si>
    <t>Petugas Pencacah (PCL) melakukan pencacahan dan wawancara mendalam kepada responden sampel Komstrat pada tiap Triwulan oleh 7 Petugas</t>
  </si>
  <si>
    <t>Data Terisi Komstrat Triwulanan</t>
  </si>
  <si>
    <t>Input dan submit data pencacahan sampel triwulanan ke dalam aplikasi FASIH Mobile / FASIH Web oleh 7 Petugas</t>
  </si>
  <si>
    <t>Data Triwulanan Ter-submit di FASIH</t>
  </si>
  <si>
    <t>Penyesuaian Dasar Hitung dan RKAKL Kegiatan Sesuai Pagu Definitif</t>
  </si>
  <si>
    <t>Petugas Pemeriksa (PML) melakukan pemeriksaan, verifikasi isian, dan approval data sampel triwulanan di FASIH SM oleh 3 PML</t>
  </si>
  <si>
    <t>Data Triwulanan Approved by PML di FASIH SM</t>
  </si>
  <si>
    <t>Menyusun rencana, jadwal, dan alokasi tim supervisi pelaksanaan listing dan pendataan triwulanan Komstrat</t>
  </si>
  <si>
    <t>Dokumen Rencana Supervisi Komstrat</t>
  </si>
  <si>
    <t>Penyusunan Iplan</t>
  </si>
  <si>
    <t>Melaksanakan supervisi lapangan pada masa listing dan masa pencacahan triwulanan bersama petugas</t>
  </si>
  <si>
    <t>Melakukan pemeriksaan, penyuntingan, dan deteksi anomali/outlier data pendataan triwulanan Komstrat di FASIH SM</t>
  </si>
  <si>
    <t>Daftar Anomali Data Triwulanan Komstrat</t>
  </si>
  <si>
    <t>Penyusunan Laporan Barang Milik Negara tingkat Satuan Kerja</t>
  </si>
  <si>
    <t>Data Triwulanan Clean &amp; Bebas Anomali</t>
  </si>
  <si>
    <t>Penyusunan Laporan Barang Milik Negara tingkat Wilayah</t>
  </si>
  <si>
    <t>Survei Perusahaan Peternakan dan RPH/TPH</t>
  </si>
  <si>
    <t>Menyusun Kerangka Acuan Kerja (KAK) Kegiatan Pendataan RPH/TPH</t>
  </si>
  <si>
    <t>Dokumen KAK Pendataan RPH</t>
  </si>
  <si>
    <t>Penyusunan Laporan Barang Persediaan</t>
  </si>
  <si>
    <t>Menyusun rencana kerja, jadwal pelaksanaan, dan alokasi anggaran pendataan RPH/TPH</t>
  </si>
  <si>
    <t>Dokumen Rencana Kerja dan Anggaran</t>
  </si>
  <si>
    <t>Penyusunan Laporan Keuangan SATKER</t>
  </si>
  <si>
    <t>Menerbitkan Surat Keputusan (SK) Tim &amp; Petugas Pendataan RPH/TPH (Pencacah &amp; Pengawas)</t>
  </si>
  <si>
    <t>SK Petugas Pendataan RPH</t>
  </si>
  <si>
    <t>Melaksanakan Pelatihan / Sosialisasi Petugas Pendataan RPH/TPH</t>
  </si>
  <si>
    <t>Kegiatan Pelatihan Petugas</t>
  </si>
  <si>
    <t>9 Jam</t>
  </si>
  <si>
    <t>Menyiapkan dan mendistribusikan perlengkapan serta dokumen pendataan lapangan RPH/TPH</t>
  </si>
  <si>
    <t>Paket Perlengkapan Pendataan</t>
  </si>
  <si>
    <t>Melakukan alokasi/assign sampel RPH/TPH tiap bulannya kepada petugas pencacah di website FASIH SM</t>
  </si>
  <si>
    <t>Sampel RPH Ter-assign di FASIH SM</t>
  </si>
  <si>
    <t>Melakukan koordinasi teknis awal dengan Pimpinan/Pengelola RPH/TPH dan Dinas Terkait</t>
  </si>
  <si>
    <t>Surat Izin / Catatan Koordinasi Lapangan</t>
  </si>
  <si>
    <t>Penyusunan Laporan Keuangan WILAYAH</t>
  </si>
  <si>
    <t>Melakukan pencacahan dan wawancara langsung ke pengelola/petugas pencatat RPH/TPH</t>
  </si>
  <si>
    <t>Data Hasil Pencacahan Lapangan</t>
  </si>
  <si>
    <t>Input dan submit data hasil pendataan RPH ke dalam aplikasi FASIH Mobile / FASIH Web</t>
  </si>
  <si>
    <t>Data RPH/TPH Ter-submit di FASIH</t>
  </si>
  <si>
    <t>Melakukan pemeriksaan awal dan verifikasi internal oleh Pengawas di FASIH SM</t>
  </si>
  <si>
    <t>Hasil Pemeriksaan Pengawas</t>
  </si>
  <si>
    <t>Penyusunan Rencana Kegiatan Pengadaan Sarana dan Prasarana</t>
  </si>
  <si>
    <t>Menyusun rencana dan jadwal supervisi pendataan RPH</t>
  </si>
  <si>
    <t>Dokumen Rencana Supervisi</t>
  </si>
  <si>
    <t>Melaksanakan supervisi lapangan ke lokasi RPH/TPH sampel/target</t>
  </si>
  <si>
    <t>Kegiatan Supervisi Terlaksana</t>
  </si>
  <si>
    <t>Melakukan wawancara konfirmasi dengan petugas pencacah dan pengelola RPH/TPH dan verifikasi kesesuaian pelaksanaan pendataan dengan pedoman teknis</t>
  </si>
  <si>
    <t>Hasil Observasi Supervisi</t>
  </si>
  <si>
    <t xml:space="preserve">Penyusunan Rancangan Awal Rencana Strategis (Renstra) </t>
  </si>
  <si>
    <t>Memberikan arahan dan pembinaan teknis saat ditemukannya kendala lapangan</t>
  </si>
  <si>
    <t>Menyusun laporan hasil pelaksanaan supervisi pendataan RPH/TPH dan Menyampaikan laporan supervisi kepada penanggung jawab kegiatan</t>
  </si>
  <si>
    <t>Laporan Hasil Supervisi</t>
  </si>
  <si>
    <t>Memantau tindak lanjut perbaikan data berdasarkan hasil supervisi</t>
  </si>
  <si>
    <t>Bukti Pemantauan Tindak Lanjut</t>
  </si>
  <si>
    <t>Bukti Tindak lanjut</t>
  </si>
  <si>
    <t xml:space="preserve">Penyusunan Rencana Strategis (Renstra) </t>
  </si>
  <si>
    <t>Melakukan pemeriksaan, penyuntingan, dan validasi isian data RPH/TPH di sistem FASIH SM</t>
  </si>
  <si>
    <t>Data RPH/TPH Ter-validasi</t>
  </si>
  <si>
    <t>Pemeriksaan dan persetujuan akhir (Approve by Admin) atas data pendataan RPH di website FASIH SM</t>
  </si>
  <si>
    <t>Data RPH Approved by Admin di FASIH SM</t>
  </si>
  <si>
    <t>Melakukan rekonsiliasi data pemotongan ternak RPH dengan instansi/dinas teknis peternakan</t>
  </si>
  <si>
    <t>Berita Acara Rekonsiliasi Data</t>
  </si>
  <si>
    <t>Menyiapkan administrasi dan kelengkapan dokumen pembayaran honor petugas pendataan RPH/TPH (PCL/PML)</t>
  </si>
  <si>
    <t>Dokumen Administrasi Supervisi &amp; Pengawasan</t>
  </si>
  <si>
    <t>Menyusun Laporan kegiatan RPH/TPH Per Triwulan</t>
  </si>
  <si>
    <t>Dokumen/Laporan</t>
  </si>
  <si>
    <t>Menyusun dan memfinalisasi Laporan Akhir Pendataan RPH/TPH Tahunan</t>
  </si>
  <si>
    <t>Melaksanakan rapat evaluasi menyeluruh pelaksanaan pendataan RPH/TPH dalam penyusunan LPTB</t>
  </si>
  <si>
    <t>Laporan Evaluasi Kegiatan</t>
  </si>
  <si>
    <t>Penyusunan Reviu Rencana Strategis (Renstra)</t>
  </si>
  <si>
    <t>Survei Kesejahteraan Petani</t>
  </si>
  <si>
    <t>Menyusun Kerangka Acuan Kerja (KAK) dan Anggaran Kegiatan Survei Kesejahteraan Petani (SKP)</t>
  </si>
  <si>
    <t>Dokumen KAK &amp; Anggaran SKP</t>
  </si>
  <si>
    <t>Penyusunan revisi DIPA</t>
  </si>
  <si>
    <t>Menyusun dan memutakhirkan Master Frame / Sampel Blok Sensus dan Rumah Tangga Petani SKP</t>
  </si>
  <si>
    <t>Dokumen Frame/Kerangka Sampel SKP</t>
  </si>
  <si>
    <t>Menerbitkan Surat Keputusan (SK) Tim &amp; Petugas Pendataan SKP (Pencacah &amp; Pengawas)</t>
  </si>
  <si>
    <t>SK Petugas Pendataan SKP</t>
  </si>
  <si>
    <t>Penyusunan revisi POK</t>
  </si>
  <si>
    <t>Menyiapkan administrasi dan kelengkapan dokumen pembayaran supervisi dan pengawasan lapangan RPH/TPH</t>
  </si>
  <si>
    <t>Perekaman SPM/SP2D Ke Dalam Program SAKTI</t>
  </si>
  <si>
    <t>Mengikuti/Melaksanakan Pelatihan Pengajar / Instruktur Daerah (Inda) SKP</t>
  </si>
  <si>
    <t>Melaksanakan Pelatihan / Sosialisasi Petugas Pendataan SKP (PCL &amp; PML)</t>
  </si>
  <si>
    <t>Kegiatan Pelatihan Petugas SKP</t>
  </si>
  <si>
    <t>Menyiapkan dan mendistribusikan perlengkapan, instrumen, dan ID card petugas pendataan</t>
  </si>
  <si>
    <t>Paket Perlengkapan Pendataan SKP</t>
  </si>
  <si>
    <t>Melakukan alokasi/assign sampel rumah tangga petani SKP tiap periode/bulan di website FASIH SM</t>
  </si>
  <si>
    <t>Sampel SKP Ter-assign di FASIH SM</t>
  </si>
  <si>
    <t>Perjanjian Kinerja</t>
  </si>
  <si>
    <t>Melakukan koordinasi dengan pemerintah lokal (RT/RW/Desa/Kelurahan) dan ketua kelompok tani setempat</t>
  </si>
  <si>
    <t>Surat Pemberitahuan Koordinasi Lapangan</t>
  </si>
  <si>
    <t>Melakukan verifikasi keberadaan sampel rumah tangga petani di lapangan oleh 7 Petugas</t>
  </si>
  <si>
    <t>Hasil Verifikasi Sampel RT Petani</t>
  </si>
  <si>
    <t>Melakukan wawancara langsung dan pencacahan rinci indikator kesejahteraan rumah tangga petani oleh 7 Petugas</t>
  </si>
  <si>
    <t>Kuesioner SKP Terisi</t>
  </si>
  <si>
    <t>Kuesioner/Record</t>
  </si>
  <si>
    <t>Input dan submit data hasil pencacahan SKP ke dalam aplikasi FASIH Mobile / FASIH Web oleh 7 Petugas</t>
  </si>
  <si>
    <t>Data SKP Ter-submit di FASIH</t>
  </si>
  <si>
    <t>PNBP (pengelolaan anggaran)</t>
  </si>
  <si>
    <t>Melakukan pemeriksaan awal, pembuktian, dan verifikasi internal oleh Pengawas (PML) di FASIH SM</t>
  </si>
  <si>
    <t>Menyusun rencana, alokasi target, dan jadwal supervisi pendataan SKP</t>
  </si>
  <si>
    <t>Dokumen Rencana Supervisi SKP</t>
  </si>
  <si>
    <t>Proses Pemeliharaan Kendaraan Dinas Roda 2/4</t>
  </si>
  <si>
    <t>Melaksanakan supervisi lapangan ke lokasi SKP sampel/target</t>
  </si>
  <si>
    <t>Melakukan wawancara konfirmasi dengan petugas pencacah dan pengelola SKP dan verifikasi kesesuaian pelaksanaan pendataan dengan pedoman teknis</t>
  </si>
  <si>
    <t>Proses Pemeliharaan Peralatan Barang Kantor, Barang Milik Negara, Dll</t>
  </si>
  <si>
    <t>Menyusun laporan hasil pelaksanaan supervisi pendataan SKP dan Menyampaikan laporan supervisi kepada penanggung jawab kegiatan</t>
  </si>
  <si>
    <t>Melakukan pemeriksaan, penyuntingan, dan pembersihan data (data cleaning &amp; validation) di FASIH SM</t>
  </si>
  <si>
    <t>Data SKP Ter-validasi</t>
  </si>
  <si>
    <t>Proses Pengajuan Penghapusan Barang Milik Negara</t>
  </si>
  <si>
    <t>Melakukan perbaikan anomali data (konfirmasi ulang ke lapangan/petugas dan update isian di sistem)</t>
  </si>
  <si>
    <t>Data SKP Bebas Anomali (Clean)</t>
  </si>
  <si>
    <t>Protokoler</t>
  </si>
  <si>
    <t>Pemeriksaan dan persetujuan akhir (Approve by Admin) atas data SKP di website FASIH SM</t>
  </si>
  <si>
    <t>Data SKP Approved by Admin di FASIH SM</t>
  </si>
  <si>
    <t>Survei Indek Produksi Hortikultura</t>
  </si>
  <si>
    <t>Pembagian alokasi petugas</t>
  </si>
  <si>
    <t>Pengumuman lowongan dan daftar pelamar</t>
  </si>
  <si>
    <t>Paket administrasi pelatihan (undangan, daftar hadir, materi, jadwal)</t>
  </si>
  <si>
    <t>Rehabilitasi Gedung</t>
  </si>
  <si>
    <t>Akun petugas telah aktif dan ter-assign</t>
  </si>
  <si>
    <t>Dokumen Kerangka Acuan Kerja (KAK)</t>
  </si>
  <si>
    <t>Dokumen pengajuan anggaran honor pada BOS</t>
  </si>
  <si>
    <t>Rehabilitasi Rumah Dinas</t>
  </si>
  <si>
    <t>Dokumen pengajuan anggaran translok pada BOS</t>
  </si>
  <si>
    <t>Rekon SAI dengan KPPN</t>
  </si>
  <si>
    <t>Laporan hasil pengawasan lapangan</t>
  </si>
  <si>
    <t>Rencana Penarikan Dana</t>
  </si>
  <si>
    <t>Berkas pencairan honor lengkap (BAST, daftar pembayaran, dokumentasi, dan dokumen pendukung)</t>
  </si>
  <si>
    <t>Updating/listing Survei Pertanian Terintegrasi (sampel UTP)</t>
  </si>
  <si>
    <t>Mengikuti pelatihan Instruktur Nasional (INNAS)</t>
  </si>
  <si>
    <t>Pemahaman konsep, definisi, dan teknis pelaksanaan kegiatan</t>
  </si>
  <si>
    <t>Jumlah sampel yang telah diverifikasi</t>
  </si>
  <si>
    <t>Menyusun alokasi petugas updating/listing</t>
  </si>
  <si>
    <t>Alokasi petugas updating/listing</t>
  </si>
  <si>
    <t>Penawaran pekerjaan di Simitra</t>
  </si>
  <si>
    <t>Revitalisasi Gedung</t>
  </si>
  <si>
    <t>Melatih petugas listing dan pendataan</t>
  </si>
  <si>
    <t>Meng-assign petugas ke aplikasi FASIH</t>
  </si>
  <si>
    <t>Petugas ter-assign pada aplikasi FASIH</t>
  </si>
  <si>
    <t>Menyiapkan instrumen listing dan pendataan</t>
  </si>
  <si>
    <t>Instrumen listing dan pendataan siap digunakan</t>
  </si>
  <si>
    <t>Menyusun KAK honor listing dan pendataan</t>
  </si>
  <si>
    <t>KAK honor listing dan pendataan</t>
  </si>
  <si>
    <t>Revitalisasi Rumah Dinas</t>
  </si>
  <si>
    <t>Pengajuan anggaran honor pendataan</t>
  </si>
  <si>
    <t>Membuat Surat Tugas listing dan pendataan</t>
  </si>
  <si>
    <t>Surat Tugas listing dan pendataan yang telah ditandatangani</t>
  </si>
  <si>
    <t>KAK translok pengawasan</t>
  </si>
  <si>
    <t>Membuat pengajuan anggaran di BOS untuk translok pengawasan</t>
  </si>
  <si>
    <t>Pengajuan anggaran translok pengawasan</t>
  </si>
  <si>
    <t>Reviu Renstra</t>
  </si>
  <si>
    <t>Membuat Surat Tugas pengawasan listing</t>
  </si>
  <si>
    <t>Surat Tugas pengawasan listing yang telah ditandatangani</t>
  </si>
  <si>
    <t>Transaksi Barang Milik Negara</t>
  </si>
  <si>
    <t>Zona Integritas</t>
  </si>
  <si>
    <t>Pembinaan Statistik Sektoral</t>
  </si>
  <si>
    <t>EPSS</t>
  </si>
  <si>
    <t>Data Yang Dipertukarkan Dengan K/L Lain</t>
  </si>
  <si>
    <t>Integrasi Pengolahan Data Terpadu</t>
  </si>
  <si>
    <t>Mis</t>
  </si>
  <si>
    <t>Pengembangan Sistem Infrastruktur Statistik Nasional (Sisnas)</t>
  </si>
  <si>
    <t>Layanan Edukasi dan Promosi Statistik</t>
  </si>
  <si>
    <t>Pelaksanaan Pembinaan Statistik Sektoral</t>
  </si>
  <si>
    <t>Laporan Diseminasi dan Metadata Statistik</t>
  </si>
  <si>
    <t>Pelaksanaan Peningkatan Pelayanan (PNBP)</t>
  </si>
  <si>
    <t>Pelayanan dan Pengembangan Informasi Statistik</t>
  </si>
  <si>
    <t>Dokumen/Laporan Pengembangan Metodologi Kegiatan Statistik</t>
  </si>
  <si>
    <t>Pemutakhiran Sistem dan Program MFD dan MBS Berbasis Web</t>
  </si>
  <si>
    <t>Pengembangan Desain Sensus dan Survei</t>
  </si>
  <si>
    <t>Pengembangan Layanan Jaringan Komunikasi Data dan Akses Online</t>
  </si>
  <si>
    <t>Pengembangan Sistem Informasi dan Rekayasa Informatika</t>
  </si>
  <si>
    <t>Pengembangan TIK</t>
  </si>
  <si>
    <t>Lainnya</t>
  </si>
  <si>
    <t>Pengukuran Kualitas Kegiatan Statistik</t>
  </si>
  <si>
    <t>Laporan Penyelenggaraan Sistem Statistik Nasional (Ssn)</t>
  </si>
  <si>
    <t>Peningkatan dan Penyelenggaraan Sistem Statistik Nasional</t>
  </si>
  <si>
    <t>Peningkatan Kualitas dan Layanan Publikasi</t>
  </si>
  <si>
    <t>Peningkatan Kualitas Pengelolaan Dokumentasi Koleksi dan Layanan Data</t>
  </si>
  <si>
    <t>Peningkatan Pelayanan Metadata Kegiatan Statistik Dasar, Sektoral dan Khusus</t>
  </si>
  <si>
    <t>Penjaminan Kualitas Statistik Melalui Quality Gates</t>
  </si>
  <si>
    <t>Penyampaian Data PMSE</t>
  </si>
  <si>
    <t>Penyusunan dan Penyempurnaan Klasifikasi, Konsep Definisi dan Ukuran-Ukuran Statistik</t>
  </si>
  <si>
    <t>Dokumen, Laporan, dan Publikasi Pengembangan Metodologi Sensus dan Survei</t>
  </si>
  <si>
    <t>Penyusunan Statistical Bussines Register (SBR)</t>
  </si>
  <si>
    <t>Perangkat Pengolah Data dan Komunikasi</t>
  </si>
  <si>
    <t>PNBP (pelaksanaan kegiatan)</t>
  </si>
  <si>
    <t>Identifikasi sampel</t>
  </si>
  <si>
    <t>Menarik sampel Tahap 1</t>
  </si>
  <si>
    <t>Sistem Infrastruktur Statistik Nasional (SISNAS)</t>
  </si>
  <si>
    <t>Menganalisis sampel tahap 1</t>
  </si>
  <si>
    <t>Menarik sampel tahap 1 pengganti</t>
  </si>
  <si>
    <t>Finalisasi sampel terpilih tahap 1</t>
  </si>
  <si>
    <t>Menarik sampel responden oleh BPS Pusat</t>
  </si>
  <si>
    <t>Mengirim sampel tahap 1 ke BPS daerah</t>
  </si>
  <si>
    <t>Menarik sampel responden oleh BPS Daerah</t>
  </si>
  <si>
    <t>Publikasi/Laporan Analisis dan Pengembangan Statistik</t>
  </si>
  <si>
    <t>Analisis dan Kajian Pengembangan Big Data</t>
  </si>
  <si>
    <t>Melihat kebutuhan petugas dan instruktur yang dibutuhkan</t>
  </si>
  <si>
    <t>Analisis Isu Terkini</t>
  </si>
  <si>
    <t>Forum Masyarakat Statistik</t>
  </si>
  <si>
    <t>Menyiapkan mekanisme perekrutan petugas dan instruktur sesuai dengan kebutuhan yang belum memenuhi</t>
  </si>
  <si>
    <t>Menginput biodata petugas dan instruktur baru untuk survei berjalan dan untuk kebutuhan survei selanjutnya</t>
  </si>
  <si>
    <t>Membuat daftar alokasi petugas berdasarkan survei kontrol file</t>
  </si>
  <si>
    <t>Publikasi/Laporan Neraca Produksi</t>
  </si>
  <si>
    <t>Implementasi SEEA Dalam Sisnerling Indonesia</t>
  </si>
  <si>
    <t>Merencanakan waktu, tempat dan biaya pelatihan</t>
  </si>
  <si>
    <t>Pemanfaatan Big Data Untuk Statistik Resmi</t>
  </si>
  <si>
    <t>Metropolitan Statistical Area (MSA)</t>
  </si>
  <si>
    <t>Pengembangan Mixed Method</t>
  </si>
  <si>
    <t>Menyesuaikan sumber daya, instrumen dan prosedur QA</t>
  </si>
  <si>
    <t>Melakukan instalasi instrumen QA ke perangkat CAPI</t>
  </si>
  <si>
    <t>Melakukan instalasi instrumen QA ke production server</t>
  </si>
  <si>
    <t>Publikasi/Laporan Statistik Neraca Pengeluaran</t>
  </si>
  <si>
    <t>Pengembangan Neraca Pengeluaran</t>
  </si>
  <si>
    <t>Melatih petugas</t>
  </si>
  <si>
    <t>Mendistribusikan perangkat dan instrumen QA</t>
  </si>
  <si>
    <t>Mendesain informasi pra-survei</t>
  </si>
  <si>
    <t>Mendistribusikan softcopy desain informasi pra-survei ke BPS Daerah</t>
  </si>
  <si>
    <t>Pengembangan Small Area Estimation</t>
  </si>
  <si>
    <t>Publikasi/Laporan Indeks Pembangunan Manusia</t>
  </si>
  <si>
    <t>Penghitungan IPM</t>
  </si>
  <si>
    <t>Penyediaan dan Pembinaan Data 5 Sasaran Visi IE dan 45 IUP Statistik Neraca Pengeluaran</t>
  </si>
  <si>
    <t>Wawancara dan mengisi kuesioner</t>
  </si>
  <si>
    <t>Menyerahkan kuesioner ke pengawas</t>
  </si>
  <si>
    <t>Wawancara dan input kuesioner CAPI</t>
  </si>
  <si>
    <t>Menyiapkan token dan link entri mandiri</t>
  </si>
  <si>
    <t>Mengisi kuesioner online mandiri</t>
  </si>
  <si>
    <t>Wawancara, rekam dan entri data</t>
  </si>
  <si>
    <t>Mengawasi pendataan petugas yang menjadi tanggung jawabnya</t>
  </si>
  <si>
    <t>Penyediaan dan Pembinaan Data 5 Sasaran Visi IE dan 45 IUP Statistik Neraca Produksi</t>
  </si>
  <si>
    <t>Penyediaan dan Pembinaan Data 5 Sasaran Visi Indonesia Emas dan 45 Indikator Utama Pembangunan Neraca Produksi</t>
  </si>
  <si>
    <t>Memeriksa status dan paradata kuesioner</t>
  </si>
  <si>
    <t>Konfirmasi dan memperbaiki isian</t>
  </si>
  <si>
    <t>Approve dokumen</t>
  </si>
  <si>
    <t>Memeriksa rambu-rambu dan kewajaran kuesioner</t>
  </si>
  <si>
    <t>Mengembalikan dokumen ke pencacah</t>
  </si>
  <si>
    <t>Melakukan pengkodean dokumen</t>
  </si>
  <si>
    <t>Mengirim dokumen ke BPS Kabupaten/Kota</t>
  </si>
  <si>
    <t>Penyediaan Data 5 Sasaran Visi IE dan 45 IUP</t>
  </si>
  <si>
    <t>Melakukan pengumpulan data</t>
  </si>
  <si>
    <t>Merekam data</t>
  </si>
  <si>
    <t>Penyempurnaan dan Pengembangan Indikator Ekonomi</t>
  </si>
  <si>
    <t>Penyempurnaan dan Pengembangan Indikator SDG's</t>
  </si>
  <si>
    <t>Mengevaluasi kegiatan pengumpulan</t>
  </si>
  <si>
    <t>Penyempurnaan dan Pengembangan Indikator Sosial</t>
  </si>
  <si>
    <t>Mengevaluasi progres kegiatan pendataan</t>
  </si>
  <si>
    <t>Menyusun laporan progress pengumpulan</t>
  </si>
  <si>
    <t>Penyusunan dan Pengembangan Neraca Produksi Lapangan Usaha Barang</t>
  </si>
  <si>
    <t>Penyusunan dan Pengembangan Neraca Produksi Lapangan Usaha Jasa</t>
  </si>
  <si>
    <t>Penyusunan dan Pengembangan Supply And Use Table (SUT) dan Tabel IO Indonesia</t>
  </si>
  <si>
    <t>Publikasi/Laporan Penyusunan Disagregasi Pmtb</t>
  </si>
  <si>
    <t>Penyusunan Disagregasi PMTB</t>
  </si>
  <si>
    <t>Penyusunan Handbook BPS-QAF</t>
  </si>
  <si>
    <t>Penyusunan Indeks Ketimpangan Gender</t>
  </si>
  <si>
    <t>Penyusunan Komponen Ekspor/ Impor Barang dan Jasa Triwulanan/ Tahunan dan Penyusunan SUT/ IO Sisi Uses</t>
  </si>
  <si>
    <t>Penyusunan Komponen Pengeluaran Pemerintah Triwulanan/ Tahunan dan Penyusunan SUT/ IO Sisi Uses</t>
  </si>
  <si>
    <t>Penyusunan Komponen Pengeluaran Rumahtangga dan Institusi Nirlaba Triwulanan/ Tahunan dan Penyusunan SUT/ IO Sisi Uses</t>
  </si>
  <si>
    <t>Penyusunan Komponen PMTB dan Inventori Triwulanan/Tahunan dan Penyusunan SUT /IO Sisi Uses</t>
  </si>
  <si>
    <t>Penyusunan Konsolidasi Neraca Institusi Terintegrasi (NIT)</t>
  </si>
  <si>
    <t>Penyusunan Konsolidasi PDB Pengeluaran Triwulanan/ Tahunan dan Penyusunan SUT/ IO Sisi Uses</t>
  </si>
  <si>
    <t>Penyusunan Konsolidasi PDRB Pengeluaran Triwulanan dan Tahunan</t>
  </si>
  <si>
    <t>Penyusunan Matriks Supply Regional</t>
  </si>
  <si>
    <t>Penyusunan Matriks Trade And Transport Margin (TTM) Berbasis SNA 2008</t>
  </si>
  <si>
    <t>Penyusunan Neraca Arus dana dan Sektor Finansial</t>
  </si>
  <si>
    <t>Penyusunan Neraca Korporasi Nonfinansial Triwulanan/ Tahunan</t>
  </si>
  <si>
    <t>Penyusunan Neraca LNPRT Triwulanan/Tahunan dan Penyusunan SUT/ IO</t>
  </si>
  <si>
    <t>Penyusunan Neraca Pemerintah dan Badan Usaha</t>
  </si>
  <si>
    <t>Penyusunan Neraca Pemerintah Triwulanan/ Tahunan dan Penyusunan SUT/ IO</t>
  </si>
  <si>
    <t>Memilih Alokasi Sampel</t>
  </si>
  <si>
    <t>Penyusunan Neraca Rumah Tangga dan Institusi Nirlaba</t>
  </si>
  <si>
    <t>Pengenalan Segmen Terpilih</t>
  </si>
  <si>
    <t>Melakukan pendataan dengan aplikasi CAPI</t>
  </si>
  <si>
    <t>Penyusunan Neraca Rumah Tangga Triwulanan/ Tahunan dan Penyusunan SUT/ IO</t>
  </si>
  <si>
    <t>Mengirimkan hasil pengamatan melalui aplikasi</t>
  </si>
  <si>
    <t>Menggambar Peta Wilayah</t>
  </si>
  <si>
    <t>Publikasi/Laporan Neraca Satelit Pariwisata Nasional (Tsa)</t>
  </si>
  <si>
    <t>Digitasi peta wilayah</t>
  </si>
  <si>
    <t>Penyusunan Neraca Satelit Pariwisata Nasional (TSA)</t>
  </si>
  <si>
    <t>Layouting peta</t>
  </si>
  <si>
    <t>Memeriksa hasil pengamatan sampel dan memberikan approval melalui aplikasi</t>
  </si>
  <si>
    <t>Penyusunan Nilai Tambah Lapangan Usaha Barang Triwulanan 2010=100 (SKTNP Barang)</t>
  </si>
  <si>
    <t>Penyusunan Nilai Tambah Lapangan Usaha Jasa Triwulanan 2010=100 (SKTNP Jasa)</t>
  </si>
  <si>
    <t>Penyusunan PDB Indonesia Tahunan, Pengembangan dan Kajian Implementasi SNA 2008</t>
  </si>
  <si>
    <t>Penyusunan PDB Indonesia Triwulanan Menurut Lapangan Usaha 2010=100</t>
  </si>
  <si>
    <t>Penyusunan PDB/PDRB Lapangan Usaha berbasis CVM</t>
  </si>
  <si>
    <t>Penyusunan PDB/PDRB Pengeluaran berbasis CVM</t>
  </si>
  <si>
    <t>Penyusunan PDRB Tahunan dan Triwulanan Menurut Lapangan Usaha Tahun Dasar 2010=100</t>
  </si>
  <si>
    <t>Penyusunan Sistem Neraca Sosial Ekonomi (SNSE) Indonesia dan Studi Penyusunan Financial Social Accounting Matrix (FSAM)</t>
  </si>
  <si>
    <t>Percepatan Penghitungan PDRB Perkapita untuk Indikator DAU</t>
  </si>
  <si>
    <t>Persiapan Perubahan Tahun Dasar PDB/PDRB Lapangan Usaha berbasis CVM</t>
  </si>
  <si>
    <t>Persiapan Perubahan Tahun Dasar PDB/PDRB Pengeluaran berbasis CVM</t>
  </si>
  <si>
    <t>Studi Implementasi SNA 2025</t>
  </si>
  <si>
    <t>Studi Penyusunan Well-Being Accounts</t>
  </si>
  <si>
    <t>Study Chained Volume Measure</t>
  </si>
  <si>
    <t>Survei Self Assesment</t>
  </si>
  <si>
    <t>Survei Wisatawan Nusantara</t>
  </si>
  <si>
    <t>Pendataan Statistik Pertanian Tamanan Pangan Terintegrasi Dengan Metode Kerangka Sampel Area</t>
  </si>
  <si>
    <t>Survei Hortikultura dan Indikator Pertanian</t>
  </si>
  <si>
    <t>Survei Konstruksi</t>
  </si>
  <si>
    <t>Survei Pertanian Terintegrasi</t>
  </si>
  <si>
    <t>Survei Perusahaan Perkebunan</t>
  </si>
  <si>
    <t>Publikasi/Laporan Statistik Ketahanan Sosial</t>
  </si>
  <si>
    <t>Data dan Penghitungan Tingkat Kemiskinan</t>
  </si>
  <si>
    <t>Publikasi/Laporan Desa Cantik</t>
  </si>
  <si>
    <t>Desa Cantik</t>
  </si>
  <si>
    <t>Publikasi/Laporan Statistik Kependudukan dan Ketenagakerjaan</t>
  </si>
  <si>
    <t>Digital Demografi</t>
  </si>
  <si>
    <t>Publikasi/Laporan Statistik Kesejahteraan Rakyat</t>
  </si>
  <si>
    <t>Indikator Perumahan dan Kesehatan Lingkungan</t>
  </si>
  <si>
    <t>Life Table Indonesia</t>
  </si>
  <si>
    <t>Publikasi/Laporan Pendataan Podes</t>
  </si>
  <si>
    <t>Pemutakhiran Data Perkembangan Desa (Podes Mini)</t>
  </si>
  <si>
    <t>Pendataan Podes</t>
  </si>
  <si>
    <t>Pengembangan Indikator Lingkungan Hidup</t>
  </si>
  <si>
    <t>Pengembangan Statistik Hayati</t>
  </si>
  <si>
    <t>Penghitungan Penduduk dan Rumah Tangga Untuk Penimbang Survei Kependudukan</t>
  </si>
  <si>
    <t>Penyediaan dan Pembinaan Data 5 Sasaran Visi IE dan 45 IUP Statistik Kependudukan dan Ketenagakerjaan</t>
  </si>
  <si>
    <t>Penyediaan dan Pembinaan Data 5 Sasaran Visi IE dan 45 IUP Statistik Kesejahteraan Rakyat</t>
  </si>
  <si>
    <t>Penyediaan dan Pembinaan Data 5 Sasaran Visi IE dan 45 IUP Statistik Ketahanan Sosial</t>
  </si>
  <si>
    <t>Penyediaan dan Pembinaan Data 5 Sasaran Visi Indonesia Emas dan 45 Indikator Utama Pembangunan Statistik Kesejahteraan Rakyat</t>
  </si>
  <si>
    <t>Penyusunan Indikator Kematian Balita dan Kematian Dewasa</t>
  </si>
  <si>
    <t>Penyusunan Publikasi Analisis Mobilitas Tenaga Kerja Hasil Sakernas</t>
  </si>
  <si>
    <t>Penyusunan Publikasi Statistik Demografi Indonesia</t>
  </si>
  <si>
    <t>Penyusunan Publikasi Statistik Mobilitas Penduduk dan Tenaga Kerja</t>
  </si>
  <si>
    <t>Penyusunan Statistik Lingkungan Hidup Indonesia (SLHI)</t>
  </si>
  <si>
    <t>Penyusunan Statistik Politik dan Keamanan</t>
  </si>
  <si>
    <t>Penyusunan Statistik Sumber Daya Laut dan Pesisir (SDLP)</t>
  </si>
  <si>
    <t>Penyusunan Statistik Upah dan Pendapatan</t>
  </si>
  <si>
    <t>Profil Anak Usia Dini</t>
  </si>
  <si>
    <t>Profil Kesehatan Ibu dan Anak</t>
  </si>
  <si>
    <t>Publikasi Penduduk dan Indikator Kependudukan</t>
  </si>
  <si>
    <t>Publikasi Profil Migran Hasil Survei Sosial Ekonomi Nasional</t>
  </si>
  <si>
    <t>Satu Data Migrasi Internasional</t>
  </si>
  <si>
    <t>Seruti</t>
  </si>
  <si>
    <t>Sistem Statistik Hayati Indonesia</t>
  </si>
  <si>
    <t>Statistik Kesejahteraan Rakyat</t>
  </si>
  <si>
    <t>Statistik Pendidikan</t>
  </si>
  <si>
    <t>Publikasi/Laporan Sakernas</t>
  </si>
  <si>
    <t>Survei Angkatan Kerja Nasional Agustus</t>
  </si>
  <si>
    <t>Survei Angkatan Kerja Nasional Mei</t>
  </si>
  <si>
    <t>Publikasi/Laporan Survei Penduduk Antar Sensus</t>
  </si>
  <si>
    <t>Survei Penduduk Antar Sensus 2025</t>
  </si>
  <si>
    <t>Survei Penduduk Lanjut Usia dan Statistik Pemuda</t>
  </si>
  <si>
    <t>Survei Prilaku Anti Korupsi</t>
  </si>
  <si>
    <t>Publikasi/Laporan Susenas</t>
  </si>
  <si>
    <t>Susenas Maret</t>
  </si>
  <si>
    <t>Susenas September</t>
  </si>
  <si>
    <t>Uji Coba Survei Penduduk Antar Sensus (SUPAS) 2025</t>
  </si>
  <si>
    <t>Penyiapan pengumpulan data</t>
  </si>
  <si>
    <t>Pelatihan petugas</t>
  </si>
  <si>
    <t>Pengumpulan data</t>
  </si>
  <si>
    <t>Pengawasan dan pemeriksaan data</t>
  </si>
  <si>
    <t>Supervisi pengumpulan data</t>
  </si>
  <si>
    <t>Coding, validasi, dan imputasi data</t>
  </si>
  <si>
    <t>Melakukan analisis deskriptif</t>
  </si>
  <si>
    <t>Publisitas/diseminasi hasil pendataan</t>
  </si>
  <si>
    <t>Kode Satker</t>
  </si>
  <si>
    <t>Nama Satker</t>
  </si>
  <si>
    <t>Kegiatan (After)</t>
  </si>
  <si>
    <t>Unit Eselon II</t>
  </si>
  <si>
    <t>Uraian Pekerjaan</t>
  </si>
  <si>
    <t>SAKIP</t>
  </si>
  <si>
    <t>2100 Biro Perencanaan</t>
  </si>
  <si>
    <t>Membentuk Tim SAKIP</t>
  </si>
  <si>
    <t>Penyusunan SK Tim SAKIP</t>
  </si>
  <si>
    <t>Pembuatan Surat Undangan Briefing Pengelola SAKIP</t>
  </si>
  <si>
    <t>Pembuatan Daftar Hadir Briefing Pengelola SAKIP</t>
  </si>
  <si>
    <t>Penyusunan Notulen Briefing Pengelola SAKIP</t>
  </si>
  <si>
    <t>Penyusunan Dokumentasi Briefing Pengelola SAKIP</t>
  </si>
  <si>
    <t>Pembuatan Surat Undangan Narasumber Briefing Pengelola SAKIP</t>
  </si>
  <si>
    <t>Workshop Tim SAKIP oleh Inspektorat/Biro Perencanaan</t>
  </si>
  <si>
    <t>Penyusunan Surat Permohonan Narasumber Pembinaan Tim SAKIP BPS Provinsi dan BPS Kabupaten/Kota</t>
  </si>
  <si>
    <t>Koordinasi Permohonan Narasumber Pembinaan Tim SAKIP BPS Provinsi dan BPS Kabupaten/Kota</t>
  </si>
  <si>
    <t>Pembuatan Virtual Background/Backdrop Pembinaan Tim SAKIP BPS Provinsi dan BPS Kabupaten/Kota</t>
  </si>
  <si>
    <t>Penyusunan Surat Undangan dan Daftar Hadir Pembinaan Tim SAKIP BPS Provinsi dan BPS Kabupaten/Kota</t>
  </si>
  <si>
    <t>Pengajuan Ruang Pertemuan virtual/Paket Meeting Pembinaan Tim SAKIP BPS Provinsi dan BPS Kabupaten/Kota</t>
  </si>
  <si>
    <t>Penyusunan Materi Pembinaan Tim SAKIP BPS Provinsi dan BPS Kabupaten/Kota</t>
  </si>
  <si>
    <t>Alokasi Petugas Pembinaan Tim SAKIP BPS Provinsi dan BPS Kabupaten/Kota</t>
  </si>
  <si>
    <t>Bertugas Menjadi MC Pembinaan Tim SAKIP BPS Provinsi dan BPS Kabupaten/Kota</t>
  </si>
  <si>
    <t>Bertugas Menjadi Moderator Pembinaan Tim SAKIP BPS Provinsi dan BPS Kabupaten/Kota</t>
  </si>
  <si>
    <t>Pelaksanaan Pembinaan Tim SAKIP BPS Kabupaten/Kota</t>
  </si>
  <si>
    <t>Penyusunan Laporan Pembinaan Tim SAKIP BPS Kabupaten/Kota</t>
  </si>
  <si>
    <t>Penyusunan Dasar Hitung Perjanjian Kinerja</t>
  </si>
  <si>
    <t>Penyusunan Draft Perjanjian Kinerja</t>
  </si>
  <si>
    <t>Upload Draft Perjanjian Kinerja</t>
  </si>
  <si>
    <t>Penyusunan Surat Undangan Rapat Perjanjian Kinerja</t>
  </si>
  <si>
    <t>Penyusunan Daftar Hadir Rapat Perjanjian Kinerja</t>
  </si>
  <si>
    <t>Penyusunan Paparan Rapat Perjanjian Kinerja</t>
  </si>
  <si>
    <t>Pelaksanaan Rapat Perjanjian Kinerja</t>
  </si>
  <si>
    <t>Penyusunan Notula Rapat Perjanjian Kinerja</t>
  </si>
  <si>
    <t>Penyusunan Dokumentasi Rapat Perjanjian Kinerja</t>
  </si>
  <si>
    <t>Penyiapan Bukti Dukung Rapat Perjanjian Kinerja</t>
  </si>
  <si>
    <t>Penyiapan Draft Perjanjian Kinerja</t>
  </si>
  <si>
    <t>Filling Dokumen Penetapan Perjanjian Kinerja</t>
  </si>
  <si>
    <t>Monitoring dan evaluasi Perjanjian Kinerja</t>
  </si>
  <si>
    <t>Pembuatan Surat Undangan Rapat Monitoring Capaian PK Tahunan</t>
  </si>
  <si>
    <t>Pembuatan Daftar Hadir Rapat Monitoring Capaian PK Tahunan</t>
  </si>
  <si>
    <t>Penyusunan Notulen Rapat Monitoring Capaian PK Tahunan</t>
  </si>
  <si>
    <t>Penyusunan Dokumentasi Rapat Monitoring Capaian PK Tahunan</t>
  </si>
  <si>
    <t>Penyiapan bukti dukung  Rapat Monitoring Capaian PK Tahunan</t>
  </si>
  <si>
    <t>Filling dokumen Monitoring Capaian PK Tahunan</t>
  </si>
  <si>
    <t>pembuatan sistem monitorng kegiatan</t>
  </si>
  <si>
    <t>mengelola sistem monitoring kegiatan</t>
  </si>
  <si>
    <t>Pembuatan lembar kerja penilaian pegawai teladan</t>
  </si>
  <si>
    <t>Pembuatan lembar kerja penilaian mitra teladan</t>
  </si>
  <si>
    <t>Melakukan penilaian pegawai teladan triwulanan</t>
  </si>
  <si>
    <t>Melakukan penilaian mitra statistik teladan triwulanan</t>
  </si>
  <si>
    <t xml:space="preserve">Penyelesaian Administrasi </t>
  </si>
  <si>
    <t>Penyusunan KAK</t>
  </si>
  <si>
    <t>Pengajuan Form Permintaan</t>
  </si>
  <si>
    <t>Entry nama di BOS oleh operator</t>
  </si>
  <si>
    <t>Approve BOS oleh penanggungjawab</t>
  </si>
  <si>
    <t>Approve BOS oleh PPK</t>
  </si>
  <si>
    <t>Pembuatan SK Pelaksana</t>
  </si>
  <si>
    <t>Input Mobile Banking Pembayaran Uang Harian dan Transpor</t>
  </si>
  <si>
    <t>Approve transaksi pembayaran uang harian dan Transport</t>
  </si>
  <si>
    <t>Input Realisasi Pelaksanaan di BOS</t>
  </si>
  <si>
    <t xml:space="preserve">Pengarsipan Dokumen </t>
  </si>
  <si>
    <t>Menerima prototype laporan kinerja dan memberikan arahan kepada anggota tim</t>
  </si>
  <si>
    <t xml:space="preserve">menyiapkan konsep surat kepada BPS Kabupaten/Kota </t>
  </si>
  <si>
    <t>Menyiapkan dan mempelajari materi serta bahan pendukung penyusunan laporan kinerja</t>
  </si>
  <si>
    <t>Pengumpulan data bahan Laporan Kinerja</t>
  </si>
  <si>
    <t>Mengolah data realisasi kegiatan dengan menggunakan formulir Pengukuran Kinerja</t>
  </si>
  <si>
    <t>Menghitung nilai capaian kinerja dengan menggunakan rumus-rumus secara tepat</t>
  </si>
  <si>
    <t>Mengolah data bahan masukan penyusunan narasi</t>
  </si>
  <si>
    <t xml:space="preserve">Menyampaikan konsep hasil pengolahan Laporan kinerja </t>
  </si>
  <si>
    <t>Penyusunan Laporan Kinerja</t>
  </si>
  <si>
    <t xml:space="preserve">Editing Laporan Kinerja </t>
  </si>
  <si>
    <t>Layouting Laporan Kinerja</t>
  </si>
  <si>
    <t>Pembuatan Cover Laporan Kinerja</t>
  </si>
  <si>
    <t>Memeriksa konsep laporan kinerja berdasarkan bahan pendukung</t>
  </si>
  <si>
    <t>Penyusunan Surat Undangan Rapat Laporan Kinerja</t>
  </si>
  <si>
    <t>Penyusunan Daftar Hadir Rapat Laporan Kinerja</t>
  </si>
  <si>
    <t>Penyusunan Paparan Rapat Laporan Kinerja</t>
  </si>
  <si>
    <t>Pembahasan bersama laporan kinerja</t>
  </si>
  <si>
    <t>Penyusunan Notula Rapat Laporan Kinerja</t>
  </si>
  <si>
    <t>Upload Laporan Kinerja</t>
  </si>
  <si>
    <t>Monitoring dan Evaluasi Laporan Kinerja</t>
  </si>
  <si>
    <t>Mengkoordinasikan dan mengarahkan staf untuk menyusun konsep laporan kinerja hasil pembahasan berupa hasil pengukuran kinerja serta narasinya</t>
  </si>
  <si>
    <t>Memeriksa konsep laporan kinerja hasil pembahasan selanjutnya menyampaikan kepada Kabag Tata Usaha</t>
  </si>
  <si>
    <t>Memeriksa dan memaraf konsep laporan kinerja untuk selanjutnya disampaikan kepada Kepala BPS Provinsi untuk meminta penetapan/ persetujuan</t>
  </si>
  <si>
    <t>Menerima dan menandatangani laporan kinerja untuk selanjutnya disampaikan kepada Kepala BPS RI</t>
  </si>
  <si>
    <t>Menerima laporan kinerja BPS Provinsi yang telah mendapatkan paraf Kepala BPS Provinsi beserta lampirannya</t>
  </si>
  <si>
    <t>Menyusun Surat Pengantar Pengiriman laporan kinerja ke BPS</t>
  </si>
  <si>
    <t>Pembuatan kertas kerja penilaian reward/punishment</t>
  </si>
  <si>
    <t>Pembuatan bukti penilaian reward/punishment</t>
  </si>
  <si>
    <t>Pencetakan bukti penilaian reward/punishment (jika berupa piagam/plakat)</t>
  </si>
  <si>
    <t xml:space="preserve">Pemenuhan Permintaan Dokumen (Permindok) Evaluasi AKIP </t>
  </si>
  <si>
    <t>Perbaikan Dokumen SAKIP</t>
  </si>
  <si>
    <t>Koordinasi dengan inspektorat dan BPS Kabupaten/Kota terkait Permindok Evaluasi AKIP</t>
  </si>
  <si>
    <t>Pemeriksaan  kertas kerja implementasi SAKIP BPS Kabupaten/Kota</t>
  </si>
  <si>
    <t>Penyusunan SOP Pengumpulan Data Kinerja</t>
  </si>
  <si>
    <t>Pengisian Kertas Kerja Implementasi AKIP</t>
  </si>
  <si>
    <t>Capaian Kinerja Triwulanan IV</t>
  </si>
  <si>
    <t>Pengisian Form Rencana Aksi Triwulanan</t>
  </si>
  <si>
    <t>Perencanaan dan Penganggaran</t>
  </si>
  <si>
    <t>Penyusunan RKAKL</t>
  </si>
  <si>
    <t>Pemeriksaan Pengisian Form Rencana Aksi Triwulanan</t>
  </si>
  <si>
    <t>Penyusunan Pagu Indikatif</t>
  </si>
  <si>
    <t>Pembuatan Surat Undangan Rapat Evaluasi Capaian Kinerja Triwulanan</t>
  </si>
  <si>
    <t>Penyusunan Paparan Rapat Evaluasi Capaian Kinerja Triwulanan</t>
  </si>
  <si>
    <t xml:space="preserve">Menerima surat dan rincian dasar hitung </t>
  </si>
  <si>
    <t>Melakukan input dalam aplikasi SAKTI-Dukman</t>
  </si>
  <si>
    <t>Pelaksanaan Rapat Evaluasi Capaian Kinerja Triwulanan</t>
  </si>
  <si>
    <t>Melakukan input dalam aplikasi SAKTI-PPIS</t>
  </si>
  <si>
    <t>Melakukan input RPD dalam aplikasi SAKTI-Dukman</t>
  </si>
  <si>
    <t>Pembuatan Daftar Hadir Rapat Evaluasi Capaian Kinerja Triwulanan</t>
  </si>
  <si>
    <t>Melakukan input RPD dalam aplikasi SAKTI-PPIS</t>
  </si>
  <si>
    <t>Penyusunan Notulen Rapat Evaluasi Capaian Kinerja Triwulanan</t>
  </si>
  <si>
    <t>Melakukan Validasi</t>
  </si>
  <si>
    <t>Upload Evaluasi Capaian Kinerja Triwulan</t>
  </si>
  <si>
    <t>Aproval dan submit unit</t>
  </si>
  <si>
    <t>Melakukan Pencetakan RKA</t>
  </si>
  <si>
    <t>Penyusunan Dokumentasi Rapat Evaluasi Kinerja Triwulanan</t>
  </si>
  <si>
    <t>Filling dokumen</t>
  </si>
  <si>
    <t>Penyiapan bukti dukung administrasi untuk Evaluasi Kinerja Triwulanan</t>
  </si>
  <si>
    <t>Dasar Hitung Petugas Y+1</t>
  </si>
  <si>
    <t>Penyiapan bukti dukung teknis untuk Evaluasi Kinerja Triwulanan</t>
  </si>
  <si>
    <t>Penerimaan Surat permintaan jumlah petugas dari BPS Provinsi</t>
  </si>
  <si>
    <t>Input Dokumentasi Rapat FRA ke Monev BPS Rapat FRA Triwulanan</t>
  </si>
  <si>
    <t>Kompilasi data jumlah petugas dari ketua tim di BPS Kab/Kota</t>
  </si>
  <si>
    <t>Mengirimkan data jumlah petugas ke provinsi</t>
  </si>
  <si>
    <t>Monitoring dan Evaluasi Capaian Kinerja Triwulanan</t>
  </si>
  <si>
    <t>Penyusunan Pagu Alokasi</t>
  </si>
  <si>
    <t xml:space="preserve">Capaian Kinerja Triwulanan I </t>
  </si>
  <si>
    <t>Penerimaan Surat penyusunan pagu alokasi dan dasar hitung</t>
  </si>
  <si>
    <t xml:space="preserve">Melakukan Pencetakan </t>
  </si>
  <si>
    <t>Revisi POK</t>
  </si>
  <si>
    <t>Revisi POK di Aplikasi Backoffice</t>
  </si>
  <si>
    <t>Telaah ketersediaan anggaran pada POK</t>
  </si>
  <si>
    <t>Membuat Matriks Revisi</t>
  </si>
  <si>
    <t>Menerima usulan revisi POK dari Fungsi</t>
  </si>
  <si>
    <t xml:space="preserve">Melakukan Input di aplikasi Backoffice </t>
  </si>
  <si>
    <t>Mengirim revisi POK ke PJ</t>
  </si>
  <si>
    <t>Aproval PJ</t>
  </si>
  <si>
    <t>Aproval PPK</t>
  </si>
  <si>
    <t>Pemeriksaan usulan revisi oleh admin anggaran</t>
  </si>
  <si>
    <t>Aproval KPA</t>
  </si>
  <si>
    <t>Entry Pembiayaan</t>
  </si>
  <si>
    <t>Capaian Kinerja Triwulanan II</t>
  </si>
  <si>
    <t>Revisi POK di Aplikasi SAKTI</t>
  </si>
  <si>
    <t>Menerima usulan revisi POK dalam bentuk matriks semula menjadi (output BOS)</t>
  </si>
  <si>
    <t>Melakukan input di aplikasi SAKTI</t>
  </si>
  <si>
    <t>Melakukan input RPD di aplikasi SAKTI</t>
  </si>
  <si>
    <t>Validasi</t>
  </si>
  <si>
    <t>Aproval KPA dan Proses COA</t>
  </si>
  <si>
    <t>Melakukan pencetakan POK</t>
  </si>
  <si>
    <t>Membuat surat persetujuan revisi</t>
  </si>
  <si>
    <t>Mengirim POK yang telah direvisi ke fungsi</t>
  </si>
  <si>
    <t>Revisi DIPA</t>
  </si>
  <si>
    <t>Revisi DIPA di Aplikasi Backoffice</t>
  </si>
  <si>
    <t xml:space="preserve">Telaah ketersediaan Anggaran </t>
  </si>
  <si>
    <t>Menerima usulan revisi DIPA</t>
  </si>
  <si>
    <t>Mengirim revisi DIPA ke KPA</t>
  </si>
  <si>
    <t xml:space="preserve">Revisi DIPA di Aplikasi SAKTI - Kanwil </t>
  </si>
  <si>
    <t>Menerima usulan revisi DIPA dalam bentuk matriks semula menjadi (output BOS)</t>
  </si>
  <si>
    <t>Melakukan pencetakan DIPA</t>
  </si>
  <si>
    <t>Membuat surat Usulan revisi</t>
  </si>
  <si>
    <t>Capaian Kinerja Triwulanan III</t>
  </si>
  <si>
    <t>Membuat Berkas kelengkapan revisi</t>
  </si>
  <si>
    <t>Melakukan upload dokumen revisi di SAKTI</t>
  </si>
  <si>
    <t>Menerima ADK yang sudah disahkan dan diterbitkan oleh Kanwil</t>
  </si>
  <si>
    <t xml:space="preserve">Membuat surat pemberitahuan hasil persetujuan revisi </t>
  </si>
  <si>
    <t xml:space="preserve">Revisi DIPA di Aplikasi SAKTI - DJA </t>
  </si>
  <si>
    <t>Menerima surat dari BPS Provinsi terkait revisi DIPA</t>
  </si>
  <si>
    <t>submit unit BPS</t>
  </si>
  <si>
    <t>Monitoring dan pengecekan revisi Kab/kota</t>
  </si>
  <si>
    <t>Monitoring dan Evaluasi</t>
  </si>
  <si>
    <t>E-Monev Bappenas</t>
  </si>
  <si>
    <t xml:space="preserve">Mengajukan permintaan data capaian output dan realisasi belanja </t>
  </si>
  <si>
    <t>Melakukan input data Komponen dan realisasi belanja di aplikasi emonev bappenas</t>
  </si>
  <si>
    <t>Melakukan input rincian output  di aplikasi emonev bappenas</t>
  </si>
  <si>
    <t>Tindak Lanjut hasil monitoring</t>
  </si>
  <si>
    <t>Pengarsipan dokumen/file</t>
  </si>
  <si>
    <t>Capaian Output</t>
  </si>
  <si>
    <t>Membuat surat capaian output ke fungsi (turunan surat dari KPPN)</t>
  </si>
  <si>
    <t>Kompilasi data capaian output dari fungsi</t>
  </si>
  <si>
    <t>Melakukan input data capaian output ke aplikasi SAKTI</t>
  </si>
  <si>
    <t>SMART DJA</t>
  </si>
  <si>
    <t>Monitoring capaian output bulanan di aplikasi smart kemenkeu</t>
  </si>
  <si>
    <t>Pembuatan Laporan semesteran</t>
  </si>
  <si>
    <t>Pengecekan Anomali dan tindak lanjut</t>
  </si>
  <si>
    <t>Penyusunan Surat Undangan Rapat  Monitoring Capaian Rencana Strategis</t>
  </si>
  <si>
    <t>Monitoring Pengadaan</t>
  </si>
  <si>
    <t>Melakukan Monitoring</t>
  </si>
  <si>
    <t>Membuat Laporan Monitoring</t>
  </si>
  <si>
    <t>Penyusunan Daftar Hadir Rapat Monitoring Capaian Rencana Strategis</t>
  </si>
  <si>
    <t>Mengirim laporan monitoring ke BPS Provinsi</t>
  </si>
  <si>
    <t>TPNBP</t>
  </si>
  <si>
    <t>Penyusunan Paparan Rapat Monitoring Capaian Rencana Strategis</t>
  </si>
  <si>
    <t>Permintaan data PNBP ke keuangan</t>
  </si>
  <si>
    <t>Melakukan input data di aplikasi TPNBP</t>
  </si>
  <si>
    <t>Pelaksanaan Rapat Monitoring Capaian Rencana Strategis</t>
  </si>
  <si>
    <t>Mengirimkan data PNBP ke BPS Provinsi</t>
  </si>
  <si>
    <t>IPLAN &amp; Masterplan</t>
  </si>
  <si>
    <t>Penyusunan Dokumen Bukti Tindak Lanjut Capaian Rencana Strategis</t>
  </si>
  <si>
    <t xml:space="preserve">Penyusunan Notula Rapat Monitoring Capaian Rencana Strategis </t>
  </si>
  <si>
    <t>Penyusunan Dokumentasi Rapat Monitoring Capaian Renstra Tahunan</t>
  </si>
  <si>
    <t>Membuat undangan rapat penyusunan kebutuhan sarana dan prasarana</t>
  </si>
  <si>
    <t>Rapat Penyusunan Rencana Kebutuhan Sarana dan Prasarana</t>
  </si>
  <si>
    <t>Penyiapan bukti dukung  Rapat Monitoring Capaian Renstra Tahunan</t>
  </si>
  <si>
    <t>Updating informasi existing sarana dan prasarana di aplikasi IPLAN</t>
  </si>
  <si>
    <t xml:space="preserve">Penyusunan Reviu Renstra (Jika ada instruksi dari Biroren) </t>
  </si>
  <si>
    <t>Permintaan data kegiatan lapangan (jumlah petugas) ke fungsi</t>
  </si>
  <si>
    <t>penyusunan rate translok - Kab/Kota</t>
  </si>
  <si>
    <t>Penyusunan Notula Reviu target Rencana Strategis</t>
  </si>
  <si>
    <t>Pembuatan SK rate transport</t>
  </si>
  <si>
    <t>Membuat RAB</t>
  </si>
  <si>
    <t>Monitoring dan Evaluasi Reviu target Rencana Strategis</t>
  </si>
  <si>
    <t>Melakukan input realisasi PNBP dan rencana PNBP di aplikasi IPLAN</t>
  </si>
  <si>
    <t>Melakukan input usulan sarana dan prasarana</t>
  </si>
  <si>
    <t>Pelaporan Kerjasama</t>
  </si>
  <si>
    <t>Menerima disposisi surat rencana pengadaan sarana dan prasarana</t>
  </si>
  <si>
    <t>Membuat surat pernyataan tidak ada kerjasama (apabila tidak ada kerjasama)</t>
  </si>
  <si>
    <t>Membuat Konsep surat rencana pengadaan sarana dan prasarana untuk BPS Kabupaten/Kota</t>
  </si>
  <si>
    <t>Upload dokumen di aplikasi kerjasama</t>
  </si>
  <si>
    <t>SK Kegiatan</t>
  </si>
  <si>
    <t>Memeriksa Konsep surat</t>
  </si>
  <si>
    <t>Menerima Permintaan SK Kegiatan dari Fungsi</t>
  </si>
  <si>
    <t>Melakukan permintaan data (peserta, lokasi, dan waktu kegiatan)</t>
  </si>
  <si>
    <t>Penandatangan Surat</t>
  </si>
  <si>
    <t>Penyusunan Draft SK Kegiatan</t>
  </si>
  <si>
    <t xml:space="preserve">Aproval Kepala </t>
  </si>
  <si>
    <t>Pengiriman Surat dan file pengadaan sarana dan prasarana ke Kabupaten/Kota</t>
  </si>
  <si>
    <t>Filling Dokumen (Softfile &amp; Hardfile)</t>
  </si>
  <si>
    <t>Membentuk tim SAKIP</t>
  </si>
  <si>
    <t>Pengiriman file yang berisikan usulan pengadaan sarana dan prasarana dari BPS Kabupaten/Kota</t>
  </si>
  <si>
    <t xml:space="preserve">Membuat SK Tim </t>
  </si>
  <si>
    <t>Kompilasi data usulan pengadaan</t>
  </si>
  <si>
    <t>Menerima prototype LAKIP BPS dan memberikan arahan kepada anggota tim</t>
  </si>
  <si>
    <t>Pemeriksaan hasil kompilasi</t>
  </si>
  <si>
    <t>Menerima konsep surat dari BPS provinsi</t>
  </si>
  <si>
    <t>Menyiapkan dan mempelajari materi serta bahan pendukung penyusunan LAKIP</t>
  </si>
  <si>
    <t>Penandatanganan hasil kompilasi</t>
  </si>
  <si>
    <t>Konsep surat pengantar rencana pengadaan sarana dan prasarana BPS Se-Provinsi DKI Jakarta ke BPS Pusat</t>
  </si>
  <si>
    <t>Pemeriksaan surat pengantar</t>
  </si>
  <si>
    <t>Penandatanganan surat pengantar</t>
  </si>
  <si>
    <t xml:space="preserve">Menyampaikan konsep hasil pengolahan LAKIP </t>
  </si>
  <si>
    <t>Pengiriman data ke BPS Pusat</t>
  </si>
  <si>
    <t>Memeriksa konsep LAKIP BPS  berdasarkan bahan pendukung</t>
  </si>
  <si>
    <t>Pembahasan bersama LAKIP</t>
  </si>
  <si>
    <t>Mengkoordinasikan dan mengarahkan staf untuk menyusun konsep LAKIP hasil pembahasan berupa hasil pengukuran kinerja serta narasinya</t>
  </si>
  <si>
    <t>Penyimpanan data rencana pengadaan sarana dan prasarana</t>
  </si>
  <si>
    <t>Memeriksa konsep LAKIP hasil pembahasan selanjutnya menyampaikan kepada Kasubag Umum</t>
  </si>
  <si>
    <t>Menerima dan menandatangani LAKIP untuk selanjutnya disampaikan kepada Kepala BPS Kab/Kota</t>
  </si>
  <si>
    <t>Menerima LAKIP BPS Kab/Kota yang telah mendapatkan paraf Kepala BPS Kab/Kota beserta lampirannya</t>
  </si>
  <si>
    <t>PNBP</t>
  </si>
  <si>
    <t>Menyusun ADK PNBP per akun</t>
  </si>
  <si>
    <t>Menyusun Surat Pengantar Pengiriman LAKIP ke BPS provinsi</t>
  </si>
  <si>
    <t xml:space="preserve">Filling dokumen </t>
  </si>
  <si>
    <t>Penyusunan Rencana Strategis</t>
  </si>
  <si>
    <t>Menyusun usulan dan target penggunaan PNBP</t>
  </si>
  <si>
    <t>Penyiapan materi</t>
  </si>
  <si>
    <t>Penyusunan konsep Renstra</t>
  </si>
  <si>
    <t>Menyusun proposal penerimaan PNBP</t>
  </si>
  <si>
    <t>Pembahasan draft Renstra</t>
  </si>
  <si>
    <t>Penyusunan draft Renstra final</t>
  </si>
  <si>
    <t>Penelaahan usulan rencana penerimaan PNBP</t>
  </si>
  <si>
    <t>Pemeriksaan draft Renstra final</t>
  </si>
  <si>
    <t>Terima rincian biaya yang akan di entry</t>
  </si>
  <si>
    <t>Melaporkan Renstra final</t>
  </si>
  <si>
    <t>Pembuatan katalog publikasi, meminta dan menerima nomor publikasi serta mencetak naskah Renstra</t>
  </si>
  <si>
    <t>Input rincian biaya sensus ke dalam aplikasi RKAKL pada tiap satker</t>
  </si>
  <si>
    <t xml:space="preserve">Pengesahan Renstra BPS Kab/Kota </t>
  </si>
  <si>
    <t>Penerimaan dan penyimpanan Renstra BPS yang telah disahkan</t>
  </si>
  <si>
    <t>Memvalidasi lokasi kegiatan dan KPPN tiap satker</t>
  </si>
  <si>
    <t>Menerima Renstra BPS Kab/Kota disertai surat penyampaiannya</t>
  </si>
  <si>
    <t>Backup data RKAKL dan pengiriman Backup data RKAKL ke BPS Pusat</t>
  </si>
  <si>
    <t>FRA</t>
  </si>
  <si>
    <t>Penyusunan Form Rencana Aksi (FRA) dan Penetapan Kinerja (PK)</t>
  </si>
  <si>
    <t>Menerima surat dari BPS Provinsi Terkait FRA</t>
  </si>
  <si>
    <t xml:space="preserve">Cetak RKAKL </t>
  </si>
  <si>
    <t>Membuat surat undangan rapat FRA ke fungsi</t>
  </si>
  <si>
    <t xml:space="preserve">Rapat FRA </t>
  </si>
  <si>
    <t>Membahas perubahan volume dan harga satuan pada dasar hitung sensus karena perubahan pagu</t>
  </si>
  <si>
    <t>Membuat Notula</t>
  </si>
  <si>
    <t>Membuat Dokumentasi</t>
  </si>
  <si>
    <t xml:space="preserve">Menyesuaikan volume dan harga satuan yang berubah pada dasar hitung serta rincian biayanya </t>
  </si>
  <si>
    <t>Pembuatan daftar hadir</t>
  </si>
  <si>
    <t xml:space="preserve">Penyiapan bukti dukung </t>
  </si>
  <si>
    <t>Penyiapan Draft Perjanjian Kinerja (PK)</t>
  </si>
  <si>
    <t>Upload PK di Monev BPS dan PPID</t>
  </si>
  <si>
    <t>Monitoring Capaian Renstra</t>
  </si>
  <si>
    <t>Rapat Membuat Rencana Kerja Tim dan Penetapan Target Prioritas</t>
  </si>
  <si>
    <t>Pembuatan Surat Undangan</t>
  </si>
  <si>
    <t>Pembuatan Daftar Hadir</t>
  </si>
  <si>
    <t xml:space="preserve">Menerima disposisi usulan revisi POK </t>
  </si>
  <si>
    <t>Pelaksanaan Rapat</t>
  </si>
  <si>
    <t>Penyusunan Notulen</t>
  </si>
  <si>
    <t>Memvalidasi perubahan yang diusulkan sesuai dengan Bagan Akun Standar dan kewenangan revisinya</t>
  </si>
  <si>
    <t>Penyusunan Dokumentasi</t>
  </si>
  <si>
    <t>Membuat surat persetujuan revisi POK</t>
  </si>
  <si>
    <t>Rapat Monitoring Capaian Renstra Tahunan</t>
  </si>
  <si>
    <t xml:space="preserve">Mencetak surat persetujuan revisi POK </t>
  </si>
  <si>
    <t>Input perubahan yg sudah disetujui ke dalam  RKAKL</t>
  </si>
  <si>
    <t>Backup data RKAKL dan pengiriman Backup data RKAKL ke Kanwil DJPB</t>
  </si>
  <si>
    <t>Penyusunan revisi DIA</t>
  </si>
  <si>
    <t xml:space="preserve">Menerima disposisi usulan revisi DIPA </t>
  </si>
  <si>
    <t>Rapat Monitoring Capaian PK Tahunan</t>
  </si>
  <si>
    <t>Membuat surat usulan revisi DIPA dan lampiran rincian perubahannya</t>
  </si>
  <si>
    <t>Mengupdate RKAKL satker yang direvisi</t>
  </si>
  <si>
    <t>Pembahasan dengan DJPB</t>
  </si>
  <si>
    <t>Menerima SP-RKAKL yang disahkan DJPB kemudian membuat surat pengesahan DIPA ke DJPB</t>
  </si>
  <si>
    <t>Pengesahan DIPA oleh DJPB</t>
  </si>
  <si>
    <t>Rapat Penetapan Target Kinerja Tahunan</t>
  </si>
  <si>
    <t>Entry Iplan</t>
  </si>
  <si>
    <t>Mengikuti sosialisasi Iplan untuk usulan Masterplan</t>
  </si>
  <si>
    <t>Menyusun TOR dan RAB untuk usulan Masterplan</t>
  </si>
  <si>
    <t>Melakukan rekapitulasi usulan masterplan dari satker</t>
  </si>
  <si>
    <t>Melakukan evaluasi usulan TOR dan RAB masterplan dari satker</t>
  </si>
  <si>
    <t xml:space="preserve">Entry Prasarana Fisik ke Iplan </t>
  </si>
  <si>
    <t>FRA Triwulan IV</t>
  </si>
  <si>
    <t>Rapat FRA Triwulan IV</t>
  </si>
  <si>
    <t>Cetak hasil Entry Prasarana Fisik</t>
  </si>
  <si>
    <t>Pemeriksaan hasil Entry Prasarana Fisik</t>
  </si>
  <si>
    <t>Penyiapan bukti dukung administrasi untuk FRA</t>
  </si>
  <si>
    <t>Membuat Konsep dan pencetakan surat pengiriman data Prasarana Fisik ke BPS Pusat</t>
  </si>
  <si>
    <t>Penyiapan bukti dukung teknis untuk FRA</t>
  </si>
  <si>
    <t>Input Dokumentasi Rapat FRA ke Monev BPS</t>
  </si>
  <si>
    <t>Memeriksa surat pengiriman data  Prasarana Fisik</t>
  </si>
  <si>
    <t>FRA Triwulan I</t>
  </si>
  <si>
    <t>Rapat FRA Triwulan I</t>
  </si>
  <si>
    <t>Penandatangan surat pengiriman data Prasarana Fisik</t>
  </si>
  <si>
    <t>Pengiriman data Prasarana Fisik</t>
  </si>
  <si>
    <t>Rencana Penarikan Dana Tahunan</t>
  </si>
  <si>
    <t>Pengumpulan bahan Rencana Penarikan Dana Tahunan</t>
  </si>
  <si>
    <r>
      <rPr>
        <rFont val="Calibri"/>
        <color rgb="FF000000"/>
        <sz val="11.0"/>
      </rPr>
      <t xml:space="preserve">Penyusunan Konsep </t>
    </r>
    <r>
      <rPr>
        <rFont val="Calibri Light"/>
        <i/>
        <color rgb="FF000000"/>
        <sz val="11.0"/>
      </rPr>
      <t>draft</t>
    </r>
    <r>
      <rPr>
        <rFont val="Calibri Light"/>
        <color rgb="FF000000"/>
        <sz val="11.0"/>
      </rPr>
      <t xml:space="preserve"> Rencana Penarikan Dana Tahunan</t>
    </r>
  </si>
  <si>
    <t>FRA Triwulan II</t>
  </si>
  <si>
    <t>Rapat FRA Triwulan II</t>
  </si>
  <si>
    <r>
      <rPr>
        <rFont val="Calibri"/>
        <color rgb="FF000000"/>
        <sz val="11.0"/>
      </rPr>
      <t xml:space="preserve">Penyusunan  </t>
    </r>
    <r>
      <rPr>
        <rFont val="Calibri Light"/>
        <i/>
        <color rgb="FF000000"/>
        <sz val="11.0"/>
      </rPr>
      <t>draft</t>
    </r>
    <r>
      <rPr>
        <rFont val="Calibri Light"/>
        <color rgb="FF000000"/>
        <sz val="11.0"/>
      </rPr>
      <t xml:space="preserve"> Rencana Penarikan Dana Tahunan</t>
    </r>
  </si>
  <si>
    <r>
      <rPr>
        <rFont val="Calibri"/>
        <color rgb="FF000000"/>
        <sz val="11.0"/>
      </rPr>
      <t xml:space="preserve">Pemeriksaan </t>
    </r>
    <r>
      <rPr>
        <rFont val="Calibri Light"/>
        <i/>
        <color rgb="FF000000"/>
        <sz val="11.0"/>
      </rPr>
      <t>draft</t>
    </r>
    <r>
      <rPr>
        <rFont val="Calibri Light"/>
        <color rgb="FF000000"/>
        <sz val="11.0"/>
      </rPr>
      <t xml:space="preserve"> Rencana Penarikan Dana Tahunan</t>
    </r>
  </si>
  <si>
    <t>Pencetakan Rencana Penarikan Dana Tahunan</t>
  </si>
  <si>
    <t>Pengesahan Rencana Penarikan Dana Tahunan</t>
  </si>
  <si>
    <t>Penerimaan Rencana Penarikan Dana yang sudah Disahkan</t>
  </si>
  <si>
    <t>FRA Triwulan III</t>
  </si>
  <si>
    <t>Rapat FRA Triwulan III</t>
  </si>
  <si>
    <t>Backup Rencana Penarikan Dana Tahunan</t>
  </si>
  <si>
    <t xml:space="preserve">Penyerahan Rencana Penarikan Dana </t>
  </si>
  <si>
    <t>Penerimaan dan pemeriksaan data realisasi anggaran bulanan</t>
  </si>
  <si>
    <t>Entry realisasi anggaran bulanan ke dalam sistem</t>
  </si>
  <si>
    <t>Pemeriksaan dan konfirmasi kebenaran realisasi anggaran bulanan.</t>
  </si>
  <si>
    <t>pembuatan sistem monitoring kegiatan</t>
  </si>
  <si>
    <t>Entry Rencana Penarikan Dana bulanan berikutnya dengan penyesuaian terhadap RPD Tahunan yang disisipi anggaran yang belum direalisasikan di bulan sebelumnya.</t>
  </si>
  <si>
    <t>Pemeriksaan Rencana Penarikan Dana Bulanan</t>
  </si>
  <si>
    <t>Pencetakan Rencana Penarikan Dana Bulanan</t>
  </si>
  <si>
    <t>Pengesahan Rencana Penarikan Dana Bulanan</t>
  </si>
  <si>
    <t>Pelaksanaan Briefing</t>
  </si>
  <si>
    <t>Penerimaan RPD Bulanan yang sudah disahkan</t>
  </si>
  <si>
    <t>Penyerahan RPD Bulanan ke Subbag Keuangan</t>
  </si>
  <si>
    <t>Pembuatan Surat Undangan Narasumber</t>
  </si>
  <si>
    <t>Hubungan Masyarakat</t>
  </si>
  <si>
    <t>Penyimpanan Database</t>
  </si>
  <si>
    <t>2400 Biro Humas dan Hukum</t>
  </si>
  <si>
    <t>Membentuk tim Humas</t>
  </si>
  <si>
    <t>Membuat SK Tim Humas</t>
  </si>
  <si>
    <t>Pengumuman Open Rekrutmen</t>
  </si>
  <si>
    <t>Pembuatan Lembar Kerja Monitoring dan Evaluasi Target dan Rencana Kerja Tim Humas</t>
  </si>
  <si>
    <t>Seleksi Administrasi Petugas</t>
  </si>
  <si>
    <t>Pengelola Lembar Kerja Monitoring</t>
  </si>
  <si>
    <t>Pembuatan Konten Media Sosial</t>
  </si>
  <si>
    <t>Seleksi Wawancara Petugas</t>
  </si>
  <si>
    <t>Dokumentasi Kegiatan Pimpinan</t>
  </si>
  <si>
    <t>Dokumentasi Kegiatan Kedinasan</t>
  </si>
  <si>
    <t>Pengecekan SOBAT (Approvement)</t>
  </si>
  <si>
    <t>Update Media Sosial</t>
  </si>
  <si>
    <t>Pengumuman Calon Petugas Terpilih</t>
  </si>
  <si>
    <t>Melaksanakan tugas sebagai Admin Media Sosial</t>
  </si>
  <si>
    <t>Pendataan Survei Harga Barang dan Jasa (SHBJ) - Pelatihan  Petugas</t>
  </si>
  <si>
    <t>Staff pelaksana survei mengikuti pelatihan pendataan Survei Harga Barang dan Jasa (SHBJ)</t>
  </si>
  <si>
    <t>Pembuatan Flyer Kegiatan</t>
  </si>
  <si>
    <t>Kepegawaian</t>
  </si>
  <si>
    <t>Kepegawaian - Pemutakhiran Data Pegawai Bps Kabupaten</t>
  </si>
  <si>
    <t>2300 Biro Kepegawaian</t>
  </si>
  <si>
    <t>1. Pegawai memutakhirkan data kepegawaian dan mengunggah dokumen pendukung</t>
  </si>
  <si>
    <t>Pendataan Survei Harga Barang dan Jasa (SHBJ) - Pendataan  Petugas</t>
  </si>
  <si>
    <t>Melakukan pendataan SHBJ kemudian mengumpulkan hasilnya kepada pengawas</t>
  </si>
  <si>
    <t>2. Approve usul data yang diunggah pegawai</t>
  </si>
  <si>
    <t>Pengumpulan dan pemeriksaan kuesioner hasil pendataan SHBJ, cross cek jika ditemukan kejanggalan</t>
  </si>
  <si>
    <t>3. Mengupdate data pegawai dan upload berkas arsip</t>
  </si>
  <si>
    <t>4. Rekonsiliasi data pegawai Selindo</t>
  </si>
  <si>
    <t>Entry data hasil pendataan SHBJ</t>
  </si>
  <si>
    <t>1. Validasi peserta Wajib Lapor (WL) LHKPN</t>
  </si>
  <si>
    <t xml:space="preserve">Evaluasi hasil pengolahan data SHBJ </t>
  </si>
  <si>
    <t>2. Mendaftarkan pegawai yang dinyatakan wajib LHKPN</t>
  </si>
  <si>
    <t>3. Membuat SK wajib lapor LKHPN</t>
  </si>
  <si>
    <t>Penyiapan draft publikasi SHBJ, memasukkan harga yang telah terpilih ke dalam draft publikasi, mencetak publikasi SHBJ</t>
  </si>
  <si>
    <t>4. Monitoring WL LHKPN</t>
  </si>
  <si>
    <t>1. Validasi peserta wl LHASN/SPT</t>
  </si>
  <si>
    <t>Memaraf dan menandatangani draft publikasi SHBJ</t>
  </si>
  <si>
    <t>2. Monitoring WL LHKASN/SPT</t>
  </si>
  <si>
    <t xml:space="preserve"> Menerima surat pemberitahuan tentang pelaksanaa Uji Kompetensi dari BPS Provinsi dan</t>
  </si>
  <si>
    <t>Penyusunan Rencana Strategis (Renstra) BPS Provinsi DKI Jakarta</t>
  </si>
  <si>
    <t xml:space="preserve"> Menerima usulan calon peserta Ukom yang diajukan dari pegawai</t>
  </si>
  <si>
    <t xml:space="preserve">Membuat surat usulan peserta Ukom ke  SDM provinsi dan mengunggah berkas/dokumen kelengkapan calon peserta ukom yang diusulkan </t>
  </si>
  <si>
    <t>Menerima surat dari BPS Provinsi perihal pemberitahuan pelaksanaan Ujian Penyesuaian Ijazah</t>
  </si>
  <si>
    <t>Menerima usulan calon peserta Ujian Penyesuaian Ijazah yang diajukan dari Bagian/Fungsi</t>
  </si>
  <si>
    <t>Menyiapkan berkas/dokumen yang diperlukan</t>
  </si>
  <si>
    <t>Membuat surat usulan calon peserta Ujian Penyesuian ke SDM Provinsi</t>
  </si>
  <si>
    <t>Menerima surat dari BPS Provinsi perihal pemberitahuan pelaksanaan Ujian Dinas</t>
  </si>
  <si>
    <t xml:space="preserve"> Menerima usulan calon peserta Ujian Dinas yang diajukan dari Bagian/Fungsi</t>
  </si>
  <si>
    <t>Membuat surat usulan calon peserta Ujian Dinas ke SDM BPS provinsi</t>
  </si>
  <si>
    <t>Menerima surat dari SDM BPS Provinsi perihal pemberitahuan Jadwal Pelaksanaan Ujian Dinas</t>
  </si>
  <si>
    <t xml:space="preserve">Pengesahan Renstra BPS Provinsi </t>
  </si>
  <si>
    <t>1. Menyiapkan petugas Apel/Upacara yang bertugas</t>
  </si>
  <si>
    <t>2. Menyiapkan teks Apel/Upacara</t>
  </si>
  <si>
    <t>3. Menyiapkan Daftar Hadir Apel/Upacara</t>
  </si>
  <si>
    <t>Menerima Renstra BPS Provinsi disertai surat penyampaiannya</t>
  </si>
  <si>
    <t>1. Mengedarkan form matriks kehadiran kepada pegawai</t>
  </si>
  <si>
    <t>2. Menginput Tugas Luar pegawai di Aplikasi Backoffice Selindo BPS</t>
  </si>
  <si>
    <t>Mengentri laporan monitoring pengadaan barang dan jasa</t>
  </si>
  <si>
    <t>3. Melakukan konfirmasi kepada pegawai jika ada absensi yang bermasalah/tidak terekam</t>
  </si>
  <si>
    <t>Melakukan penyusunan Laporan Pekerjaan Pimpinan BPS</t>
  </si>
  <si>
    <t>4. Mencetak rekap absensi Satker</t>
  </si>
  <si>
    <t>5. Membuat form Uang makan dan mengirim ke Keuangan</t>
  </si>
  <si>
    <t>Melakukan pemantauan terhadap indikator IKPA</t>
  </si>
  <si>
    <t>1. Melakukan Rekapitulasi nilai CKP di Sipitung jawara</t>
  </si>
  <si>
    <t>2. Mengentri hasil rekap absensi dan nilai CKP ke Aplikasi TK Online</t>
  </si>
  <si>
    <t>Membuat dan memeriksa Laporan Capaian Output</t>
  </si>
  <si>
    <t>3. Mengupload SK atau Surat pendukung lain bagi pegawai yang mutasi jabatan/pindah tugas/BMP</t>
  </si>
  <si>
    <t>Melakukan monitoring capaian output Prioritas Nasional</t>
  </si>
  <si>
    <t>4. Cetak SPJ TK untuk di proses Keuangan</t>
  </si>
  <si>
    <t>Kepegawaian- Pengurusan Lembur Pegawai</t>
  </si>
  <si>
    <t>1.Mengecek form permintaan lembur pegawai di BOS</t>
  </si>
  <si>
    <t>Entry Data Indikator Keluaran Kegiatan (IKK) pada Aplikasi SMART</t>
  </si>
  <si>
    <t>2. Membuat Naskah Surat Perintah Kerja Lembur (SPKL)</t>
  </si>
  <si>
    <t>Entry Aplikasi SMART (Monev DJA) Bulanan</t>
  </si>
  <si>
    <t>3. Mengumpulkan Laporan lembur dari Pegawai</t>
  </si>
  <si>
    <t>Entry Aplikasi E-Monev Bappenas Triwulanan</t>
  </si>
  <si>
    <t>4. Mengajukan Daftar Lembur Pegawai ke Fungsi Keuangan</t>
  </si>
  <si>
    <t>1. Menghitung KJK pegawai setiap bulan</t>
  </si>
  <si>
    <t>Monitoring dan Evaluasi E-Monev Bappenas Kako</t>
  </si>
  <si>
    <t>2. Membuat Laporan Akumulasi KJK pegawai</t>
  </si>
  <si>
    <t>Mengerjakan data pendukung E-Monev Bappenas</t>
  </si>
  <si>
    <t>1.Melakukan monitoring pengisian SKP</t>
  </si>
  <si>
    <t>2. Asistensi pengisian SKP</t>
  </si>
  <si>
    <t>Mengirim laporan monitoring pengadaan barang dan jasa</t>
  </si>
  <si>
    <t>3. Mengumpulkan arsip SKP</t>
  </si>
  <si>
    <t>Mengumpulkan data Capaian Output Keuangan</t>
  </si>
  <si>
    <t>4. Mengunggah arsip SKP ke Simpeg</t>
  </si>
  <si>
    <t>5. Pemberkasan Pegawai</t>
  </si>
  <si>
    <t>Mengumpulkan data E-Monev Bappenas</t>
  </si>
  <si>
    <t>1. Memberikan informasi berkas yang harus dilengkapi oleh pegawai</t>
  </si>
  <si>
    <t>Mengumpulkan data E-Monev Keuangan (SMART)</t>
  </si>
  <si>
    <t>2. Mengumpulkan berkas pengajuan pegawai</t>
  </si>
  <si>
    <t>3 Mengajukan ke BPS Provinsi</t>
  </si>
  <si>
    <t>Mengunduh publikasi E-Monev Bappenas</t>
  </si>
  <si>
    <t>1. Identifikasi pegawai yang belum memiliki taspen</t>
  </si>
  <si>
    <t>Monitoring entrian monev keuangan (SMART) Kako</t>
  </si>
  <si>
    <t>2. Mengumpulkan berkas pengajuan taspen pegawai</t>
  </si>
  <si>
    <t>3. Membuat surat usulan pembuatan Kartu Taspen</t>
  </si>
  <si>
    <t>Pemeriksaan Aplikasi E-Monev Bappenas</t>
  </si>
  <si>
    <t>4. Mengajukan Pembuatan Kartu Taspen ke Kantor PT Taspen</t>
  </si>
  <si>
    <t>Membuat Monitoring Belanja Pegawai</t>
  </si>
  <si>
    <t>5. Mengirimkan kartu Taspen yang telah selesai diproses kepada pegawai ybs</t>
  </si>
  <si>
    <t>Melakukan monitoring realiasasi anggaran</t>
  </si>
  <si>
    <t>6. Pemberkasan pegawai</t>
  </si>
  <si>
    <t>1. Membuat daftar nominasi pegawai yang memperoleh KGB</t>
  </si>
  <si>
    <t xml:space="preserve">Menyiapkan konten media sosial
</t>
  </si>
  <si>
    <t>2. Menerbitkan SP KGB</t>
  </si>
  <si>
    <t xml:space="preserve">Meng-upload konten ke media sosial
</t>
  </si>
  <si>
    <t>3. Mengajukan SP KGB ke Fungsi Keuangan untuk dajukan ke KPPN</t>
  </si>
  <si>
    <t>Memberikan respons terhadap tanggapan dari eksternal</t>
  </si>
  <si>
    <t>4. Mengunggah SP KGB ke Simpeg</t>
  </si>
  <si>
    <t>5. Pemberkasan pegawai</t>
  </si>
  <si>
    <t>Komunikasi dengan eksternal (termasuk pers) untuk kegiatan sosialisasi kegiatan besar</t>
  </si>
  <si>
    <t>1. Menerima surat pemberitahuan dari BPS tentang penyelenggaraan pemilihan Insan Statistik Teladan (IST)</t>
  </si>
  <si>
    <t>Meliput dan mendokumentasikan kegiatan</t>
  </si>
  <si>
    <t>2. Mengikuti Sosialisasi Pelaksanaan Pemilihan IST</t>
  </si>
  <si>
    <t xml:space="preserve">3. Membuat surat pemberitahuan ke Bagian/Fungsi/BPS Kab/Kota tentang pelaksanaan pemilihan Insan Statistik Teladan (IST) </t>
  </si>
  <si>
    <t>Koordinasi terkait rapat eksternal</t>
  </si>
  <si>
    <t>4. Pelaksanaan pemilihan Insan Statistik Teladan (IST) tahap 1, (pemilihan IST Tingkat Satker)</t>
  </si>
  <si>
    <t xml:space="preserve">4. Pengumuman IST terpilih tahap 1 dan pembuatan SK IST </t>
  </si>
  <si>
    <t>menyosialisasikan kegiatan BPS dan memberi gambaran umum pelaksanaan kegiatan yg dilaksanakan seperti survei, sensus dll.</t>
  </si>
  <si>
    <t xml:space="preserve">5. Membuat surat pemberitahuan tentang pelaksanaan pemilihan IST Tahap 2, ke IST yang terpilih pada tahap 1 </t>
  </si>
  <si>
    <t>Keuangan</t>
  </si>
  <si>
    <t>2200 Biro Keuangan</t>
  </si>
  <si>
    <t>Bendahara  membuat Surat Permohonan UP dan menyerahkan ke KPA untuk ditanda tangani</t>
  </si>
  <si>
    <t>Melakukan dokumentasi setiap kegiatan yang ada</t>
  </si>
  <si>
    <t xml:space="preserve">Bendahara  menyerahkan surat permohonan UP ke KPA untuk ditandatangani </t>
  </si>
  <si>
    <t>Membuat kreasi output kegiatan kehumasan  konten infografis dan videografis yg outputnya akan dipublish di media sosial (ig, fb, youtube dll)</t>
  </si>
  <si>
    <t>Bendahara mengajukan surat permohonan UP ke KPPN Jakarta II</t>
  </si>
  <si>
    <t>KPPN Jakarta II melakukan pemeriksaan dokumen Surat Pemohonan UP</t>
  </si>
  <si>
    <t>Dokumen yang telah disetujui oleh KPPN Jakarta II kemudian diserahkan ke Bendahara untuk disimpan</t>
  </si>
  <si>
    <t>Melakukan penjemputan kedatangan pimpinan Eselon I/II</t>
  </si>
  <si>
    <t>Bendahara  membuat Surat Permohonan UP KKP  dan menyerahkan ke KPA untuk ditanda tangani</t>
  </si>
  <si>
    <t xml:space="preserve">Bendahara  menyerahkan surat permohonan UP KKP ke KPA untuk ditandatangani </t>
  </si>
  <si>
    <t>Melakukan jamuan pimpinan</t>
  </si>
  <si>
    <t>Bendahara mengajukan surat permohonan UP KKP ke KPPN Jakarta II</t>
  </si>
  <si>
    <t>KPPN Jakarta II melakukan pemeriksaan dokumen Surat Pemohonan UP KKP</t>
  </si>
  <si>
    <t>Koordinasi dengan pihak bandara</t>
  </si>
  <si>
    <t>Bendahara  membuat Surat Permohonan Perubahan Proporsi UP/KKP dan menyerahkan ke KPA untuk ditanda tangani</t>
  </si>
  <si>
    <t>Menyiapkan permohonan ruang VIP bagi Eselon I</t>
  </si>
  <si>
    <t xml:space="preserve">Bendahara  menyerahkan surat permohonan Perubahan Proporsi UP/KKP ke KPA untuk ditandatangani </t>
  </si>
  <si>
    <t>Bendahara mengajukan surat permohonan Perubahan Proporsi UP/KKP ke Kanwil DJPB Provinsi DKI Jakarta</t>
  </si>
  <si>
    <t>Mendampingi dan mengawal pimpinan</t>
  </si>
  <si>
    <t>Kanwil DJPB melakukan pemeriksaan dokumen Surat Pemohonan Perubahan Proporsi UP/KKP</t>
  </si>
  <si>
    <t>Dokumen yang telah disetujui oleh Kanwil DJPB kemudian diserahkan ke Bendahara untuk teruskan pengajuannya ke KPPN Jakarta II</t>
  </si>
  <si>
    <t xml:space="preserve">Menyiapkan berkas transaksi KKP per triwulan dari SP2D, SPBy, DRPP, SPP/SPM, dan seluruh berkas kelengkapannya  </t>
  </si>
  <si>
    <t>Melakukan koordinasi dengan pihak OPD eksternal terkait jadwal temu dan acara</t>
  </si>
  <si>
    <t>Pengisian Realisasi KKP Triwulanan atas monitoring dari KPPN Jakarta II</t>
  </si>
  <si>
    <t>Administrasi Keuangan/Perbendaharaan</t>
  </si>
  <si>
    <t>Pengajuan Uang Persediaan</t>
  </si>
  <si>
    <t>Bendahara  membuat Surat Permohonan Perubahan Limit  UP/KKP dan menyerahkan ke KPA untuk ditanda tangani</t>
  </si>
  <si>
    <t>Surat Permohonan Perubahan Limit UP KKP yang sudah ditanda tangani diserahkan ke Bank Persepsi</t>
  </si>
  <si>
    <t>Bank Persepsi melakukan pemeriksaan Surat Permohonan Perubahan Limit UP KKP</t>
  </si>
  <si>
    <t>Dokumen yang telah disetujui oleh bank Persepsi kemudian diserahkan ke Bendahara untuk teruskan pengajuannya ke KPPN Jakarta II</t>
  </si>
  <si>
    <t>Membuat Surat Permohonan Perubahan Pemegang dan Penambahan pemegang kartu KKP ke Bank Persepsi</t>
  </si>
  <si>
    <t>Menyerahkan Surat Permohonan Perubahan Pemegang Kartu KKP dan Penambahan Jumlah Kartu KKP ke KPA</t>
  </si>
  <si>
    <t>Surat Permohonan Perubahan Pemegang Kartu KKP dan Penambahan Jumlah Kartu KKP yang sudah ditanda tangani diserahkan ke Bank Persepsi</t>
  </si>
  <si>
    <t>Menginput transaksi kuitansi ke aplikasi Sakti oleh Bendahara / Operator</t>
  </si>
  <si>
    <t>PPK melakukan verifikasi atas kuitansi yang di input oleh Bendahara / Operator</t>
  </si>
  <si>
    <t>Bendahara/Operator melakukan input SPBY sesuai kuitansi atas perintah PPK di aplikasi SAKTI</t>
  </si>
  <si>
    <t>Pertanggungjawaban UP / GU Isi</t>
  </si>
  <si>
    <t>Bendahara membuat daftar rekapitulasi transaksi kuitansi dan SPBY menjadi DRPP, SPP dan SPM GU Isi. Jumlah total GU Isi minimal sebesar 50 % dani nilai UP</t>
  </si>
  <si>
    <t xml:space="preserve">Pembantu bendahara membuat daftar rekapitulasi biaya, SPTB dan SPP terkait dengan GU Isi. Jumlah total GU Isi minimal sebesar 75% dani nilai UP. Kemudian  diserahkan ke Bendahara Pengeluaran </t>
  </si>
  <si>
    <t>Menyertakan daftar rekapitulasi biaya, SPBY dan SPP ke Pejabat Pembuat Komitmen untuk disetujui dan ditandatangani kemudian diajukan ke PPSPM</t>
  </si>
  <si>
    <t>Menyertakan daftar rekapitulasi biaya, SPTB dan SPP ke Pejabat Pembuat Komitmen dan Bendahara Pengeluaran untuk disetujui dan ditandatangani.</t>
  </si>
  <si>
    <t>PPSPM melakukan tahap pemeriksaan, pengujian dan dilakukan OTP atas transaksi SPP beserta kelengkapan untuk kemudian dilakukan persetujuan dan pengajuan SPM ke KPPN</t>
  </si>
  <si>
    <t>Menyerahkan daftar rekapitulasi biaya, SPTB dan SPP yang sudah disetujui dan ditandatangani oleh PPK dan bendahara kemudian  diserahkan ke Kasubbag keuangan.</t>
  </si>
  <si>
    <t>Ketua Tim Keuangan  memeriksa keabsahan dokumen GU Isi dan memberikan ke operator SPM untuk menginput serta dicetak SPMnya</t>
  </si>
  <si>
    <t>Bendahara melakukan penyetoran atas sisa Uang Persediaan ke negara melalui bank persepsi (jika ada)</t>
  </si>
  <si>
    <t>Keuangan - Pengajuan Tambahan Uang Persediaan (TUP)</t>
  </si>
  <si>
    <t>Bendahara membuat daftar rincian Rencana Penggunaan TUP</t>
  </si>
  <si>
    <t>Operator SPM  mencetak SPM GU Isi dan mengirim ke Pejabat Penandatangan SPM</t>
  </si>
  <si>
    <t>Bendahara  membuat Surat Permohonan TUP dan menyerahkan ke KPA untuk ditanda tangani</t>
  </si>
  <si>
    <t>Bendahara  membuat dan menyerahkan surat pernyataan TUP dari KPA ke KPPN Jakarta II</t>
  </si>
  <si>
    <t>Bendahara  melakukan input rencana penggunaan TUP pada aplikasi SAKTI untuk dilakukan pengajuan</t>
  </si>
  <si>
    <t>Pejabat Penandatangan SPM memeriksa dokumen, menguji  dan menandatangani SPM</t>
  </si>
  <si>
    <t>SPM yang sudah lengkap dan ditandatangani diambil oleh petugas pengantar SPM untuk dikirim ke KPPN</t>
  </si>
  <si>
    <t>Setelah diverifikasi oleh KPPN, KPPN melakukan pengesahan pembayaran GU Isi ke Rek. Bendahara Pengeluaran</t>
  </si>
  <si>
    <t>Bendahara Pengeluaran Pembantu membukukan SPM GU Isi ke buku kas umum</t>
  </si>
  <si>
    <t>Melakukan update perubahan kepegawaian terkait KGB, KP dan lain-lain dan diupload pada aplikasi gaji KPPN berbasis website</t>
  </si>
  <si>
    <t>Melakukan input grade TK pada aplikasi gaji KPPN</t>
  </si>
  <si>
    <t>Bendahara/Operator melakukan hitung gaji di aplikasi gaji KPPN</t>
  </si>
  <si>
    <t>Pertanggungjawaban GU Nihil</t>
  </si>
  <si>
    <t xml:space="preserve">Operator PPABP, Bendahara, PPK dan PPSPM melakukan persetujuan secara berurutan pada aplikasi gaji KPPN </t>
  </si>
  <si>
    <t xml:space="preserve">Bendahara Pengeluaran Pembantu membuat daftar rekapitulasi biaya, SPTB dan SPP terkait dengan GU Nihil.  </t>
  </si>
  <si>
    <t>PPSPM mengirimkan gaji ke KPPN dari aplikasi gaji</t>
  </si>
  <si>
    <t>Operator komitmen melakukan penarikan gaji di modul komitmen SAKTI</t>
  </si>
  <si>
    <t>PPK melakukan perekaman transaksi SPP sampai dengan proses validasi dan OTP SPP</t>
  </si>
  <si>
    <t>Operator Kepegawaian melakukan rekap absensi pada aplikasi Back Office System (BOS)</t>
  </si>
  <si>
    <t>Menyerahkan daftar rekapitulasi biaya, SPTB dan SPP yang sudah disetujui dan ditandatangani oleh PPK dan Bendahara Pengeluaran  kemudian diserahkan Kasubbag keuangan.</t>
  </si>
  <si>
    <t>Operator TK Online menarik rekap presensi BOS untuk kemudian input nilai CKP sesuai penilaian CKP yang diberikan dari Ketua Tim/KF/PJK</t>
  </si>
  <si>
    <t>Bendahara/Operator membuat file CSV untuk diupload pada aplikasi SAKTI dan dilakukan e-sign oleh Bendahara Pengeluaran</t>
  </si>
  <si>
    <t>Ketua Tim Keuangan  memeriksa keabsahan dokumen GU Nihil</t>
  </si>
  <si>
    <t>Ketua Tim Keuangan menyerahkan ke Operator SPM untuk diinput dan dicetak SPM GU Nihil kemudian  mengirimkan ke  Pejabat Penandatangan SPM</t>
  </si>
  <si>
    <t xml:space="preserve">Keuangan - Pengajuan LS Uang Makan </t>
  </si>
  <si>
    <t>Operator menghitung rekap uang makan bulanan</t>
  </si>
  <si>
    <t>Operator Kepegawaian (BOS) melakukan input sesuai rekap uang makan pada aplikasi BOS</t>
  </si>
  <si>
    <t>Pejabat Penandatangan SPM memeriksa dokumen, menguji dan menandatangani SPM</t>
  </si>
  <si>
    <t>Operator Kepegawaian melakukan validasi dan cetak SPJ uang makan</t>
  </si>
  <si>
    <t xml:space="preserve">Bendahara/Operator melakukan upload file CSV uang makan </t>
  </si>
  <si>
    <t>Operator PPABP, Bendahara, PPK dan PPSPM melakukan persetujuan secara berurutan pada aplikasi gaji KPPN</t>
  </si>
  <si>
    <t>Operator komitmen melakukan penarikan uang makan di modul komitmen SAKTI</t>
  </si>
  <si>
    <t>Setelah diverifikasi oleh KPPN, KPPN menerbitkan SP2D Nihil</t>
  </si>
  <si>
    <t>Operator menghitung rekap uang lembur bulanan</t>
  </si>
  <si>
    <t>Operator Kepegawaian (BOS) melakukan input sesuai rekap uang lembur pada aplikasi BOS</t>
  </si>
  <si>
    <t>Operator Kepegawaian melakukan validasi dan cetak SPJ uang lembur</t>
  </si>
  <si>
    <t>Bendahara Pengeluaran Pembantu membukukan SPM GU Nihil ke buku kas umum</t>
  </si>
  <si>
    <t xml:space="preserve">Bendahara/Operator melakukan upload file CSV uang lembur </t>
  </si>
  <si>
    <t>Apabila ada sisa TUP, Bendahara Pengeluaran menyetor sisa TUP tersebut ke Bank Persepsi / Kantor Pos dengan menggunakan form SSBP</t>
  </si>
  <si>
    <t>Operator komitmen melakukan penarikan uang lembur di modul komitmen SAKTI</t>
  </si>
  <si>
    <t>SSBP TUP dilegalisir oleh KPPN</t>
  </si>
  <si>
    <t>KPA bersama Bendahara melakukan pengecekan terhadap uang kas di brankas bendahara dan rekening bendahara</t>
  </si>
  <si>
    <t>Hasil pengecekan Kas bendahara dituangkan dalam Register Penutupn Kas</t>
  </si>
  <si>
    <t>SSBP TUP yang telah dilegalisir diserahhkan ke KPPN sebagai bagian dari pertanggungjawaban TUP</t>
  </si>
  <si>
    <t>KPA dan Bendahara menanda tangani Register Penutupan Kas</t>
  </si>
  <si>
    <t>Bendahara melakukan penyimpanan Register Penutupan Kas</t>
  </si>
  <si>
    <t>Pengajuan LS Bendahara Gaji Induk</t>
  </si>
  <si>
    <t>Pembuat Daftar Gaji Memberikan dokumen berupa SPP gaji induk, SPTJM, daftar gaji induk dan SPM gaji induk kepada Petugas Pengantar SPM</t>
  </si>
  <si>
    <t>Bendahara Pengeluaran  memungut dan memotong pajak atas transaksi penyerahan barang / jasa yang terutang pajak.</t>
  </si>
  <si>
    <t>Mencatat transaksi perpajakan ke dalam buku pembantu pajak</t>
  </si>
  <si>
    <t>Merekap dan menyetor pajak ke kas negara melalui kantor pos atau bank persepsi.</t>
  </si>
  <si>
    <t>Mengirim dokumen tersebut ke KPPN untuk mendapatkan pengesahan pembayaran</t>
  </si>
  <si>
    <t>Membuat bukti potong terkait transaksi pajak penghasilan 21, 23 dan 22 dan menyerahkan kepada pihak ketiga</t>
  </si>
  <si>
    <t>Mengarsip dokumen pajak.</t>
  </si>
  <si>
    <t>Setelah diverifikasi oleh KPPN, KPPN melakukan pengesahan pembayaran (SP2D Gaji)</t>
  </si>
  <si>
    <t>Subject matter mengajukan daftar pegawai yang akan melakukan perjalanan dinas ke PPK</t>
  </si>
  <si>
    <t>Bendahara Pengeluaran menerima berkas kelengkapan daftar pegawai yang telah melakukan perjalanan dinas</t>
  </si>
  <si>
    <t>Bendahara Pengeluaran membukukan SPM Gaji  ke buku kas umum</t>
  </si>
  <si>
    <t>Operator komitmen melakukan entry atas transaksi yang akan di LS-kan dan mengajukan ke PPK</t>
  </si>
  <si>
    <t xml:space="preserve">Bendahara Pengeluaran mengalokasikan UP/TUP ke BPP untuk keperluan operasional </t>
  </si>
  <si>
    <t>PPK melakukan verifikasi atas transaksi dari operator komitmen dan diajukan pengajuannya ke PPSPM</t>
  </si>
  <si>
    <t>Bendahara pengeluaran maupun bendahara pengeluaran pembantu mencatat transaksi kas masuk dan kas keluar ke dalam BKU dan Buku Kas Pembantu</t>
  </si>
  <si>
    <t>Bendahara Pengeluaran segera melakukan pembayaran ke pihak terkait apabila SP2D sudah terbit</t>
  </si>
  <si>
    <t>Pejabat berwenang melakukan pemeriksaan kas minimal satu bulan sekali kepada BP dan BPP(Khusus PPLS), dan dibuat berita acara pemeriksaan kas.</t>
  </si>
  <si>
    <t>Bendahara membuat rekap besaran honor masing-masing orang pada file excel</t>
  </si>
  <si>
    <t>Melakukan convert dari file excel ke CSV</t>
  </si>
  <si>
    <t>Bendahara pengeluaran dan bendahara pengeluaran pembantu (khusus PPLS) melakukan rekonsiliasi kas minimal satu bulan sekali, dan dibuat berita acara rekonsiliasi kas.</t>
  </si>
  <si>
    <t>Mengunggah file CSV pada CMS bank persepsi</t>
  </si>
  <si>
    <t>Bendahara Pengeluaran melakukan pembayaran ke pihak ketiga melalui transfer CMS</t>
  </si>
  <si>
    <t>Bendahara pengeluaran dan bendahara pengeluaran pembantu membuat LPJ dan ditandatangani oleh pejabat yang berwenang.</t>
  </si>
  <si>
    <t>PPK mengajukan pengajuan tagihan sesuai berkas dari pihak ketiga</t>
  </si>
  <si>
    <t>Operator komitmen melakukan entry atas transaksi yang diajukan oleh PPK (apabila kontraktual diajukan terlebih dahulu kontraknya pada aplikasi SAKTI)</t>
  </si>
  <si>
    <t>Pengelolaan Pajak</t>
  </si>
  <si>
    <t>Rekanan mengirim tagihan</t>
  </si>
  <si>
    <t>Anggota Tim Keuangan (Petugas penerima tagihan rekanan) memeriksa kelengkapan tagihan kemudian diserahkan ke Bendahara Pengeluaran</t>
  </si>
  <si>
    <t xml:space="preserve">Bendahara Pengeluaran melakukan pembayaran sesuai dengan tagihan </t>
  </si>
  <si>
    <t>Keuangan - Rekon SAI dengan KPPN Jakarta II</t>
  </si>
  <si>
    <t>Operator SAI menginput seluruh transaksi ke aplikasi SAKTI.</t>
  </si>
  <si>
    <t>Operator SAI menyelesaikan to do list pada aplikasi MonSAKTI untuk melakukan rekonsiliasi.</t>
  </si>
  <si>
    <t>Operator SAI melakukan koreksi data Persediaan, Aset dan GL Pelaporan apabila ada selisih sampai to do list clean</t>
  </si>
  <si>
    <t>Operator SAI melakukan tutup buku Persediaan, Aset dan GL Pelaporan secara permanen periode berjalan</t>
  </si>
  <si>
    <t>Rekonsiliasi selesai, operator  mendownload dan mendokumentasikan Surat Hasil Rekon (SHR) dan Laporan Hasil Rekon  (LHR)</t>
  </si>
  <si>
    <t>Operator mengunduh laporan SAI dari aplikasi MonSAKTI dalam bentuk excel dan pdf</t>
  </si>
  <si>
    <t xml:space="preserve">Operator mengupload adk suplemen yang berbentuk excel ke aplikasi e calk satker </t>
  </si>
  <si>
    <t>Bendahara menyerahkan dokumen perencanaan penggunaan anggaran non LS untuk periode tertentu</t>
  </si>
  <si>
    <t>Operator membuat, menyusun dan mengedit e calk dan mengupload lampiran dokumen pendukung</t>
  </si>
  <si>
    <t xml:space="preserve">Operator melakukan telaah e calk sebelum mengirim </t>
  </si>
  <si>
    <t xml:space="preserve">Bendahara membuat rekap perencanaan penggunaan anggaran non LS </t>
  </si>
  <si>
    <t>Operator mengirimkan file e calk ke satker dalam bentuk word dan pdf edit ke aplikasi e calk wilayah, jilid LK.</t>
  </si>
  <si>
    <t>Mengumpulkan dokumen yang dibutuhkan untuk SPI online</t>
  </si>
  <si>
    <t>Bendahara membuat Surat Permohonan TUP dan menyerahkan ke KPA untuk ditanda tangani</t>
  </si>
  <si>
    <t>Melakukan upload dokumen di SPI Online</t>
  </si>
  <si>
    <t>Monitoring SPI Online  (satker &amp; Kab/kota)</t>
  </si>
  <si>
    <t>Filling dokumen SPI</t>
  </si>
  <si>
    <t xml:space="preserve">Bendahara menyerahkan surat permohonan TUP ke KPA untuk ditandatangani </t>
  </si>
  <si>
    <t>Mengecek kelengkapan dokumen dalam 1 SPM sesuai dengan kelengkapan yang dibutuhkan</t>
  </si>
  <si>
    <t>Bendahara mengajukan surat permohonan TUP ke KPPN Jakarta II</t>
  </si>
  <si>
    <t>Memindai dokumen dalam 1 SPM</t>
  </si>
  <si>
    <t>Memberi nama file sesuai dengan jenis SPM</t>
  </si>
  <si>
    <t>KPPN Jakarta II melakukan pemeriksaan dokumen Surat Pemohonan TUP</t>
  </si>
  <si>
    <t>Menginventarisir dokumen yang diminta oleh Tim Audit</t>
  </si>
  <si>
    <t>Melakukan pemisahan file SPM berdasarkan bagan akun standart</t>
  </si>
  <si>
    <t>Melengkapi masing-masing akun sesuai dengan kelengkapan yang dibutuhkan</t>
  </si>
  <si>
    <t>Mengunggah dokumen sesuai dengan pengelompokan berdasarkan akun</t>
  </si>
  <si>
    <t>Melengkapi link pada masing-masing akun pada link permintaan dokumen administrasi</t>
  </si>
  <si>
    <t>Tim Perencanaan menyerahkan dokumen perencanaan penggunaan anggaran non LS untuk periode tertentu</t>
  </si>
  <si>
    <t>Mengajukan permohonan user admin satker pada Digit Kemenkeu</t>
  </si>
  <si>
    <t>mengajukan calon user PPK, Pejabat Pengadaan, dan Bendahara pengeluaran</t>
  </si>
  <si>
    <t xml:space="preserve">Bendahara Pengeluaran   membuat rekap perencanaan penggunaan anggaran non LS </t>
  </si>
  <si>
    <t>verifikasi data calon user PPK, Pejabat Pengadaan, dan Bendahara pengeluaran</t>
  </si>
  <si>
    <t>persetujuan admin satker</t>
  </si>
  <si>
    <t>Bendahara Pengeluaran membuat Surat Permohonan TUP dan menyerahkan ke KPA untuk ditanda tangani</t>
  </si>
  <si>
    <t>Perkantoran</t>
  </si>
  <si>
    <t>2500 Biro Umum</t>
  </si>
  <si>
    <t>Penerimaan dan Pembuatan Arsip</t>
  </si>
  <si>
    <t xml:space="preserve">Bendahara Pengeluaran menyerahkan surat permohonan TUP ke KPA untuk ditandatangani </t>
  </si>
  <si>
    <t>Membuat arsip naskah dinas/surat dalam rangka penciptaan arsip</t>
  </si>
  <si>
    <t>Mengecek naskah dinas/surat keluar  apakah sesuai dengan tata naskah dinas yang berlaku sebelum dikirimkan</t>
  </si>
  <si>
    <t xml:space="preserve">Meregistrasi dan memberkaskan naskah dinas keluar </t>
  </si>
  <si>
    <t>Bendahara pengeluaran  mengajukan surat permohonan TUP ke Kanwil Ditjen Perbendaharaan Provinsi DKI Jakarta</t>
  </si>
  <si>
    <t>Meregistrasi naskah dinas keluar di SRIKANDI</t>
  </si>
  <si>
    <t>Menerima/meregistrasi arsip naskah dinas/surat dalam rangka penciptaan arsip</t>
  </si>
  <si>
    <t>Kanwil Ditjen Perbendaharaan Provinsi DKI Jakarta melakukan pemeriksaan dokumen Surat Pemohonan TUP</t>
  </si>
  <si>
    <t>Meregistrasi naskah dinas masuk di SRIKANDI</t>
  </si>
  <si>
    <t>Melakukan tindak lanjut atas surat masuk (disposisi, tindak lanjut, dll)</t>
  </si>
  <si>
    <t>Dokumen yang telah disetujui oleh Kanwil Ditjen Perbendaharaan Provinsi DKI Jakarta kemudian diserahkan ke Bendahara untuk disimpan</t>
  </si>
  <si>
    <t>Meregistrasi dan memberkaskan surat masuk</t>
  </si>
  <si>
    <t>Arsip Aktif</t>
  </si>
  <si>
    <t xml:space="preserve">Bendahara Pengeluaran  membuat rincian permintaan sebesar TUP yang diminta, surat pernyataan TUP, SPP TUP, kemudian menyerahkan ke Ketua Tim Keuangan </t>
  </si>
  <si>
    <t>Mengidentifikasi arsip aktif</t>
  </si>
  <si>
    <t>Mengecek kelengkapan berkas arsip</t>
  </si>
  <si>
    <t>Ketua Tim Keuangan  melakukan pemeriksaan dokumen terkait dengan SPP TUP</t>
  </si>
  <si>
    <t>Melengkapi kelengkapan berkas arsip (termasuk tanda tangan)</t>
  </si>
  <si>
    <t>Menentukan indeks arsip</t>
  </si>
  <si>
    <t xml:space="preserve">Ketua Tim Keuangan  Menyerahkan dokumen terkait kepada operator SPM </t>
  </si>
  <si>
    <t>Menentukan kode klasifikasi arsip</t>
  </si>
  <si>
    <t>Membuat daftar arsip aktif : daftar berkas</t>
  </si>
  <si>
    <t>Membuat daftar arsip aktif : daftar isi berkas</t>
  </si>
  <si>
    <t>Operator SPM melakukan input dokumen ke dalam aplikasi SPM dan menerbitkan SPM</t>
  </si>
  <si>
    <t>Membuat dan menempel label folder</t>
  </si>
  <si>
    <t>Membuat dan menempel label boks</t>
  </si>
  <si>
    <t>Menyerahkan ke Pejabat penandatangan SPM untuk disetujui / ditandatangani</t>
  </si>
  <si>
    <t>Membuat guide arsip primer, sekunder, dan tersier</t>
  </si>
  <si>
    <t>Melakukan penataan dan penyimpanan arsip aktif</t>
  </si>
  <si>
    <t>Bendahara Pengeluaran  menyerahkan SPM TUP ke KPPN Jakarta II sekaligus dilakukan proses verifikasi oleh petugas KPPN Jakarta II</t>
  </si>
  <si>
    <t>Menginput/mengimpor daftar arsip di SEKAR</t>
  </si>
  <si>
    <t>Memberikan pelayanan dan penggunaan arsip aktif</t>
  </si>
  <si>
    <t>Membuat formulir peminjaman arsip aktif dan out indicator</t>
  </si>
  <si>
    <t xml:space="preserve">KPPN Jakarta II menerbitkan SP2D dan mentransfer uang TUP ke rekening Bendahara Pengeluaran </t>
  </si>
  <si>
    <t>Alihmedia Arsip</t>
  </si>
  <si>
    <t>Dilakukan penyimpanan dokumen / filing atas SP2D yang sudah diterima</t>
  </si>
  <si>
    <t>Mengidentifikasi arsip yang dialih media</t>
  </si>
  <si>
    <t>Melakukan identifikasi dan penilaian arsip yang akan diautentikasi dalam rangka alih media</t>
  </si>
  <si>
    <t>Pembayaran Perjalanan Dinas Dengan UP/TUP</t>
  </si>
  <si>
    <t>Subject matter mengajukan daftar pegawai yang akan melakukan perjalanan dinas</t>
  </si>
  <si>
    <t>Melaksanakan alih media arsip</t>
  </si>
  <si>
    <t>Melaksanakan autentikasi ahli media arsip</t>
  </si>
  <si>
    <t xml:space="preserve">Kasubbag Binagram merekap daftar pegawai yang akan melakukan perjalanan </t>
  </si>
  <si>
    <t>Membuat berita acara alih media arsip</t>
  </si>
  <si>
    <t>Arsip Terjaga</t>
  </si>
  <si>
    <t>Mengidentifikasi arsip terjaga</t>
  </si>
  <si>
    <t xml:space="preserve">Kasubbag Binagram menyerahkan rekap perjalanan  ke Kasubbag Keuangan untuk cek kepembebanan anggaran </t>
  </si>
  <si>
    <t>Melakukan pemberkasan arsip terjaga</t>
  </si>
  <si>
    <t>Membuat daftar arsip terjaga</t>
  </si>
  <si>
    <t>Kasubbag keuangan mengecek per akun pembebanan dan menyerahkan ke Staf keuangan</t>
  </si>
  <si>
    <t>Membuat daftar isi arsip terjaga</t>
  </si>
  <si>
    <t>Memberikan pelayanan dan penggunaan arsip terjaga</t>
  </si>
  <si>
    <t xml:space="preserve">Anggota Tim Keuangan  melakukan entry datake program SPPD at cost </t>
  </si>
  <si>
    <t>ArsipVital</t>
  </si>
  <si>
    <t xml:space="preserve">Anggota Tim Keuangan   mencetak SPPD </t>
  </si>
  <si>
    <t>Melakukan identifikasi arsip vital</t>
  </si>
  <si>
    <t>Mengelola arsip vital</t>
  </si>
  <si>
    <t>Membuat daftar arsip vital</t>
  </si>
  <si>
    <t xml:space="preserve">Pegawai di lingkungan subject matter mengambil SPPD </t>
  </si>
  <si>
    <t>Memberikan pelayanan dan penggunaan arsip vital</t>
  </si>
  <si>
    <t>Setelah kembali dari perjalanan dinas, pegawai bersangkutan menyerahkan SPPD yang sudah ditandatangani Kepala BPS daerah dan SPJ perjalanan dinas</t>
  </si>
  <si>
    <t>Pemindahan Arsip Inaktif</t>
  </si>
  <si>
    <t>Menyeleksi arsip inaktif yang akan dipindahkan</t>
  </si>
  <si>
    <t xml:space="preserve">Bendahara  membuat rekapitulasi daftar perjalanan dinas, DOP, dan pengeluaran riil dan  membayar  uang perjalanan dinas dan membukukan ke buku kas negara </t>
  </si>
  <si>
    <t>Membuat daftar arsip inaktif usul pindah</t>
  </si>
  <si>
    <t>Subject matter mengajukan daftar pegawai yang akan melakukan perjalanan dinas ke Tim Perencanaan</t>
  </si>
  <si>
    <t>Melaksanakan pemindahan arsip inaktif</t>
  </si>
  <si>
    <t>Membuat berita acara pemindahan arsip</t>
  </si>
  <si>
    <t>Menata dan menyimpan arsip inaktif</t>
  </si>
  <si>
    <t>Tim Perencanaan merekap pegawai yang akan melakukan perjalanan dinas dan menyerahkan rekap ke Bendahara Pengeluaran</t>
  </si>
  <si>
    <t>Memberikan pelayanan dan penggunaan arsip inaktif</t>
  </si>
  <si>
    <t>Bendahara Pengeluaran  mencetak SPPD dan menyiapkan kwitansi uang muka perjalanan dinas</t>
  </si>
  <si>
    <t>Mengecek sarana prasarana record center</t>
  </si>
  <si>
    <t>Pegawai di lingkungan subject matter mengambil SPPD dan uang muka perjalanan dinas dan menandatangani kwitansi uang muka perjalanan dinas</t>
  </si>
  <si>
    <t>Pemusnahan Arsip</t>
  </si>
  <si>
    <t>Menyeleksi arsip inaktif yang akan dimusnahkan</t>
  </si>
  <si>
    <t xml:space="preserve">Bendahara Pengeluaran membukukan uang muka perjalanan dinas ke dalam buku kas umum </t>
  </si>
  <si>
    <t>Membuat SK Pemusnahan Arsip</t>
  </si>
  <si>
    <t>Membuat daftar arsip inaktif usul musnah</t>
  </si>
  <si>
    <t>Melaksanakan penilaian arsip usul musnah</t>
  </si>
  <si>
    <t>Membuat pertimbangan panitia penilai internal</t>
  </si>
  <si>
    <t xml:space="preserve">Bendahara Pengeluaranmembuat daftar nominatif perjalanan dinas, DOP, dan pengeluaran riil. </t>
  </si>
  <si>
    <t>Membuat surat pernyataan kepala</t>
  </si>
  <si>
    <t>Membuat berita acara penilaian arsip usul musnah</t>
  </si>
  <si>
    <t>Bendahara Pengeluaran menyiapkan dokumen  LS Perjalanan dan mengirim ke Operator SPM untuk diterbitkan SPM</t>
  </si>
  <si>
    <t>Membuat surat usul musnah dan mengajukan ke BPS RI dan ANRI</t>
  </si>
  <si>
    <t>Mengajukan form pemusnahan arsip ke pihak ke tiga sesuai dengan metode yang telah ditentukan</t>
  </si>
  <si>
    <t xml:space="preserve">Kasubag Keuangan memeriksa dokumen LS Perjalanan dan SPM Perjalanan  </t>
  </si>
  <si>
    <t>Melaksanakan pemusnahan dengan metode yang tertera di SK pemusnahan</t>
  </si>
  <si>
    <t>Membuat berita acara pemusnahan arsip dan dokumentasi</t>
  </si>
  <si>
    <t>Meminta sertifikat pemusnahan arsip ke pihak ke tiga</t>
  </si>
  <si>
    <t>Pejabat Penandatangan SPM memeriksa dokumen dan menandatangani SPM</t>
  </si>
  <si>
    <t>Membuat Laporan Pemusnahan Arsip</t>
  </si>
  <si>
    <t>Penyerahan Arsip Statis</t>
  </si>
  <si>
    <t>Menyeleksi arsip inaktif yang termasuk ke dalam arsip statis jika ada</t>
  </si>
  <si>
    <t>Membuat daftar arsip inaktif usul serah arsip statis jika ada</t>
  </si>
  <si>
    <t>Setelah diverifikasi oleh KPPN, KPPN mentransfer dana LS Perjalanan ke Rek. Bendahara Pengeluaran</t>
  </si>
  <si>
    <t>Melaksanakan penyerahan arsip inaktif usul arsip statis ke BPS RI</t>
  </si>
  <si>
    <t>Pembinaan Kearsipan</t>
  </si>
  <si>
    <t>Bendahara Pengeluaran membayar kekurangan uang perjalanan dinas ke pegawai yang bersangkutan</t>
  </si>
  <si>
    <t>Melaksanakan supervisi penyelenggaraan kearsipan ke BPS Kabupaten/Kota</t>
  </si>
  <si>
    <t>Melaksanakan Audit Sistem Kearsipan Internal Unit Pengolah</t>
  </si>
  <si>
    <t>Bendahara Pengeluaran Pembantu membukukan SPM LS Perjalanan ke buku kas umum</t>
  </si>
  <si>
    <t>Melaksanakan Audit Sistem Kearsipan Internal Unit Kearsipan</t>
  </si>
  <si>
    <t>BMN</t>
  </si>
  <si>
    <t>Pembayaran Tunai Pihak Ketiga</t>
  </si>
  <si>
    <t>1. Membantu dalam menyusun RUP yang mencakup informasi tentang jenis barang atau jasa yang akan diadakan, besarnya anggaran, dan tahapan proses pengadaan serta di input ke dalam SIRUP</t>
  </si>
  <si>
    <t>2. Melakukan monitoring RUP satker kabupaten/kota</t>
  </si>
  <si>
    <t>1. Membantu menyusun deskripsi yang jelas dan rinci tentang pekerjaan atau kegiatan yang akan dilakukan. Ini mencakup ruang lingkup pekerjaan, tujuan atau ouput yang akan dihasilkan, lokasi, batas waktu, sumber pendanaan dan segala persyaratan lainnya.</t>
  </si>
  <si>
    <t>2. Membantu menetapkan kriteria evaluasi yang akan digunakan untuk menilai dan memilih penyedia barang atau jasa. Kriteria ini dapat mencakup aspek teknis, harga, kualitas.</t>
  </si>
  <si>
    <t>1. Mereviu permintaan pengadaan barang/jasa dari PPK;</t>
  </si>
  <si>
    <t>2. Melakukan survei harga melalui online;</t>
  </si>
  <si>
    <t>3. Melakukan survei harga permintaan penawaran 2-3 penyedia;</t>
  </si>
  <si>
    <t>Bendahara Pengeluaran  mencatat ke dalam buku kas umum</t>
  </si>
  <si>
    <t>4. Membuat berita acara perkiraan harga</t>
  </si>
  <si>
    <t>Staff Operator SAI meminta dokumen SPM/SP2D yang sudah terbit dan diambil dari KPPN Jakarta II kepada Staff Pengantar SPM/Pengambil SP2D</t>
  </si>
  <si>
    <t>1. Melakukan monitoring dokumen hasil pengadaan di Kab/Kota;</t>
  </si>
  <si>
    <t>2. Melakukan pendampingan pengadaan barang/jasa di Kab/Kota;</t>
  </si>
  <si>
    <t>Staff Pengantar SPM/Pengambil SP2D menggandakan dokumen SP2D  dan mendistribusikan ke Staff Operator SAI dan Bendahara Pengeluaran (Asli)</t>
  </si>
  <si>
    <t>3. Membuat laporan pendampingan pengadaan di Kab/Kota.</t>
  </si>
  <si>
    <t>1. Memeriksa dokumen persiapan untuk proses pengadaan;</t>
  </si>
  <si>
    <t>Staff Operator SAI menjurnal Dokumen SPM/SP2D yang sudah diterima ke dalam program SAKTI</t>
  </si>
  <si>
    <t>2. Pemeriksaan kesesuaian kegiatan dengan RUP yang terdaftar;</t>
  </si>
  <si>
    <t>3. Pemeriksaan metode dan sistem pembayaran/kontrak;</t>
  </si>
  <si>
    <t xml:space="preserve">Staff Operator SAI mendokumentasikan Dokumen SPM/SP2D yang sudah dijurnal. </t>
  </si>
  <si>
    <t>4. Pemeriksaan terhadap spesifikasi teknis yang dibutuhkan;</t>
  </si>
  <si>
    <t>5. Pemeriksaaan terhadap kewajaran harga perkiraan;</t>
  </si>
  <si>
    <t>Laporan Keuangan</t>
  </si>
  <si>
    <t>Rekon SAI dengan KPPN Jakarta II</t>
  </si>
  <si>
    <t>Staff Operator SAI menyerahkan laporan dan ADK SAI ke KPPN Jakarta II untuk melakukan rekonsiliasi. ADK dapat dikirim via email atau dibawa langsung ke KPPN Jakarta II.</t>
  </si>
  <si>
    <t>6. Pemeriksaan terhadap ketersediaan penyedia dan barang jasa;</t>
  </si>
  <si>
    <t>7. Pemeriksaan terhadap jangka waktu pelaksanaan/kebutuhan;</t>
  </si>
  <si>
    <t>8. Pemeriksaaan terhadap ketersediaan anggaran dalam POK.</t>
  </si>
  <si>
    <t>KPPN Jakarta II melakukan proses rekonsiliasi data SAI dengan SAU</t>
  </si>
  <si>
    <t>9. Membuat berita acara reviu dokumen persiapan.</t>
  </si>
  <si>
    <t xml:space="preserve">KPPN Jakarta II menerbitkan laporan hasil rekonsiliasi (LHR). Apabila terdapat data yang tidak sama antara SAU dan SAI maka Staff Operator SAI harus melengkapi data SAI. Namun apabila hasil rekonsiliasi sama anatara SAU dan SAI maka KPPN menerbitkan BAR.  </t>
  </si>
  <si>
    <t>Staff Operator SAI mengambil BAR &amp; LHR yang sudah ditanda tangani oleh KPPN Jakarta II, untuk kemudian diserahkan kembali ke KPPN Jakarta II atas BAR yang sudah ditandatangani oleh Kuasa Pengguna Anggaran</t>
  </si>
  <si>
    <t>Staff Operator SAI mendokumentasikan dokumen BAR dan LHR</t>
  </si>
  <si>
    <t>Rekonsiliasi eksternal</t>
  </si>
  <si>
    <t>1. Membuat dokumen pemilihan sesuai metode pengadaan;</t>
  </si>
  <si>
    <t>Tutup Buku</t>
  </si>
  <si>
    <t>2. Membuat undangan permintaan harga ke penyedia;</t>
  </si>
  <si>
    <t>3. Membuat berita acara pemberian penjelasan</t>
  </si>
  <si>
    <t>PBJ -  Penyusunan dan penjelasan dokumen pemilihan pada pekerjaan yang dilakukan dengan metode pemilihan Tender/ Seleksi/ Penunjukan Langsung</t>
  </si>
  <si>
    <t>Telaah</t>
  </si>
  <si>
    <t>3. Membuat berita acara pemberian penjelasan.</t>
  </si>
  <si>
    <t>1. Pemeriksaan dokumen penawaran harga dari penyedia;</t>
  </si>
  <si>
    <t>Menyusun LK</t>
  </si>
  <si>
    <t>2. Pemeriksaan syarat administrasi penawaran;</t>
  </si>
  <si>
    <t>3. Pemeriksaan syarat teknis penawaran;</t>
  </si>
  <si>
    <t>Upload  LK pada E-CALK</t>
  </si>
  <si>
    <t>4. Membuat berita acara evaluasi penawaran harga.</t>
  </si>
  <si>
    <t>Memastikan Rekon SATKER di bawahnya</t>
  </si>
  <si>
    <t>Memastikan data Satker Clean</t>
  </si>
  <si>
    <t>1. Menerima dan memeriksa dokumen kualifikasi dari penyedia yang berminat untuk berpartisipasi dalam pengadaan sudah sesuai dengan ketentuan yang berlaku;</t>
  </si>
  <si>
    <t>2. Memeriksa referensi dan pengalaman dari penyedia untuk memastikan bahwa mereka memiliki kemampuan dan pengalaman yang diperlukan untuk melaksanakan proyek atau memberikan barang/jasa sesuai dengan persyaratan;</t>
  </si>
  <si>
    <t>Koreksi Data</t>
  </si>
  <si>
    <t>3. Memberikan rekomendasi kepada pihak PPK terkait dengan penyedia yang memenuhi kualifikasi dan dapat melanjutkan ke tahap selanjutnya dalam proses pengadaan.</t>
  </si>
  <si>
    <t>Memastikan SATKER UPLOAD LK ke E-CALK</t>
  </si>
  <si>
    <t>1. Menerima sanggahan yang diajukan oleh peserta pengadaan. Sanggahan dapat berupa keberatan atau keluhan terkait dengan proses pengadaan atau hasil evaluasi;</t>
  </si>
  <si>
    <t>2. Memverifikasi apakah peserta pengadaan yang mengajukan sanggahan memiliki kewenangan atau hak untuk melakukannya sesuai dengan regulasi yang berlaku;</t>
  </si>
  <si>
    <t>Melakukan Telaah</t>
  </si>
  <si>
    <t>3. Memeriksa dokumen sanggahan yang diajukan untuk memastikan bahwa sanggahan tersebut dilengkapi dengan informasi dan argumen yang memadai;</t>
  </si>
  <si>
    <t>4. Mengumumkan hasil dari penanganan sanggahan kepada pihak yang terlibat, termasuk peserta pengadaan yang mengajukan sanggahan.</t>
  </si>
  <si>
    <t>Menyusun dan Upload LK ke E-CALK</t>
  </si>
  <si>
    <t>1. Mempelajari dan memahami HPS yang telah ditetapkan dan mengidentifikasi standar harga/biaya yang relevan untuk pekerjaan yang akan dilaksanakan;</t>
  </si>
  <si>
    <t>2. Mengevaluasi penawaran awal dari penyedia untuk memastikan bahwa harga yang diajukan sesuai dengan HPS dan standar harga/biaya yang telah ditetapkan;</t>
  </si>
  <si>
    <t xml:space="preserve">Memeriksa seluruh transaksi BMN yang terjadi pada periode laporan (perolehan, penghapusan, transfer masuk dsb) </t>
  </si>
  <si>
    <t>3. Klarifikasi dengan penyedia untuk menjelaskan HPS dan standar harga/biaya yang ditetapkan;</t>
  </si>
  <si>
    <t>4. Melakukan negosiasi dengan penyedia terkait dengan harga yang ditetapkan</t>
  </si>
  <si>
    <t xml:space="preserve">Menerima ADK Laporan Persediaan untuk digabung pada SIMAK BMN </t>
  </si>
  <si>
    <t>5. Membuat berita acara negosiasi harga dan dokumentasi</t>
  </si>
  <si>
    <t>Menginput seluruh transaksi pada SIMAK BMN</t>
  </si>
  <si>
    <t xml:space="preserve">Mencetak Laporan BMN </t>
  </si>
  <si>
    <t>4. Melakukan negosiasi dengan penyedia terkait dengan harga yang ditetapkan;</t>
  </si>
  <si>
    <t>5. Membuat berita acara negosiasi harga dan dokumentasi.</t>
  </si>
  <si>
    <t>Menyusun Laporan Penerimaan Negara Bukan Pajak (PNBP) dari pengelolaan BMN, data didapat dari Subbag Keuangan dan KPKNL</t>
  </si>
  <si>
    <t>PBJ - Pendampingan /konsultasi penggunaan sistem informasi/aplikasi pada tahap pemilihan penyedia</t>
  </si>
  <si>
    <t>1. Memberikan bimbingan dan penjelasan kepada pihak-pihak yang terlibat mengenai penggunaan sistem informasi atau aplikasi yang digunakan dalam proses pemilihan penyedia;</t>
  </si>
  <si>
    <t>2. Memantau dan memastikan bahwa penggunaan sistem informasi atau aplikasi dilakukan dengan benar dan sesuai dengan prosedur yang telah ditetapkan;</t>
  </si>
  <si>
    <t>Rekonsiliasi Laporan BMN dengan Subbag Keuangan</t>
  </si>
  <si>
    <t>3. Memastikan bahwa akses pengguna ke sistem informasi atau aplikasi terkendali dan sesuai dengan hak akses yang diberikan;</t>
  </si>
  <si>
    <t>4. Jika diperlukan, PPBJ dapat menyelenggarakan pelatihan terkait dengan penggunaan sistem informasi atau aplikasi kepada pihak-pihak yang terlibat;</t>
  </si>
  <si>
    <t>Penandatanganan Berita Acara hasil rekonsiliasi internal.</t>
  </si>
  <si>
    <t>5. Menyusun laporan dan melakukan evaluasi kinerja sistem informasi atau aplikasi untuk memastikan bahwa alat tersebut memenuhi kebutuhan dan tujuan yang diinginkan.</t>
  </si>
  <si>
    <t>1. Menyusun Draft Surat Perintah Kerja (SPK) yang memuat semua detail terkait dengan pengadaan barang /jasa, termasuk spesifikasi teknis, jumlah, jadwal pengiriman, harga, dan syarat lainnya;</t>
  </si>
  <si>
    <t>Menyusun CalBMN</t>
  </si>
  <si>
    <t>2. Memastikan bahwa SPK yang disusun sesuai dengan regulasi, pedoman, dan kebijakan yang berlaku terkait dengan pengadaan barang atau jasa dan semua dokumen yang diperlukan sudah lengkap;</t>
  </si>
  <si>
    <t>3. Mengajukan SPK kepada pihak terkait untuk mendapatkan persetujuan dan tanda tangan resmi.</t>
  </si>
  <si>
    <t xml:space="preserve">Menandatangani Laporan BMN </t>
  </si>
  <si>
    <t>1. Menyiapkan dokumen serah terima yang mencakup detail hasil pengadaan, termasuk deskripsi barang atau jasa, jumlah, spesifikasi, dan persyaratan lain yang relevan;</t>
  </si>
  <si>
    <t>2. Menentukan waktu dan tempat untuk melakukan serah terima;</t>
  </si>
  <si>
    <t>3. Memeriksa hasil pengadaan untuk memastikan bahwa barang atau jasa yang diserahkan sesuai dengan spesifikasi dan persyaratan yang telah ditetapkan;</t>
  </si>
  <si>
    <t>4. Memastikan bahwa hasil pengadaan memenuhi semua persyaratan dan klausul yang tercantum dalam kontrak;</t>
  </si>
  <si>
    <t>Melakukan Rekonsiliasi dengan KPKNL</t>
  </si>
  <si>
    <t>5. Membantu membuat Berita acara serah terima hasil pengadaan.</t>
  </si>
  <si>
    <t>1. Melakukan pencatatan paket non tender pada aplikasi LPSE</t>
  </si>
  <si>
    <t>Menandatangani Berita Acara Rekonsiliasi</t>
  </si>
  <si>
    <t>2. Mengumpulkan data dan informasi terkait kinerja penyedia selama periode kontrak berlangsung. Data ini dapat mencakup hal-hal seperti kepatuhan terhadap jadwal, kualitas barang atau jasa, responsifitas terhadap permintaan atau masalah, dll;</t>
  </si>
  <si>
    <t>3. Memberikan rekomendasi atau masukan terkait kinerja penyedia kepada pejabat pembuat komitmen;</t>
  </si>
  <si>
    <t>4. Menggunakan hasil evaluasi penyedia sebagai tolak ukur kerja sama dengan penyedia tersebut di masa yang akan datang.</t>
  </si>
  <si>
    <t>Penyampaian Laporan BMN  termasuk ADK (Arsip data Komputer) ke: (1)Unit SAI, (2) SIMAK BMN Wilayah/Es.I, (3) KPKNL Setempat</t>
  </si>
  <si>
    <t xml:space="preserve">Menerima Laporan BMN dari seluruh BPS Kabupaten berupa hardcopy yang ditandatangani maupun softcopy SIMAKBMN,  </t>
  </si>
  <si>
    <t xml:space="preserve">Merekap penerimaan hardcopy Laporan BMN seluruh BPS Kabupaten yang ditandatangani dan softcopy SIMAKBMN, yang terdiri dari :   </t>
  </si>
  <si>
    <t>Pencetakan Laporan</t>
  </si>
  <si>
    <t>Penyusunan Laporan Tahun tingkat Wilayah</t>
  </si>
  <si>
    <t>Melakukan Rekonsiliasi Internal dengan Sub bag Keuangan</t>
  </si>
  <si>
    <t>Mencetak Laporan BMN Wilayah</t>
  </si>
  <si>
    <t>Memeriksa Laporan BMN Wilayah</t>
  </si>
  <si>
    <t>Satker</t>
  </si>
  <si>
    <t xml:space="preserve">Kepala Kantor menandatangani Laporan BMN </t>
  </si>
  <si>
    <t>Economy-Wide Survey</t>
  </si>
  <si>
    <t xml:space="preserve">Melakukan rekonsiliasi dengan DJKN </t>
  </si>
  <si>
    <t>Data entry/Perekaman Data</t>
  </si>
  <si>
    <t>Kepala Kantor menandatangani Berita Acara Rekonsiliasi bersama DJKN</t>
  </si>
  <si>
    <t>Menyampaikan Laporan BMN kepada Dirjen Kekayaan Negara (DJKN) dan Sub Bag Keuangan BPS</t>
  </si>
  <si>
    <t>Transaksi BMN</t>
  </si>
  <si>
    <t xml:space="preserve">Menerima dokumen-dokumen perolehan pembelian BMN </t>
  </si>
  <si>
    <t>Mengikuti pelatihan instruktur</t>
  </si>
  <si>
    <t>Menerima copy dokumen-dokumen pembayaran untuk pembelian BMN berupa : SPM dan SP2D</t>
  </si>
  <si>
    <t>Menerima BAST dan kelengkapan dokumen lain perolehan BMN hibah, transfer masuk dan pengadaan lainnya dari pihak pemberi</t>
  </si>
  <si>
    <t xml:space="preserve">Menerima dokumen-dokumen pengurangan BMN </t>
  </si>
  <si>
    <t>Memeriksa kelengkapan dokumen-dokumen perolehan dan pengurangan BMN</t>
  </si>
  <si>
    <t>Membuat rekap pembelian barang modal baik dari belanja modal dan belanja lainnya</t>
  </si>
  <si>
    <t xml:space="preserve">Membuat worksheet pengadaan barang </t>
  </si>
  <si>
    <t xml:space="preserve">Membukukan perolehan dan pengurangan BMN ke dalam SIMAK-BMN </t>
  </si>
  <si>
    <t>Penyusunan dokumen administrasi</t>
  </si>
  <si>
    <t>Mencetak Stiker BMN dan Update DBR</t>
  </si>
  <si>
    <t>Mencetak Kartu Identias Barang (KIB)</t>
  </si>
  <si>
    <t>Menyimpan dokumen BMN yaitu : BAST, SPK, SPM/SP2D, KIB, BPKB,</t>
  </si>
  <si>
    <t>Menerima laporan SIMAK BMN</t>
  </si>
  <si>
    <t xml:space="preserve">Memeriksa Laporan SIMAK BMN </t>
  </si>
  <si>
    <t>Melakukan entri biaya transport</t>
  </si>
  <si>
    <t xml:space="preserve">Mencatat semua barang yang telah ada pada penguasaan sebagai Saldo Awal </t>
  </si>
  <si>
    <t>Melakukan entri realisasi PNBP</t>
  </si>
  <si>
    <t>Melakukan pencatatan setiap transaksi tambah maupun kurang</t>
  </si>
  <si>
    <t>Mengupdate kondisi barang</t>
  </si>
  <si>
    <t>Membuat SK Rate Transport</t>
  </si>
  <si>
    <t>Mengumpulkan data eksisting (gedung kantor, rumah dinas, informasi lain2, realisasi daya dan jasa, jumlah petugas TA 2024)</t>
  </si>
  <si>
    <t>Mengumpulkan dokumen pendukung usulan sarana prasarana (HSBGN, GSB, KAK, TOR, dll)</t>
  </si>
  <si>
    <t>Mengupload SK Rate Transport</t>
  </si>
  <si>
    <t>Penyusunan nomor urut skala prioritas secara wilayah</t>
  </si>
  <si>
    <t>Entri data laporan semester 1 aplikasi SMART</t>
  </si>
  <si>
    <t>Entri data laporan tahunan aplikasi SMART</t>
  </si>
  <si>
    <t>Entri laporan monitoring pengadaan barang dan jasa satker provinsi</t>
  </si>
  <si>
    <t>Entry Aplikasi E-Monev Bappenas Bulanan (komponen dan output)</t>
  </si>
  <si>
    <t>Menerima Laporan Persediaan dan Hasil Stok Opname Fisik Persediaan</t>
  </si>
  <si>
    <t>Melakukan Inventarisasi sekurang-kurangnya 5 (lima) tahun sekali</t>
  </si>
  <si>
    <t>Membukukan ke dalam SIMAK BMN</t>
  </si>
  <si>
    <t>Memeriksa dan kompilasi  laporan monitoring pengadaan barang dan jasa tingkat wilayah</t>
  </si>
  <si>
    <t>Menganalisis data hasil monev</t>
  </si>
  <si>
    <t>Mengidentifikasi dan menginventarisasi Data/Masalah terkait pelaksanaan Monev Kinerja Penganggaran</t>
  </si>
  <si>
    <t>Mengolah data terkait pelaksanaan Monev Kinerja Penganggaran</t>
  </si>
  <si>
    <t>Menyusun rekomendasi atas hasil monev</t>
  </si>
  <si>
    <t>Melakukan penyusunan Kartu Identitas Barang untuk barang yang mempunyai identitas khusus (tanah, bangunan, kendaraan bermotor)</t>
  </si>
  <si>
    <t>Upload/kirim publikasi SHBJ</t>
  </si>
  <si>
    <t>Mengikuti pelatihan pendataan Survei Harga Barang dan Jasa (SHBJ) dan Survei Standar Biaya (SSB)</t>
  </si>
  <si>
    <t>Briefing SHBJ dan SSB</t>
  </si>
  <si>
    <t>Menyusun Daftar Barang Ruangan (DBR)</t>
  </si>
  <si>
    <t>Pembuatan Surat Perjanjian Kerja</t>
  </si>
  <si>
    <t>Menyusun Daftar Barang Lainnya (DBL)</t>
  </si>
  <si>
    <t>Penyusunan BAST</t>
  </si>
  <si>
    <t>Revisit pendataan SHBJ</t>
  </si>
  <si>
    <t>Menyusun Penerimaan Negara Bukan Pajak (PNBP) dari pengelolaan BMN</t>
  </si>
  <si>
    <t>Menyusun Laporan BMN</t>
  </si>
  <si>
    <t>Alokasi petugas dan kuesioner</t>
  </si>
  <si>
    <t>Identifikasi jenis barang/jasa</t>
  </si>
  <si>
    <t>Melakukan rekonsiliasi tiap periode pelaporan dengan Unit Akuntansi</t>
  </si>
  <si>
    <t>Melakukan Rekonsiliasi Laporan BMN dengan KPKNL</t>
  </si>
  <si>
    <t>Persiapan ATK dan pencetakan kuesioner</t>
  </si>
  <si>
    <t>Menyerahkan Laporan BMN Hardcopy &amp; Softcopy</t>
  </si>
  <si>
    <t>Penetapan Status Penggunaan BMN</t>
  </si>
  <si>
    <t>Daftar Usulan Penetapan Status Penggunaan (PSP) BMN</t>
  </si>
  <si>
    <t>Import adk</t>
  </si>
  <si>
    <t>Membuat usulan ke KPKNL atau meneruskan usulan ke Kepala BPS Provinsi</t>
  </si>
  <si>
    <t>Melakukan realisasi permintaan</t>
  </si>
  <si>
    <t>Melakukan rekap bendahara</t>
  </si>
  <si>
    <t>melakukan rekap ulang presensi</t>
  </si>
  <si>
    <t>Membuat usulan ke kanwil DJKN atau meneruskan usulan ke Kepala BPS RI</t>
  </si>
  <si>
    <t>Membuat form permintaan</t>
  </si>
  <si>
    <t>Membuka jadwal revisi anggaran</t>
  </si>
  <si>
    <t>Menetapkan SK Penetapan Status BMN atau membuat usulan ke Menteri Keuangan</t>
  </si>
  <si>
    <t>Mencetak rekap presensi</t>
  </si>
  <si>
    <t>Mengalokasikan jenis form permintaan</t>
  </si>
  <si>
    <t>Mengalokasikan jenis permbayaran</t>
  </si>
  <si>
    <t>Mengalokasikan PPK</t>
  </si>
  <si>
    <t>Selain tanah dan/atau bangunan tanpa dokumen kepemilikan perolehan s.d. 25 juta</t>
  </si>
  <si>
    <t>Menerima SK Penetapan Status Penggunaan BMN</t>
  </si>
  <si>
    <t>Proses Pengajuan Penghapusan BMN</t>
  </si>
  <si>
    <t>Membuat SK Panitia Penghapusan</t>
  </si>
  <si>
    <t>Membuat Surat Usulan  Pemeriksaan/Penelitian</t>
  </si>
  <si>
    <t>Membuat Berita Acara Pemeriksaan/Penelitian'</t>
  </si>
  <si>
    <t>Membuat Surat Usulan  Rekomendasi Penghapusan</t>
  </si>
  <si>
    <t>Menerima Persetujuan/Rekomendasi Penghapusan</t>
  </si>
  <si>
    <t>Membuat Surat Usulan Penghapusan (SK Penghapusan)</t>
  </si>
  <si>
    <t>Menerima SK Penghapusan</t>
  </si>
  <si>
    <t>Membuat Surat Permohonan Lelang melampirkan daftar BMN yang akan dilelang dan SK Penghapusan</t>
  </si>
  <si>
    <t xml:space="preserve">Melaksanakan Lelang </t>
  </si>
  <si>
    <t>Menerbitkan Risalah Lelang</t>
  </si>
  <si>
    <t>Menerima Risalah Lelang</t>
  </si>
  <si>
    <t>Mengirimkan copy risalah lelang ke BPS RI (Subbag Penghapusan)</t>
  </si>
  <si>
    <t>Membuat Laporan Pelaksanaan Proses Penghapusan (Seluruh berkas dalam proses penghapusan dijilid)</t>
  </si>
  <si>
    <t>Menerima daftar pesanan (SPK, Kontrak, BQ) dari Unit Pengadaan</t>
  </si>
  <si>
    <t>Menyiapkan revisi Pemutakhiran KPA</t>
  </si>
  <si>
    <t>Menyiapkan surat usulan eselon I</t>
  </si>
  <si>
    <t>Menyiapkan surat usulan revisi anggaran ke Kanwil DJPB</t>
  </si>
  <si>
    <t>Input Rencana Penarikan Anggaran (RPD)</t>
  </si>
  <si>
    <t>Menganalisis kebutuhan revisi anggaran</t>
  </si>
  <si>
    <t>Menganalisis pagu per program</t>
  </si>
  <si>
    <t>Menganalisis usulan revisi anggaran</t>
  </si>
  <si>
    <t>Menginventarisasi data dan bahan parameter penyusunan asumsi dasar ekonomi makro</t>
  </si>
  <si>
    <t>Menilai usulan revisi rencana kerja dan anggaran</t>
  </si>
  <si>
    <t>Menerima pengadaan barang</t>
  </si>
  <si>
    <t>Menyiapkan dan mengidentifikasi bahan dan parameter revisi anggaran</t>
  </si>
  <si>
    <t>Menyusun pagu</t>
  </si>
  <si>
    <t>Menyusun rekomendasi revisi anggaran</t>
  </si>
  <si>
    <t>Menyusun usul revisi anggaran</t>
  </si>
  <si>
    <t>Menganalisis jenis dan tarif PNBP</t>
  </si>
  <si>
    <t>Mengidentifikasi permasalahan jenis dan tarif</t>
  </si>
  <si>
    <t>Menginventarisasi data terkait potensi, jenis, dan tarif PNBP</t>
  </si>
  <si>
    <t>Menyusun rekomendasi jenis dan tarif PNBP (BLU sd 5)</t>
  </si>
  <si>
    <t>Menyusun usulan jenis dan tarif PNBP</t>
  </si>
  <si>
    <t>Pemeriksaan draft Rencana Penarikan Dana Tahunan</t>
  </si>
  <si>
    <t>Memeriksa barang berdasarkan pesanan BPS, bila tidak sesuai dikembalikan kepada penyedia barang</t>
  </si>
  <si>
    <t>Barang diterima dan dokumen ditandatangani</t>
  </si>
  <si>
    <t>Penyusunan  draft Rencana Penarikan Dana Tahunan</t>
  </si>
  <si>
    <t>Menyerahkan barang yang sudah sesuai di gudang BPS</t>
  </si>
  <si>
    <t>Penyusunan Konsep draft Rencana Penarikan Dana Tahunan</t>
  </si>
  <si>
    <t>Revisi DIPA di BOS</t>
  </si>
  <si>
    <t>Approval revisi DIPA oleh KPA</t>
  </si>
  <si>
    <t>Membuat BAST bila pesanan telah dipenuhi seluruhnya</t>
  </si>
  <si>
    <t>Melakukan input revisi DIPA</t>
  </si>
  <si>
    <t>Menyusun KAK Revisi DIPA</t>
  </si>
  <si>
    <t>Revisi POK di BOS</t>
  </si>
  <si>
    <t>Approval revisi POK oleh KPA</t>
  </si>
  <si>
    <t>Menandatangani BAST</t>
  </si>
  <si>
    <t>Approval revisi POK oleh Penanggung jawab</t>
  </si>
  <si>
    <t>Approval revisi POK oleh PPK</t>
  </si>
  <si>
    <t>Melakukan input revisi POK</t>
  </si>
  <si>
    <t>Menyerahkan BAST ke Subbag Perlengkapan</t>
  </si>
  <si>
    <t>Membuka jadwal revisi POK</t>
  </si>
  <si>
    <t>Menyusun KAK Revisi POK</t>
  </si>
  <si>
    <t>Mencatat penerimaan barang (manual/kartu kendali)</t>
  </si>
  <si>
    <t>Pemeriksaan revisi POK oleh Admin Anggaran</t>
  </si>
  <si>
    <t>Reformasi Kinerja</t>
  </si>
  <si>
    <t>Melakukan koordinasi dengan tim pelaksana EPSS Pusat</t>
  </si>
  <si>
    <t>Melakukan monitoring pelaksanaan EPSS di lingkungannya</t>
  </si>
  <si>
    <t>Identifikasi barang (barang modal atau barang persediaan)</t>
  </si>
  <si>
    <t>Melakukan penilaian dokumen EPSS untuk Pemprov</t>
  </si>
  <si>
    <t>Melakukan penilaian interviu EPSS untuk Pemprov</t>
  </si>
  <si>
    <t>Melakukan penilaian visitasi EPSS untuk Pemprov</t>
  </si>
  <si>
    <t xml:space="preserve">Barang modal diinput dalam SIMAK BMN </t>
  </si>
  <si>
    <t>Melakukan penjaminan kualitas atas penilaian dokumen terhadap Kab/Kota di bawahnya</t>
  </si>
  <si>
    <t>Melakukan penjaminan kualitas atas penilaian interviu terhadap Kab/Kota di bawahnya</t>
  </si>
  <si>
    <t>Melakukan penjaminan kualitas atas penilaian visitasi terhadap Kab/Kota di bawahnya</t>
  </si>
  <si>
    <t>Barang persediaan diinput kedalam Aplikasi Persediaan (barang persediaan : ATK, ARK, Publikasi, Cetakan, dan barang pakai habis lainnya)</t>
  </si>
  <si>
    <t>Melakukan penyesuaian nilai pasca pleno nasional</t>
  </si>
  <si>
    <t>Melakukan sosialisasi EPSS ke Pemprov</t>
  </si>
  <si>
    <t>Dokumen pengadaan barang disimpan</t>
  </si>
  <si>
    <t>Memberikan approval terhadap surat rekomendasi hasil EPSS untuk TPB di wilayahnya</t>
  </si>
  <si>
    <t>Mengikuti bimbingan teknis evaluasi penyelenggaraan statistik sektoral kepada pemerintah daerah</t>
  </si>
  <si>
    <t>Mengikuti pelatihan Tim Penilai Badan</t>
  </si>
  <si>
    <t>Menerima bon permintaan barang dari subject matter</t>
  </si>
  <si>
    <t>Mengikuti pleno nasional</t>
  </si>
  <si>
    <t>Menyelenggarakan pleno provinsi</t>
  </si>
  <si>
    <t>Memeriksa ketersediaan barang di gudang</t>
  </si>
  <si>
    <t>Menyusun laporan pelaksanaan penilaian Tim Penilai Badan dan menyampaikannya ke Badan</t>
  </si>
  <si>
    <t>Menyusun surat rekomendasi hasil EPSS</t>
  </si>
  <si>
    <t>Melaksanakan pembinaan agen perubahan daerah</t>
  </si>
  <si>
    <t>Menyetujui permintaan barang sesuai ketersediaan barang di gudang</t>
  </si>
  <si>
    <t>Melaksanakan program intervensi nasional dan rencana aksi perubahan</t>
  </si>
  <si>
    <t>Melakukan evaluasi pelaksanaan Reformasi Birokrasi</t>
  </si>
  <si>
    <t>Melakukan kompilasi dokumen pelaksanaan Reformasi Birokrasi</t>
  </si>
  <si>
    <t xml:space="preserve">Melayani permintaan/pengeluaran barang </t>
  </si>
  <si>
    <t>Melakukan monitoring pelaksanaan Reformasi Birokrasi</t>
  </si>
  <si>
    <t>Melakukan monitoring pelaksanaan rencana aksi manajemen perubahan</t>
  </si>
  <si>
    <t xml:space="preserve">Barang diserahkan dan bon permintaan barang ditandatangani  </t>
  </si>
  <si>
    <t>Melakukan pemilihan change champion dan change ambassador</t>
  </si>
  <si>
    <t>Melakukan Sosialisasi core values BerAKHLAK ke seluruh pegawai</t>
  </si>
  <si>
    <t>Mengikuti seluruh undangan terkait kegiatan Manajemen Perubahan</t>
  </si>
  <si>
    <t>Mencatat pengeluaran barang (manual/kartu kendali)</t>
  </si>
  <si>
    <t>Mengikuti Workshop Change Management</t>
  </si>
  <si>
    <t>Mengkompilasi seluruh materi terkait internalisasi BerAKHLAK di Daerah</t>
  </si>
  <si>
    <t>Menyusun Laporan Pelaksanaan Manajemen Perubahan</t>
  </si>
  <si>
    <t>Memilah barang persediaan dan barang modal</t>
  </si>
  <si>
    <t>Menyusun rencana aksi perubahan</t>
  </si>
  <si>
    <t>Menyusun rencana kerja Reformasi Birokrasi</t>
  </si>
  <si>
    <t>Barang modal diupdate di SIMAK BMN</t>
  </si>
  <si>
    <t>Pengisian LKE Reformasi Birokrasi</t>
  </si>
  <si>
    <t>Sosialisasi rencana kerja Reformasi Birokrasi</t>
  </si>
  <si>
    <t>Pembinaan Tim ZI</t>
  </si>
  <si>
    <t>Mengikuti workshop Tim ZI BPS Prov/Kab/Kota</t>
  </si>
  <si>
    <t>Pelaksanaan Internalisasi ZI ke seluruh pegawai</t>
  </si>
  <si>
    <t>Barang Persediaan diinput di Aplikasi Persediaan  (barang persediaan : ATK, ARK, Publikasi, Cetakan, dan barang pakai habis lainnya)</t>
  </si>
  <si>
    <t>Pembuatan Daftar Hadir Briefing Tim ZI</t>
  </si>
  <si>
    <t>Pembuatan Surat Undangan Briefing Tim ZI</t>
  </si>
  <si>
    <t>Penyusunan Notula Briefing Tim ZI</t>
  </si>
  <si>
    <t>Desk Evaluation Dengan Tim TPN</t>
  </si>
  <si>
    <t>Melakukan koordinasi bersama pengguna BPS untuk SKM</t>
  </si>
  <si>
    <t>Umum</t>
  </si>
  <si>
    <t>Menerima informasi pesanan publikasi(SPK, Kontrak, BQ) dari Pejabat Pengadaan/Subject Matter</t>
  </si>
  <si>
    <t>Melakukan pembinaan statistik sebagai bagian dari tata kelola BPS</t>
  </si>
  <si>
    <t>Membentuk Tim ZI</t>
  </si>
  <si>
    <t>Mengisi LKE ZI</t>
  </si>
  <si>
    <t xml:space="preserve">Menerima publikasi masuk dari pihak luar (penyedia barang) </t>
  </si>
  <si>
    <t>Mengkompilasi dokumen administrasi setiap kegiatan (baik teknis dan non teknis)</t>
  </si>
  <si>
    <t>Mengumpulkan bukti dukung dan mengupload bukti dukung ZI</t>
  </si>
  <si>
    <t>Menyusun program pembangunan ZI</t>
  </si>
  <si>
    <t>Monitoring program pembangunan ZI</t>
  </si>
  <si>
    <t>Pelaksanaan rapat monev implementasi ZI</t>
  </si>
  <si>
    <t>Pemeriksaan LKE ZI dan Bukti Dukung LKE ZI BPS Kabupaten/Kota</t>
  </si>
  <si>
    <t>Penyusunan Laporan Tahunan Pelaksanaan ZI</t>
  </si>
  <si>
    <t>Penyusunan SK Tim ZI</t>
  </si>
  <si>
    <t>Sosialisasi pengisian LKE ZI</t>
  </si>
  <si>
    <t>Briefing Tim SAKIP</t>
  </si>
  <si>
    <t>Pelaksanaan Briefing Tim Sakip</t>
  </si>
  <si>
    <t>Pembuatan Daftar Hadir Briefing Tim SAKIP</t>
  </si>
  <si>
    <t>Pembuatan Surat Undangan Briefing Tim SAKIP</t>
  </si>
  <si>
    <t>Pembuatan Surat Undangan Narasumber Briefing Tim SAKIP</t>
  </si>
  <si>
    <t>Penyusunan Dokumentasi Briefing Tim SAKIP</t>
  </si>
  <si>
    <t>Penyusunan Notulen Briefing Tim SAKIP</t>
  </si>
  <si>
    <t>Capaian Kinerja Triwulanan I</t>
  </si>
  <si>
    <t>Upload dokumen FRA di esr menpan</t>
  </si>
  <si>
    <t>Mencatat Penerimaan Publikasi (Kartu Kendali/Aplikasi Persediaan)</t>
  </si>
  <si>
    <t>Mencatat Nilai Perolehan Publikasi</t>
  </si>
  <si>
    <t>Menerima mailing list dari Subject Matter</t>
  </si>
  <si>
    <t>Mencatat pengeluaran Publikasi (Kartu Kendali/Aplikasi Persediaan)</t>
  </si>
  <si>
    <t>Upload dokumen FRA dan dokumentasi rapat FRA di monev BPS</t>
  </si>
  <si>
    <t xml:space="preserve">Memilah mailing list : untuk unit kerja di lingkungan BPS Provinsi, BPS PUSAT, BPS Kab/Kota; serta peruntukkan untuk Perpustakaan BPS Provinsi   </t>
  </si>
  <si>
    <t>Mencatatkan sebagai BMN untuk Publikasi yang ditentukan untuk Perpustakan BPS</t>
  </si>
  <si>
    <t>Menginformasikan alokasi Publikasi ke Instansi Penerima Publikasi beserta harga perolehannya</t>
  </si>
  <si>
    <t>Menyimpan dokumen pengadaan buku publikasi</t>
  </si>
  <si>
    <t>Sarana Internal</t>
  </si>
  <si>
    <t>Melakukan pemeliharaan/service kendaraan Dinas BPS Roda 2/4</t>
  </si>
  <si>
    <t>Memo permintaan perbaikan/service</t>
  </si>
  <si>
    <t>Membuat surat perintah kerja (WO service)</t>
  </si>
  <si>
    <t>Membawa kendaran ke Bengkel</t>
  </si>
  <si>
    <t>Proses Perbaikan/ Service selesai pengambilan mobil di bengkel  dan menyerahkan berkas (WO)</t>
  </si>
  <si>
    <t>Memeriksa dan meng administrasi hasil pekerjaan bengkel (monitoring bengkel)</t>
  </si>
  <si>
    <t>Membukukan berkas pelaksanaan pekerjaan (WO)</t>
  </si>
  <si>
    <t>Menerima kwitansi tagihan dari bengkel</t>
  </si>
  <si>
    <t>Melengkapi administrasi kwitansi  tagihan bengkel  ke bendahara dan legalisir kwitansi</t>
  </si>
  <si>
    <t>Mengajukan kwitansi tagihan untuk dapat di cairkan</t>
  </si>
  <si>
    <t>Proses pencairan di Bendahara</t>
  </si>
  <si>
    <t>Pencairan kwitansi tagihan dari bendahara</t>
  </si>
  <si>
    <t>Membuat laporan pelaksanaan pemeliharaan kendaraan Dinas Roda 2/4</t>
  </si>
  <si>
    <t>Membuat file dokumen pelaksanaan per kendaraan</t>
  </si>
  <si>
    <t>Penyusunan bukti tindak lanjut atas pelaksanaan rekomendasi/solusi sesuai dengan notulen
rapat capaian kinerja Triwulan IV</t>
  </si>
  <si>
    <t>Pemeliharaan Bangunan Dan Gedung Kantor Dalam Keadaan Rutin</t>
  </si>
  <si>
    <t>Menyusun identifikasi kebutuhan</t>
  </si>
  <si>
    <t>Menyusun rencana pengadaan</t>
  </si>
  <si>
    <t>Mengikuti Exit Meeting hasil field evaluation SAKIP</t>
  </si>
  <si>
    <t>Mengikuti kegiatan field evaluation SAKIP</t>
  </si>
  <si>
    <r>
      <rPr>
        <rFont val="Calibri"/>
        <color rgb="FF000000"/>
        <sz val="11.0"/>
      </rPr>
      <t>Membuat OE(</t>
    </r>
    <r>
      <rPr>
        <rFont val="Calibri Light"/>
        <i/>
        <color rgb="FF000000"/>
        <sz val="11.0"/>
      </rPr>
      <t>Owner estimate</t>
    </r>
    <r>
      <rPr>
        <rFont val="Calibri Light"/>
        <color rgb="FF000000"/>
        <sz val="11.0"/>
      </rPr>
      <t>) &amp; form permintaan ke panitia pengadaan</t>
    </r>
  </si>
  <si>
    <t>Pemeriksaan kertas kerja implementasi SAKIP BPS Kabupaten/Kota oleh BPS Provinsi</t>
  </si>
  <si>
    <t>Mengirimkan surat permintaan ke penyedia</t>
  </si>
  <si>
    <t>Meminta penyedia mengirimkan surat penawaran</t>
  </si>
  <si>
    <t>Memilih penyedia</t>
  </si>
  <si>
    <t xml:space="preserve">Membuat Kontrak </t>
  </si>
  <si>
    <t>Mengawasi Pelaksanaan Pekerjaan</t>
  </si>
  <si>
    <t>Memeriksa Hasil Pekerjaan</t>
  </si>
  <si>
    <t>Membuat Berita Acara Serah Terima Hasil Pekerjaan</t>
  </si>
  <si>
    <t>Penyusunan Notulen dan Dokumentasi Rapat Laporan Kinerja</t>
  </si>
  <si>
    <t>Upload Laporan Kinerja di Monev BPS</t>
  </si>
  <si>
    <t>Upload Laporan Kinerja di Monev Menpan</t>
  </si>
  <si>
    <t>Mengajukan pembayaran</t>
  </si>
  <si>
    <t>Upload Laporan Kinerja di PPID BPS</t>
  </si>
  <si>
    <t>Penyiapan bukti dukung  Rapat Monitoring Capaian Renstra</t>
  </si>
  <si>
    <t>Membuat file dokumen pelaksanaan pemeliharaan</t>
  </si>
  <si>
    <t>Penyusunan Dokumentasi Rapat Monitoring Capaian Renstra</t>
  </si>
  <si>
    <t>Proses Pemeliharaan Peralatan Barang Kantor, Bmn, Dll</t>
  </si>
  <si>
    <t>Melakukan pemeliharaan/service Barang Kantor, BMN , dll</t>
  </si>
  <si>
    <t>Penyusunan Reviu Renstra</t>
  </si>
  <si>
    <t>Pelaksanaan Dokumentasi Rapat Penyusunan Reviu Renstra</t>
  </si>
  <si>
    <t>Pelaksanaan Rapat Penyusunan Reviu Renstra</t>
  </si>
  <si>
    <t>Penyusunan Daftar Hadir Rapat Penyusunan Reviu Renstra</t>
  </si>
  <si>
    <t>Penyusunan Dokumen Reviu Rentra</t>
  </si>
  <si>
    <t>Penyusunan Notula Rapat Reviu Rencana Strategis</t>
  </si>
  <si>
    <t>Penyusunan Paparan Rapat Penyusunan Reviu Renstra</t>
  </si>
  <si>
    <t>Penyusunan Surat Undangan Rapat Penyusunan Reviu Renstra</t>
  </si>
  <si>
    <t>Upload Dokumen Reviu Renstra di esr menpan</t>
  </si>
  <si>
    <t>Upload Dokumen Reviu Renstra di monev BPS</t>
  </si>
  <si>
    <t>Upload Dokumen Reviu Renstra di PPID</t>
  </si>
  <si>
    <t>Terima rencana pengiriman dan penunjukan pelaksana pengiriman</t>
  </si>
  <si>
    <t>Reviu Target Renstra</t>
  </si>
  <si>
    <t>Pelaksanaan Dokumentasi Rapat Reviu Target Renstra</t>
  </si>
  <si>
    <t>Mengecek mailing list, dan membuat permintaan dokumen yang akan dikirim ke seksi/bidang</t>
  </si>
  <si>
    <t>Pelaksanaan Rapat Reviu Target Renstra</t>
  </si>
  <si>
    <t>Penyusunan Daftar Hadir Reviu Target Renstra</t>
  </si>
  <si>
    <t>Penyusunan Notula Rapat Reviu Target Renstra</t>
  </si>
  <si>
    <t xml:space="preserve">Menyiapkan pengepakan mengalokasikan dokumen sesuai mailing list yang ada </t>
  </si>
  <si>
    <t>Penyusunan Paparan Rapat Reviu Target Renstra</t>
  </si>
  <si>
    <t>Penyusunan Surat Undangan Rapat Reviu Target Renstra</t>
  </si>
  <si>
    <t>SPIP</t>
  </si>
  <si>
    <t>Input Kertas Kerja</t>
  </si>
  <si>
    <t xml:space="preserve">Membantu pemeriksaan  hasil pekerjaan dan penimbangan dokumen </t>
  </si>
  <si>
    <t>Pembentukan Tim SPIP</t>
  </si>
  <si>
    <t>Pengumpulan bukti dukung SPIP</t>
  </si>
  <si>
    <t>Upload Bukti Dukung</t>
  </si>
  <si>
    <t>Membuat laporan pengiriman dokumen</t>
  </si>
  <si>
    <t>Survei Harga Barang dan Jasa</t>
  </si>
  <si>
    <t>SHBJ</t>
  </si>
  <si>
    <t>Mengumpulkan dokumen transaksi barang persediaan (ATK, ARK, Publikasi, Cetakan, dsb.)</t>
  </si>
  <si>
    <t>Menginput seluruh transaksi (Aplikasi Persediaan dan Kartu Kendali)</t>
  </si>
  <si>
    <t>Posisi Akhir Barang Persediaan hasil inputasi</t>
  </si>
  <si>
    <t>Melakukan Stock Opname</t>
  </si>
  <si>
    <t xml:space="preserve">Mengikuti pelatihan instruktur </t>
  </si>
  <si>
    <t>Posisi Akhir Barang hasil Stock Opname</t>
  </si>
  <si>
    <t>Mencetak Laporan Barang Persediaan &amp; membuat BA Stock Opname</t>
  </si>
  <si>
    <t>Memeriksa dan menandatangani Laporan Barang Persediaan &amp; BA Stok Opname</t>
  </si>
  <si>
    <t xml:space="preserve">Penyusunan dokumen administrasi </t>
  </si>
  <si>
    <t xml:space="preserve">Penyampaian Laporan Barang Persediaan (softcopy dan hardcopy) beserta copy BA Stok Opname </t>
  </si>
  <si>
    <t>Menghitung Capaian Kinerja satker</t>
  </si>
  <si>
    <t>Mengkompilasi data SAKIP satker</t>
  </si>
  <si>
    <t>Subject matter membuat KAK dan form permintaan</t>
  </si>
  <si>
    <t>Rekap Bendahara di BOS</t>
  </si>
  <si>
    <t>Melakukan input realisasi pada rekap bendahara di BOS</t>
  </si>
  <si>
    <t>Membuat realisasi SPJ pada realisasi permintaan di BOS</t>
  </si>
  <si>
    <t>Pembuatan Lampiran Keuangan Satker (Daftar Akumulasi Penyusutan, Rincian KDP, Surat Penyataan Rekening, Rekap Monitoring UP/TUP, Rekap Kerjasama dan Hibah, Rekap Daftar Rekening, Rincian Barang Persediaan, Memo Penyesuaian, Kartu Kendali, Daftar Bank Garansi dan Jaminan Pemeliharaan, SSPB,SSBP, Utang Pihak Ketiga)</t>
  </si>
  <si>
    <t>Pemeriksaan dokumen Lampiran Keuangan dan meminta tanda tangan kepala atas lampiran Laporan Keuangan satker</t>
  </si>
  <si>
    <t>Pengiriman Pengantar Laporan Keuangan pada Website Monsakti</t>
  </si>
  <si>
    <t>Pengiriman Pengantar, Laporan Keuangan dan Lampirannya ke KPPN</t>
  </si>
  <si>
    <t>Pengumpulan dokumen Lampiran Keuangan (Calbmn, Laporan SAI dari Monsakti, LBMN, BAR dan SHR, Lampiran Kerjasama, LPJ dan Rekening Koran, Lampiran Lainnya, DIPA)</t>
  </si>
  <si>
    <t>Penyelesaiann proses upload dokumen Lampiran Keuangan pada website Pelaporan https://akuntansi.bps.go.id/ecalkv2/web</t>
  </si>
  <si>
    <t>Generate adk satker pada aplikasi ecalk</t>
  </si>
  <si>
    <t>Monitoring laporan hasil rekonsiliasi satker</t>
  </si>
  <si>
    <t>Monitoring rekonsiliasi satker dengan KPPN</t>
  </si>
  <si>
    <t>Monitoring transaksi satker pada monsakti</t>
  </si>
  <si>
    <t>Monitoring tutup buku modul pelaporan satker</t>
  </si>
  <si>
    <t>Pemeriksaan dan perbaikan penjelasan atas laporan keuangan</t>
  </si>
  <si>
    <t>Pengiriman laporan keuangan ke Instansi</t>
  </si>
  <si>
    <t>Pengiriman laporan keuangan ke kanwil DJPB</t>
  </si>
  <si>
    <t>Penjelasan atas laporan keuangan</t>
  </si>
  <si>
    <t>Proses cetak lampiran Laporan keuangan</t>
  </si>
  <si>
    <t>Upload penjelasan laporan keuangan pada ecalk</t>
  </si>
  <si>
    <t>asesor</t>
  </si>
  <si>
    <t>melakukan asesor test</t>
  </si>
  <si>
    <t>Cuti</t>
  </si>
  <si>
    <t>Aproval pejabat yang berwenang</t>
  </si>
  <si>
    <t>Mengajukan cuti di aplikasi sipecut</t>
  </si>
  <si>
    <t>hukuman disiplin</t>
  </si>
  <si>
    <t>Evaluasi dan Monitoring</t>
  </si>
  <si>
    <t>Identifikasi Informasi Pelanggaran Disiplin PNS</t>
  </si>
  <si>
    <t>Membuat Surat Kewenangan Penjatuhan Hukuman Disiplin</t>
  </si>
  <si>
    <t>Menyusun Analisis dan Telahaan Staf</t>
  </si>
  <si>
    <t>Pelakukan Surat pemanggilan I dan II</t>
  </si>
  <si>
    <t>Pembentukan dan Menetapkan Tim Pemeriksa</t>
  </si>
  <si>
    <t>Pemeriksaan</t>
  </si>
  <si>
    <t>Penetapan Keputusan</t>
  </si>
  <si>
    <t>Penyampaian Surat Keputusan</t>
  </si>
  <si>
    <t>Penyusunan Berita Acara Pemeriksaan</t>
  </si>
  <si>
    <t>Upload pada Aplikasi Simpag</t>
  </si>
  <si>
    <t>Hukuman Disiplin</t>
  </si>
  <si>
    <t>Upload pada Aplikasi Simpeg</t>
  </si>
  <si>
    <t>Kenaikan Pangkat</t>
  </si>
  <si>
    <t>Menerima nominasi pegawai yang akan naik pangkat</t>
  </si>
  <si>
    <t>Mengirim surat usulan kenaikan pangkat</t>
  </si>
  <si>
    <t>Kepegawaian - PEMBERIAN PENGHARGAAN SATYA LENCANA KARYA SATYA</t>
  </si>
  <si>
    <t xml:space="preserve">Memaraf Surat Usulan Penghargaan dan Tanda Jasa Pegawai </t>
  </si>
  <si>
    <t xml:space="preserve">Menandatangani Usulan Penghargaan dan Tanda Jasa Pegawai </t>
  </si>
  <si>
    <t>Meneliti Data Pegawai</t>
  </si>
  <si>
    <t xml:space="preserve">Meneliti Usulan Penghargaan dan Tanda Jasa Pegawai </t>
  </si>
  <si>
    <t>Menerima dan Meregister Usulan Penghargaan dan Tanda Jasa Pegawai</t>
  </si>
  <si>
    <t xml:space="preserve">Mengkoreksi Surat Pengantar Usulan Penghargaan dan Tanda Jasa Pegawai </t>
  </si>
  <si>
    <t xml:space="preserve">Menyetujui Usulan penghargaan dan Tanda Jasa Pegawai </t>
  </si>
  <si>
    <t xml:space="preserve">Menyiapkan berkas Usulan Penghargaan dan Tanda Jasa Pegawai </t>
  </si>
  <si>
    <t xml:space="preserve">Menyiapkan Usulan Penghargaan dan Tanda Jasa Pegawai </t>
  </si>
  <si>
    <t>Pengetikan Surat Pengantar Usulan Penghargaan dan Tanda Jasa Pegawai  Sekretaris Utama</t>
  </si>
  <si>
    <t>Entry dan Upload berkas usulan di Si-Apek BKN</t>
  </si>
  <si>
    <t>1.Melakukan monitoring pengisian SKP (Kipapp)</t>
  </si>
  <si>
    <t>2. Asistensi pengisian SKP (Kipapp)</t>
  </si>
  <si>
    <t>Melakukan sinkronisasi presensi BOS di aplikasi TK Online</t>
  </si>
  <si>
    <t>Mengentri nilai CKP ke Aplikasi TK Online</t>
  </si>
  <si>
    <t>Kepegawaian - Penyelenggaraan Ujian PMB STIS</t>
  </si>
  <si>
    <t>Melakukan Koordinasi ke BKN untuk penyelenggaran ujian PMB STIS Tahap 1</t>
  </si>
  <si>
    <t>Melakukan Koordinasi ke fasilitas Kesehatan untuk penyelenggaran ujian PMB STIS Tahap 3</t>
  </si>
  <si>
    <t>Melakukan Rapat persiapan Penyelenggaran Ujian PMB STIS Tahap 1</t>
  </si>
  <si>
    <t>Melakukan Rapat persiapan Penyelenggaran Ujian PMB STIS Tahap 2</t>
  </si>
  <si>
    <t>Melakukan Rapat persiapan Penyelenggaran Ujian PMB STIS Tahap 3</t>
  </si>
  <si>
    <t>Mempersiapkan administrasi Penyelenggaran Ujian PMB STIS Tahap 1 (daftar hadir, Daftar peserta ujian, SPJ)</t>
  </si>
  <si>
    <t>Mempersiapkan administrasi Penyelenggaran Ujian PMB STIS Tahap 2 (daftar hadir, Daftar peserta ujian, SPJ)</t>
  </si>
  <si>
    <t>Mempersiapkan perlengkapan dan peralatan yang dibutuhkan untuk Penyelenggaran Ujian PMB STIS Tahap 1</t>
  </si>
  <si>
    <t>Mempersiapkan perlengkapan dan peralatan yang dibutuhkan untuk Penyelenggaran Ujian PMB STIS Tahap 2</t>
  </si>
  <si>
    <t>Mengawasi Penyelenggaraan Ujian PMB STIS tahap 1</t>
  </si>
  <si>
    <t>Mengawasi Penyelenggaraan Ujian PMB STIS tahap 2</t>
  </si>
  <si>
    <t>Mengawasi Penyelenggaraan Ujian PMB STIS tahap 3</t>
  </si>
  <si>
    <t>Pembentukan Panitia Penyelenggaran Ujian PMB STIS</t>
  </si>
  <si>
    <t>magang</t>
  </si>
  <si>
    <t>menerima surat usulan</t>
  </si>
  <si>
    <t>mutasi</t>
  </si>
  <si>
    <t>Entry Mutasi Pegawai di Aplikasi TK/Portal TK</t>
  </si>
  <si>
    <t>melakukan rapat tim di september dan maret</t>
  </si>
  <si>
    <t>melihat kebutuhan organisasi</t>
  </si>
  <si>
    <t>membuat sk</t>
  </si>
  <si>
    <t>Penyusunan Pola Karir PNS</t>
  </si>
  <si>
    <t>Melaksanakan Analisis Jabatan</t>
  </si>
  <si>
    <t>Melaksanakan Evaluasi Jabatan</t>
  </si>
  <si>
    <t>Menetapkan Peta Jabatan</t>
  </si>
  <si>
    <t>Menetapkan Standar Kompetensi Jabatan</t>
  </si>
  <si>
    <t>Pembentukan Tim Penyusunan Pola Karir PNS</t>
  </si>
  <si>
    <t>RUU Statistik</t>
  </si>
  <si>
    <t>1. Pencarian dan Penelahaan Undang-Undang Statistik dari negara lain</t>
  </si>
  <si>
    <t xml:space="preserve">2. penelahan peraturan internasional terkait NSO (National Statistical Office) yang dapat diadopsi ke RUU Statistik
</t>
  </si>
  <si>
    <t xml:space="preserve">3. Penelahaan kajian terkait substansi RUU Statistik (aspek kelembagaan, kewenangan, proses bisnis, sanksi)
</t>
  </si>
  <si>
    <t>4. Rapat dengan Tim Hukum Penyusun RUU Statistik</t>
  </si>
  <si>
    <t xml:space="preserve">5. Rapat dengan Tim Penyusun BPS RUU Statistik secara internal
</t>
  </si>
  <si>
    <t xml:space="preserve">6. Rapat Tim Penyusun BPS RUU Statistik dengan Tim Ahli Badan Legislasi DPR RI
</t>
  </si>
  <si>
    <t xml:space="preserve">7. Mengikuti Rapat Dengar Pendapat Umum (RDPU) dengan Tim Badan Legislasi DPR RI
</t>
  </si>
  <si>
    <t xml:space="preserve">8. Melakukan FGD dengan stakeholders terkait pembahasan RUU Statistik
</t>
  </si>
  <si>
    <t xml:space="preserve">8. Mengikuti Rapat Pembicaraan Tingkat I dengan DPR RI
</t>
  </si>
  <si>
    <t>9. Mengikuti Rapat Pembicaraan Tingkat II dengan DPR RI</t>
  </si>
  <si>
    <t>satyalancana karyasatya</t>
  </si>
  <si>
    <t>Melakukan pengiriman berkas</t>
  </si>
  <si>
    <t>Melengkapi berkas</t>
  </si>
  <si>
    <t>Menerima surat nominasi dari pusat</t>
  </si>
  <si>
    <t>SKPP Pensiun/Pindah</t>
  </si>
  <si>
    <t>Pencetakan SKPP</t>
  </si>
  <si>
    <t>Pengiriman adk SKPP ke KPPN</t>
  </si>
  <si>
    <t>Pengiriman penonaktifan supplier</t>
  </si>
  <si>
    <t>Pengujian SKPP</t>
  </si>
  <si>
    <t>proses input SK pensiun/pindah pegawai</t>
  </si>
  <si>
    <t>Proses persetujuan SKPP Oleh PPK</t>
  </si>
  <si>
    <t>proses RUH SKPP pada gaji kemenkeu</t>
  </si>
  <si>
    <t>tugas belajar dan izin belajar</t>
  </si>
  <si>
    <t>pengajuan ke pusdiklat</t>
  </si>
  <si>
    <t>uji kompetensi</t>
  </si>
  <si>
    <t>Melakukan validasi berkas persyaratan UKOM</t>
  </si>
  <si>
    <t>Membuat pengumuman</t>
  </si>
  <si>
    <t>Mengumumkan peserta yang lolos UKOM</t>
  </si>
  <si>
    <t>Menyelenggarakan UKOM</t>
  </si>
  <si>
    <t>Menyusun daftar nama calon peserta yang memenuhi syarat UKOM</t>
  </si>
  <si>
    <t>2300 Biro SDM</t>
  </si>
  <si>
    <t>Penetapan mekanisme reward/punishment</t>
  </si>
  <si>
    <t>Melengkapi bukti dukung emonev Komisi Informasi Pusat</t>
  </si>
  <si>
    <t>Membuat laporan PPID</t>
  </si>
  <si>
    <t xml:space="preserve">Persiapan release </t>
  </si>
  <si>
    <t>Melakukan penjemputan kedatangan tamu</t>
  </si>
  <si>
    <t>Menganalisis data dan informasi dari media dan masyarakat</t>
  </si>
  <si>
    <t>menyusun informasi strategis pemerintah sebagai anggota tim</t>
  </si>
  <si>
    <t>menyusun laporan evaluasi kegiatan terkait kehumasan</t>
  </si>
  <si>
    <t>menyusun naskah pelayanan informasi dan kehumasan dalam bentuk ceramah, pidato, dan bahan tayang lainnya</t>
  </si>
  <si>
    <t>menyusun naskah profil lembaga</t>
  </si>
  <si>
    <t>menyusun program pelayanan informasi dan kehumasan sebagai anggota tim</t>
  </si>
  <si>
    <t>Hukum dan Organisasi</t>
  </si>
  <si>
    <t>Melaksanakan konsultasi pengelolaan BMN</t>
  </si>
  <si>
    <t>Melakukan pelaporan inventarisasi BMN tingkat Kuasa Pengguna Barang</t>
  </si>
  <si>
    <t>Melakukan pemutakhiran kondisi barang</t>
  </si>
  <si>
    <t>Melakukan verifikasi dan validasi dokumen BMN</t>
  </si>
  <si>
    <t>Memberikan layanan konsultasi/pembinaan pengelolaan BMN</t>
  </si>
  <si>
    <t>Membuat Kartu Kendali BMN dan Persediaan</t>
  </si>
  <si>
    <t>Membukukan data transaksi BMN berupa aset tetap dan aset lainnya ke dalam Aplikasi SAKTI Modul Aset</t>
  </si>
  <si>
    <t>Membukukan data transaksi BMN berupa persediaan ke dalam Aplikasi SAKTI Modul Aset</t>
  </si>
  <si>
    <t>Memeriksa Laporan Aplikasi SAKTI Modul Aset</t>
  </si>
  <si>
    <t>Memeriksa/monitoring Asuransi BMN</t>
  </si>
  <si>
    <t>Menerima laporan dari Aplikasi SAKTI Modul Aset</t>
  </si>
  <si>
    <t>Mengidentifikasi dan mengumpulkan data/dokumen BMN untuk penyusunan rencana kebutuhan BMN</t>
  </si>
  <si>
    <t>Menginventaris Gedung dan Bangunan untuk diusulkan Asuransi BMN</t>
  </si>
  <si>
    <t>Menindaklanjuti rekomendasi temuan BPK/APIP terkait pengelolaan BMN</t>
  </si>
  <si>
    <t>Menyusun surat permohonan penggunaan BMN beserta dokumen kelengkapannya (SK Pemegang BMN dan Rudis)</t>
  </si>
  <si>
    <t>Monitoring pengelolaan BMN</t>
  </si>
  <si>
    <t>Barang modal diinput dalam Aplikasi SAKTI Modul Aset</t>
  </si>
  <si>
    <t>Barang persediaan diinput kedalam Aplikasi SAKTI Modul Aset (barang persediaan : ATK, ARK, Publikasi, Cetakan, dan barang pakai habis lainnya)</t>
  </si>
  <si>
    <t>Menerima dan mendokumentasikan pengadaan barang</t>
  </si>
  <si>
    <t>Memeriksa/monitoring Usulan PSP BMN ke BPS dan KPKNL</t>
  </si>
  <si>
    <t>Menginput Daftar Usulan Penetapan Status Penggunaan (PSP) BMN ke Aplikasi SAKTI Modul Aset dan Aplikasi SIMAN</t>
  </si>
  <si>
    <t>Barang modal dimutakhirkan pada Aplikasi SAKTI Modul Aset</t>
  </si>
  <si>
    <t>Memeriksa seluruh transaksi BMN yang terjadi pada periode laporan (perolehan, penghapusan, transfer masuk dsb) pada Aplikasi SAKTI Modul Aset</t>
  </si>
  <si>
    <t>Mencetak Laporan BMN (hardcopy)</t>
  </si>
  <si>
    <t>Menginput seluruh transaksi BMN maupun Persediaan pada Aplikasi SAKTI Modul Aset</t>
  </si>
  <si>
    <t>Penyampaian Laporan BMN (Softcopy) ke: (1)Unit SAI, (2) Wilayah/Es.I, (3) KPKNL Setempat</t>
  </si>
  <si>
    <t xml:space="preserve">Menerima dan Merekap Laporan BMN dari seluruh BPS Kabupaten berupa hardcopy yang ditandatangani </t>
  </si>
  <si>
    <t>Mengidentifikasi dan mengumpulkan data/dokumen usulan penghapusan BMN</t>
  </si>
  <si>
    <t>Membukukan perolehan dan pengurangan BMN ke dalam Aplikasi SAKTI Modul Aset</t>
  </si>
  <si>
    <t>Pengawasan/Monitoring Pendataan BMN</t>
  </si>
  <si>
    <t>Kearsipan (Alihmedia Arsip)</t>
  </si>
  <si>
    <t>Kearsipan (Arsip Aktif)</t>
  </si>
  <si>
    <t>Kearsipan (Arsip Terjaga)</t>
  </si>
  <si>
    <t>Kearsipan (Arsip Vital)</t>
  </si>
  <si>
    <t>Kearsipan (Pembinaan Kearsipan)</t>
  </si>
  <si>
    <t>Kearsipan (Pemindahan Arsip Inaktif)</t>
  </si>
  <si>
    <t>Kearsipan (Pemusnahan Arsip)</t>
  </si>
  <si>
    <t>Kearsipan (Penerimaan dan Pembuatan Arsip)</t>
  </si>
  <si>
    <t>Kearsipan (Penyerahan Arsip Statis)</t>
  </si>
  <si>
    <t>Mengarsipkan pengiriman surat/dokumen</t>
  </si>
  <si>
    <t>Membuat BAST Sesuai Alokasi Kabupaten/Kota</t>
  </si>
  <si>
    <t>Menginput seluruh transaksi transfer keluar ke Kab/Kota Sesuai Alokasi</t>
  </si>
  <si>
    <t>Menginput seluruh transaksi transfer masuk (Aplikasi Persediaan dan Kartu Kendali)</t>
  </si>
  <si>
    <t>Melengkapi administrasi kwitansi tagihan bengkel ke bendahara dan legalisir kwitansi</t>
  </si>
  <si>
    <t>Melengkapi administrasi kwitansi tagihan Tempat Service BMN/DII ke bendahara dan legalisir kwitansi</t>
  </si>
  <si>
    <t>Membawa BMN/Dll ke Tempat Service</t>
  </si>
  <si>
    <t>Membuat file dokumen pelaksanaan per BMN/DII</t>
  </si>
  <si>
    <t>Membuat laporan pelaksanaan pemeliharaan BMN/DII</t>
  </si>
  <si>
    <t>Memeriksa dan meng administrasi hasil pekerjaan Tempat Service BMN/DII (monitoring Tempat Service BMN/DII)</t>
  </si>
  <si>
    <t>Menerima kwitansi tagihan dari Tempat Service</t>
  </si>
  <si>
    <t>Proses Perbaikan/ Service selesai pengambilan BMN/DII di Tempat Service dan menyerahkan berkas (WO)</t>
  </si>
  <si>
    <t>Proses Perbaikan/ Service selesai pengambilan mobil di bengkel dan menyerahkan berkas (WO)</t>
  </si>
  <si>
    <t>Membuat file dokumentasi pelaksanaan pemeliharaan</t>
  </si>
  <si>
    <t>Membuat OE(Owner estimate) &amp; form permintaan ke panitia pengadaan</t>
  </si>
  <si>
    <t>Pelatihan</t>
  </si>
  <si>
    <t>Akhir Pelatihan</t>
  </si>
  <si>
    <t>2600 Pusdiklat</t>
  </si>
  <si>
    <t>Memantau sistem (Generate E-STTP)</t>
  </si>
  <si>
    <t>Memantau sistem (Generate KRA)</t>
  </si>
  <si>
    <t>Memastikan kesiapan seluruh tim dalam penutupan klasikal</t>
  </si>
  <si>
    <t>Membuat laporan penyelengggaraan</t>
  </si>
  <si>
    <t>Mengumpulkan E-STTP dan berkoordinasi ke bagian kepegawaian untuk proses lebih lanjut</t>
  </si>
  <si>
    <t>Awal Pelatihan</t>
  </si>
  <si>
    <t>Konfirmasi kepastian mengajar Widyaiswara</t>
  </si>
  <si>
    <t>Memantau status persetujuan penyelengggaraan pelatihan</t>
  </si>
  <si>
    <t>Memastikan kesiapan pembelajaran klasikal:</t>
  </si>
  <si>
    <t>Memastikan kesiapan seluruh tim dalam pembukaan klasikal :</t>
  </si>
  <si>
    <t>Membuat adminitrasi pelatihan (Surat Undangan, Laporan Penyelenggaraan, Sambutan Pimpinan) dan memantau kesiapannya</t>
  </si>
  <si>
    <t>Membuat SK penyelenggaraan yang sesuai dengan pelatihan berlangsung</t>
  </si>
  <si>
    <t>Membuat surat izin penyelenggaraan dan mengirimkannya ke LAN</t>
  </si>
  <si>
    <t>Membuat surat pemanggilan peserta, mengirim ke daerah, dan konfirmasi keikutsertaan</t>
  </si>
  <si>
    <t>Menentukan daftar peserta pelatihan berdasarkan nominasi calon</t>
  </si>
  <si>
    <t>Menetapkan peserta pelatihan</t>
  </si>
  <si>
    <t>Menyiapkan sistem pembelajaran di LMS :</t>
  </si>
  <si>
    <t>Menyiapkan sistem terkait kebutuhan pelatihan/SIMDIKLAT (input alokasi peserta dan persyaratan, master pengajar, master jadwal, dan form evaluasi)</t>
  </si>
  <si>
    <t>Menyusun alokasi jadwal dan pengajar</t>
  </si>
  <si>
    <t>Menyusun buku pedoman penyelenggaraan pelatihan bagi peserta/penyelenggara/pengajar</t>
  </si>
  <si>
    <t>Menyusun kebutuhan ATK untuk bidang dan memantau distribusinya</t>
  </si>
  <si>
    <t>Menyusun kebutuhan pelatihan, memantau dan mengontrol distribusi pelatihan (tatap muka/klasikal)</t>
  </si>
  <si>
    <t>Penyiapan Fasilitas Diklat (distance learning) dan menginformasikan kepada tim pengelola</t>
  </si>
  <si>
    <t>Rapat koordinasi penyelenggaraan untuk menyampaikan rencana pelatihan kepada seluruh tim (Pengelola, Penyelenggara, Pengajar, Biro SDM, Tim Penjamin Mutu)</t>
  </si>
  <si>
    <t>Evaluasi Pasca Diklat</t>
  </si>
  <si>
    <t>Melakukan wawancara evaluasi pasca diklat di daerah</t>
  </si>
  <si>
    <t>Membuat angket evaluasi pasca diklat</t>
  </si>
  <si>
    <t>Membuat daftar responden evaluasi pasca diklat</t>
  </si>
  <si>
    <t>Membuat laporan hasil evaluasi pasca diklat</t>
  </si>
  <si>
    <t>Laporan FRA trimester</t>
  </si>
  <si>
    <t>Membuat laporan untuk mendukung penyusunan FRA terkait administrasi pasca diklat</t>
  </si>
  <si>
    <t>Masa Pelatihan</t>
  </si>
  <si>
    <t>Konfirmasi biodata&amp; foto untuk keperluan e-sttp</t>
  </si>
  <si>
    <t>Melakukan pembimbingan kepada peserta</t>
  </si>
  <si>
    <t>Melakukan rapat kelulusan peserta bersama dengan semua stakeholder yang terlibat dalam pelatihan, dengan menyiapkan:</t>
  </si>
  <si>
    <t>Memantau proses pelaksanaan pembelajaran harian di zoom meeting untuk pembelajaran distance learning</t>
  </si>
  <si>
    <t>Memastikan peserta sudah menginput seluruh angket evaluasi dan mengupload laporan akhir aktualisasi/aksi perubahan</t>
  </si>
  <si>
    <t>Memastikan presensi setiap pengajar dan peserta serta mendokumentasikan daftar hadir dan kelengkapannya untuk pembayaran honor mengajar</t>
  </si>
  <si>
    <t>Mendapatkan biodata pengajar/nara sumber dan mengarsipkannya</t>
  </si>
  <si>
    <t>Mengajar peserta</t>
  </si>
  <si>
    <t>Mengecek dan memastikan fasilitas untuk seminar akhir (offline) :</t>
  </si>
  <si>
    <t>Menginput dan memastikan komponen nilai PKTBT saat seminar akhir (Untuk Latsar)</t>
  </si>
  <si>
    <t>Menginput dan memastikan komponen nilai seminar rancangan</t>
  </si>
  <si>
    <t>Menginput data (Judul Proper/Aktualisasi dan Nilai) di smartbangkom.lan.go.id</t>
  </si>
  <si>
    <t>Mengontrol pemasukan bahan-bahan penugasan/latihan seperti bahan ajar, bahan tayang, pembabakan, dan soal-soal evaluasi, serta konfirmasi ke pengajar</t>
  </si>
  <si>
    <t>Menguji peserta</t>
  </si>
  <si>
    <t>Mengupload bahan-bahan penugasan/latihan ke SIMDIKLAT dan konfirmasi ke tim</t>
  </si>
  <si>
    <t>Menilai sikap perilaku pelatihan</t>
  </si>
  <si>
    <t>Menyiapkan bahan-bahan penugasan/latihan seperti bahan ajar, bahan tayang, pembabakan, dan soal-soal evaluasi</t>
  </si>
  <si>
    <t>Menyiapkan dan memastikan sistem pembelajaran (Pengelolaan LMS)</t>
  </si>
  <si>
    <t>Pengajuan KRA</t>
  </si>
  <si>
    <t>Rekonfirmasi kesediaan dan kesiapan pengajar</t>
  </si>
  <si>
    <t>Pemantauan Kegiatan di Luar Ruang Kelas</t>
  </si>
  <si>
    <t>Melaksanakan kegiatan Benchmarking/Studi Lapangan</t>
  </si>
  <si>
    <t>Melakukan kegiatan advance Benchmarking/Studi Lapangan dengan meninjau lokasi dan memastikan lokus sesuai dengan kriteria (untuk PKP/PKA)</t>
  </si>
  <si>
    <t>Membuat surat menyurat kegiatan Benchmarking/Studi Lapangan</t>
  </si>
  <si>
    <t>Tugas Belajar APBN</t>
  </si>
  <si>
    <t>Tugas Belajar</t>
  </si>
  <si>
    <t>Konfirmasi ke Universitas/PT apabila sudah tiba masa penagihan pembayaran.</t>
  </si>
  <si>
    <t>Melaksanakan pemantauan terhadap Laporan Perkembangan Studi setiap 6 bulan dari masing-masing peserta Tugas Belajar</t>
  </si>
  <si>
    <t>Melakukan Pemanggilan Pegawai yang sudah diseleksi tim TSPDI untuk mengikuti Ujian Masuk Tugas Belajar di masing masing Universitas/PT</t>
  </si>
  <si>
    <t>Melakukan pemantauan kepada Peserta TB yang bersangkutan ataupun kepada Universitas/PT yang terkait mengenai alasan dan penyebab yang membuat tidak tepatnya penyelesaian masa studi.</t>
  </si>
  <si>
    <t>Melakukan pembuatan surat pengusulan pengaktifan kembali bagi karya siswa yang telah menyelesaikan studinya;</t>
  </si>
  <si>
    <t>Melakukan seleksi administratif awal terhadap pegawai BPS yang mengajukan Tugas Belajar</t>
  </si>
  <si>
    <t>Membuat daftar Bantuan Biaya Hidup, Tunjangan Buku dan Tunjangan Riset untuk seluruh peserta Tugas Belajar APBN.</t>
  </si>
  <si>
    <t>Membuat SK Pembayaran Tunjangan Biaya Hidup, Tunjangan Buku dan Tunjangan Riset yang ditandatangani oleh KPA sebagai syarat pencairan biaya.</t>
  </si>
  <si>
    <t>Membuat Surat Keterangan TGR (rinciannya adalah biaya pendidikan dan tunjangan yang diterima selama pendidikan) ke Biro Keuangan</t>
  </si>
  <si>
    <t>Membuat Surat Perjanjian Tugas Belajar (SPTB) sesuai dengan ketentuan yang berlaku</t>
  </si>
  <si>
    <t>Membuat surat tunda bayar atau surat keterangan pembayaran di setiap semester karena pembayaran yang dilakukan oleh Pusdiklat berdasarkan termin sesuia SPK bukan berdasarkan semester.</t>
  </si>
  <si>
    <t>Membuatkan Form Perjalanan Dinas dalam rangka Kerjasama Perguruan Tinggi bagi Pejabat Struktural maupun staf BPS utk selanjutnya dibuatkan SPPD</t>
  </si>
  <si>
    <t>Membuatkan Rekapitulasi Perjalanan Dinas Pemanggilan Peserta TB utk selanjutnya dibuatkan SPPD oleh bendahara</t>
  </si>
  <si>
    <t>Membuatkan Rekapitulasi Perjalanan Dinas Pemulangan Peserta TB utk selanjutnya dibuatkan SPPD</t>
  </si>
  <si>
    <t>Membuatkan Surat Keterangan yang dapat menjelaskan kasus khusus tertentu (misalnya pindah program studi) yang ditujukan kepada Pimpinan dan Univ/PT</t>
  </si>
  <si>
    <t>Mengajukan draft Adendum SKB (apabila dianggap perlu) berkaitan dengan biaya pendidikan atau lainnya.</t>
  </si>
  <si>
    <t>Mengajukan Surat Permohonan Perpanjangan Studi ke Biro Kepegawaian.</t>
  </si>
  <si>
    <t>Mengatur jadwal pengajar BPS untuk setiap Universitas Kerjasama</t>
  </si>
  <si>
    <t>Mengatur jadwal penguji tesis/desertasi BPS dengan pihak penguji dari universitas</t>
  </si>
  <si>
    <t>Mengatur jadwal pertemuan monitoring dan evaluasi penyelenggaraan pendidikan antara pihak Pusdiklat dengan pihak Universitas</t>
  </si>
  <si>
    <t>Mengatur jadwal pertemuan pembekalan sekaligus monitoring dan evaluasi oleh Pusdiklat BPS kepada peserta TB yang baru dan yang sedang berjalan.</t>
  </si>
  <si>
    <t>Menghubungi Universitas/ Perguruan Tinggi (PT) dalam rangka Kerjasama Rintisan Gelar</t>
  </si>
  <si>
    <t>Mengirimkan copy SPTB ke Biro Kepegawaian untuk dibuatkan SKTB.</t>
  </si>
  <si>
    <t>Mengirimkan Laporan Selesai Studi ke Biro Kepegawaian untuk dibuatkan SK Aktif Kembali;</t>
  </si>
  <si>
    <t>Mengirimkan SPTB Bermaterai Kapusdiklat untuk dijadikan arsip pada unit kerja masing-masing/ Eselon 2.</t>
  </si>
  <si>
    <t>Mengkoordinasi jadwal ujian seminar dan sidang tesis antara peserta dengan penguji BPS</t>
  </si>
  <si>
    <t>Mengumpulkan berkas kelengkapan penagihan dari Universitas/PT untuk selanjutnya diteruskan ke bendahara.</t>
  </si>
  <si>
    <t>Mengumpulkan bukti pembayaran pendaftaran masuk dan biaya ujian masuk untuk setiap peserta TB serta membuat SPJnya dan selanjutnya diserahkan ke bendahara untuk di reimburse.</t>
  </si>
  <si>
    <t>Mengumpulkan bukti pembelian Buku dan penggunaan biaya riset sebagai kelengkapan SPJ Tunjangan</t>
  </si>
  <si>
    <t>Mengumpulkan Laporan Selesai Studi dari masing-masing peserta TB;</t>
  </si>
  <si>
    <t>Mengumpulkan tiket datang peserta TB</t>
  </si>
  <si>
    <t>Mengumpulkan tiket pemulangan peserta TB</t>
  </si>
  <si>
    <t>Mengusulkan kuliah umum narasumber BPS</t>
  </si>
  <si>
    <t>Mengusulkan pengajar Offisial Statistik dan Metode Sampling bagi Universitas dengan kerjasama pada program studi Statitsik</t>
  </si>
  <si>
    <t>Mengusulkan pengajar pada Metode Penelitian untuk universitas dengan kerjasama non statistik</t>
  </si>
  <si>
    <t>Mengusulkan penguji tesis/desertasi untuk setiap universitas disesuaikan dengan judul tesis masing-masing peserta TB</t>
  </si>
  <si>
    <t>Menyimpan Ijasah dan Transkrip Nilai Asli Peserta TB di Pusdiklat selama masa Ikatan Dinas masing-masing peserta.</t>
  </si>
  <si>
    <t>Menyusun Draft Perjanjian Kerjasama Antara BPS-Universitas/PT Tahun berjalan</t>
  </si>
  <si>
    <t>Menyusun Draft Perjanjian Kerjasama Antara BPS-Universitas/PT untuk penagihan lanjutan.</t>
  </si>
  <si>
    <t>Sosialisasi Penerimaan TB ke Daerah</t>
  </si>
  <si>
    <t>Tugas Belajar Non APBN</t>
  </si>
  <si>
    <t>Administrasi peserta lulus seleksi</t>
  </si>
  <si>
    <t>Membuat surat keperluan peserta tugas belajar</t>
  </si>
  <si>
    <t>Membuat surat pengantar dan SPTB</t>
  </si>
  <si>
    <t>Mengkomunikasikan daftar peserta lulus dan special case ke tim monitoring tugas belajar</t>
  </si>
  <si>
    <t>Mengkomunikasikan keberangkatan TB ke Biro SDM untuk penerbitan SKTB</t>
  </si>
  <si>
    <t>Mengkomunikasikan terkait kalender tugas belajar</t>
  </si>
  <si>
    <t>Evaluasi pasca TB</t>
  </si>
  <si>
    <t>Melakukan wawancara evaluasi pasca tb</t>
  </si>
  <si>
    <t>Membuat angket evaluasi pasca tb</t>
  </si>
  <si>
    <t>Membuat daftar responden evaluasi pasca tb</t>
  </si>
  <si>
    <t>Membuat laporan hasil evaluasi pasca tb</t>
  </si>
  <si>
    <t>Identifikasi program studi kebutuhan BPS internal Pusdiklat BPS</t>
  </si>
  <si>
    <t>Membuat analisis kebutuhan mendatang berdasarkan alokasi anggaran dan plotting per prodi</t>
  </si>
  <si>
    <t>Membuat laporan program studi terdahulu berdasarkan APBN BPS dan Non APBN BPS untuk melihat formasi dan alokasi anggaran</t>
  </si>
  <si>
    <t>Komunikasi kerjasama dengan prodi APBN BPS dan sponsor Non APBN BPS</t>
  </si>
  <si>
    <t>Membuat bahan paparan untuk disampaikan pada rapat TSPDI berisi kondisi tugas belajar sekarang, hasil komunikasi dengan universitas dan sponsor Non APBN BPS terkait seleksi mendatang</t>
  </si>
  <si>
    <t>Membuat notula rapat</t>
  </si>
  <si>
    <t>Membuat surat undangan rapat</t>
  </si>
  <si>
    <t>Mengkomunikasikan terkait kerjasama yang akan dilakukan dengan program studi yang masuk ke daftar kebutuhan untuk pelaksanaan seleksi APBN BPS. Target yang akan didapatkan adalah PKS. PKS dan MOU untuk prodi baru.</t>
  </si>
  <si>
    <t>Mengkomunikasikan terkait kerjasama yang akan dilakukan dengan program studi yang masuk ke rencana daftar kebutuhan untuk pelaksanaan seleksi APBN BPS. Target yang akan didapatkan adalah laporan hasil komunikasi berisi profil prodi dan kalender seleksi.</t>
  </si>
  <si>
    <t>Mengkomunikasikan terkait penawaran beasiswa dari lembaga yang akan diikuti oleh pegawai dalam lingkup BPS (contoh: LPDP, AAI, JISPA, dll). Hasil komunikasi dilaporkan sebagai bentuk arsip kegiatan. Kegiatan diharapkan dapat menjaga komunikasi.</t>
  </si>
  <si>
    <t>Mengkomunikasikan terkait penawaran dari K/L yang bersurat ke BPS untuk ditindaklanjuti apakah akan ditawarkan kembali ke pegawai dalam lingkup BPS atau tidak (contoh: Pusbindiklatren Bappenas, Kominfo, dll). Hasil komunikasi dilaporkan sebagai bentuk arsip kegiatan.</t>
  </si>
  <si>
    <t>Membuat laporan untuk mendukung penyusunan FRA terkait administrasi pasca TB</t>
  </si>
  <si>
    <t>Membuat laporan untuk mendukung penyusunan FRA terkait monitoring peserta tugas belajar</t>
  </si>
  <si>
    <t>Layanan tanya jawab</t>
  </si>
  <si>
    <t>Membuat dan mengupdate FAQ seputar administrasi pasca TB</t>
  </si>
  <si>
    <t>Menjawab pertanyaan seputar administrasi pasca TB</t>
  </si>
  <si>
    <t>Pembiayaan pendaftaran</t>
  </si>
  <si>
    <t>Membuat laporan untuk mendukung penyusunan FRA terkait pendaftaran tugas belajar</t>
  </si>
  <si>
    <t>Mengkomunikasikan dengan peserta TB APBN BPS untuk biaya keberangkatan dan pembuatan SPJ</t>
  </si>
  <si>
    <t>Mengkomunikasikan dengan peserta TB APBN BPS untuk biaya selama pendaftaran (biaya seleksi, TOEFL, dan TPA) dan pembuatan SPJ</t>
  </si>
  <si>
    <t>Penawaran TB</t>
  </si>
  <si>
    <t>Melakukan sosialisasi terkait surat penawaran dapat dilakukan melalui zoom atau publikasi web dan sosial media</t>
  </si>
  <si>
    <t>Membuat surat penawaran selindo berdasarkan hasil rapat ataupun disposisi sestama ke pusdiklat</t>
  </si>
  <si>
    <t>Pengaktifan peserta tugas belajar</t>
  </si>
  <si>
    <t>Memproses SK Pengaktifan ke Biro SDM dan pencantuman gelar</t>
  </si>
  <si>
    <t>Pengumpulan, Peminjaman, dan Pengambilan Ijazah dan berkas lainnya</t>
  </si>
  <si>
    <t>Berkomunikasi dengan peserta yang akan melakukan peminjaman ijazah transkrip</t>
  </si>
  <si>
    <t>Mengkomunikasikan dengan peserta yang ijazah dan transkripnya sudah dapat diambil di pusdiklat</t>
  </si>
  <si>
    <t>Mengkomunikasikan terkait pengumpulan ijazah dan transkrip</t>
  </si>
  <si>
    <t>Mengkomunikasikan terkait pengumpulan tesis/disertasi/penelitian</t>
  </si>
  <si>
    <t>Perpanjangan Studi</t>
  </si>
  <si>
    <t>Membuat perpanjangan studi bagi peserta yang lewat masa tugas belajar (tidak ada toleransi waktu ke tanggal aktif)</t>
  </si>
  <si>
    <t>Seleksi TB</t>
  </si>
  <si>
    <t>Melakukan konfirmasi ke calon peserta apabila ada berkas kurang atau tidak sesuai aturan</t>
  </si>
  <si>
    <t>Melakukan pengecekan berkas sesuai dengan surat penawaran atau aturan yang berlaku.</t>
  </si>
  <si>
    <t>Memantau proses seleksi dan melaporkan hasil seleksi</t>
  </si>
  <si>
    <t>Membuat surat pengiriman calon peserta ke universitas dan/atau sponsor Non APBN BPS</t>
  </si>
  <si>
    <t>Menerima berkas yang dikirimkan oleh unit pratama terkait berkas calon peserta beasiswa</t>
  </si>
  <si>
    <t>Menyiapkan surat pemanggilan bagi peserta yang dinyatakan lulus seleksi beasiswa</t>
  </si>
  <si>
    <t>Pendidikan dan pengajaran</t>
  </si>
  <si>
    <t>evaluasi</t>
  </si>
  <si>
    <t>2700 STIS</t>
  </si>
  <si>
    <t>Mengevaluasi hasil ujian</t>
  </si>
  <si>
    <t>pelaksanaan</t>
  </si>
  <si>
    <t>Melakukan kegiatan praktikum</t>
  </si>
  <si>
    <t>Melakukan pengajaran perkuliahan atau tutorial</t>
  </si>
  <si>
    <t>Membimbing skripsi, Tugas Akhir, PKL dan Magang</t>
  </si>
  <si>
    <t>Membina kegiatan kemahasiswaan</t>
  </si>
  <si>
    <t>Mengembangkan program dAN bahan perkuliahan</t>
  </si>
  <si>
    <t>Menguji skripsi, tugas akhir, PKL</t>
  </si>
  <si>
    <t>Menyusun naskah soal ujian</t>
  </si>
  <si>
    <t>pelaporan</t>
  </si>
  <si>
    <t>Membuat laporan kegiatan pengajaran dan perkuliahan</t>
  </si>
  <si>
    <t>Perencanaan</t>
  </si>
  <si>
    <t>Menyusun RPS (Rencana Pembelajaran Semester) dan silabus</t>
  </si>
  <si>
    <t>Updating Direktori Perusahaan untuk System Business Register</t>
  </si>
  <si>
    <t>3100 Direktorat Pengembangan Metodologi Sensus dan Survei</t>
  </si>
  <si>
    <t>Administrasi Pasca Pendataan</t>
  </si>
  <si>
    <t>Evaluasi Pasca Kegiatan</t>
  </si>
  <si>
    <t>Pelatihan Instruktur</t>
  </si>
  <si>
    <t>Pelatihan Petugas</t>
  </si>
  <si>
    <t>Penyiapan Administrasi dan Instrumen Pelatihan</t>
  </si>
  <si>
    <t>Penyiapan Administrasi dan Instrumen Pendataan</t>
  </si>
  <si>
    <t>Supervisi oleh BPS daerah</t>
  </si>
  <si>
    <t>Pemeliharaan Website BPS Daerah</t>
  </si>
  <si>
    <t>Pemeliharaan dan Pemutakhiran Website BPS</t>
  </si>
  <si>
    <t>3200 Direktorat Diseminasi Statistik</t>
  </si>
  <si>
    <t>Update Berita</t>
  </si>
  <si>
    <t>Update Berita Resmi Statistik</t>
  </si>
  <si>
    <t>Update Infografis</t>
  </si>
  <si>
    <t>Update Konten Lainnya</t>
  </si>
  <si>
    <t>Update Publikasi</t>
  </si>
  <si>
    <t>Update Table Dinamis</t>
  </si>
  <si>
    <t>Pemeliharaan dan Pemutakhiran Website PPID</t>
  </si>
  <si>
    <t>Update Konten PPID</t>
  </si>
  <si>
    <t>Verifikasi Konten PPID</t>
  </si>
  <si>
    <t>Identifikasi perubahan muatan wilayah kerja statistik dalam rangka update MFD/MBS</t>
  </si>
  <si>
    <t>Koordinasi hasil kegiatan dengan stakeholder</t>
  </si>
  <si>
    <t>Prepare reports and draft publication or dissemination materials/Penyusunan layout draft publikasi/laporan</t>
  </si>
  <si>
    <t>Supervisi/ground check oleh BPS daerah</t>
  </si>
  <si>
    <t>Peningkatan Pelayanan Metadata Kegiatan Statistik Dasar, Sektoral Dan Khusus</t>
  </si>
  <si>
    <t>Layanan Rekomendasi Statistik</t>
  </si>
  <si>
    <t>Monitoring dan Evaluasi Pemeriksaan hasil entri OPD</t>
  </si>
  <si>
    <t>Pendampingan Rekomendasi pada walidata</t>
  </si>
  <si>
    <t>Pelayanan Statistik Terpadu</t>
  </si>
  <si>
    <t>Koordinasi Permintaan Data PST</t>
  </si>
  <si>
    <t>Pelayanan Konsultasi Data melalui PST</t>
  </si>
  <si>
    <t>Pelayanan Permintaan Data melalui PST</t>
  </si>
  <si>
    <t>Penyusunan dan Evaluasi Jadwal Jaga PST</t>
  </si>
  <si>
    <t>Penyusunan Laporan Pelayanan Statistik</t>
  </si>
  <si>
    <t>Melaksanakan Pembinaan Statistik Sektoral</t>
  </si>
  <si>
    <t>Pelatihan Pembinaan Statistik Sektoral oleh BPS Provinsi</t>
  </si>
  <si>
    <t>Penyusunan KAK Kegiatan Pembinaan Sektoral</t>
  </si>
  <si>
    <t>Pengumpulan Metadata Statistik</t>
  </si>
  <si>
    <t>Pendampingan Metada pada walidata</t>
  </si>
  <si>
    <t>Penyusunan Daerah Dalam Angka</t>
  </si>
  <si>
    <t>Briefing Pengumpulan Data OPD</t>
  </si>
  <si>
    <t>FGD Crosscheck Data DDA</t>
  </si>
  <si>
    <t>Pemeriksaan Penyusunan hasil Data Publikasi DDA</t>
  </si>
  <si>
    <t>Penyusunan Administrasi kegiatan</t>
  </si>
  <si>
    <t xml:space="preserve">Penyusunan KAK </t>
  </si>
  <si>
    <t>Penyusunan Publikasi Daerah Dalam Angka</t>
  </si>
  <si>
    <t>Publisitas hasil DDA</t>
  </si>
  <si>
    <t>Pojok Statistik</t>
  </si>
  <si>
    <t xml:space="preserve">Melakukan MOU </t>
  </si>
  <si>
    <t>Pelaksanaan Pembangunan Pojok Statistik</t>
  </si>
  <si>
    <t>Pembinaan Agen Statistik</t>
  </si>
  <si>
    <t>Pembinaan Rutin Sosialisasi pada Pojok Statisktik</t>
  </si>
  <si>
    <t>Pengesahan Pojok Statistik</t>
  </si>
  <si>
    <t>Penyusunan Jadwal Piket Pojok Statistik</t>
  </si>
  <si>
    <t>Penyusunan Laporan Kegiatan pojok Statistik</t>
  </si>
  <si>
    <t>Penyusunan Surat Inisiasi MOU Universitas</t>
  </si>
  <si>
    <t>Penyusunan Surat Inisiasi PKS (Perjanjian Kerjasama)</t>
  </si>
  <si>
    <t>Peresmian Pojok Statistik</t>
  </si>
  <si>
    <t>PPID</t>
  </si>
  <si>
    <t>Survei Kebutuhan Data</t>
  </si>
  <si>
    <t>Penyiapan sumber daya pengumpulan data</t>
  </si>
  <si>
    <t>Penyusunan Publikasi</t>
  </si>
  <si>
    <t>Rekonsiliasi Data Hasil Pencacahan</t>
  </si>
  <si>
    <t>Validasi, dan imputasi data</t>
  </si>
  <si>
    <t>Layanan Dukungan IT</t>
  </si>
  <si>
    <t>3300 Direktorat Sistem Informasi Statistik</t>
  </si>
  <si>
    <t>Konsultasi dan Pendampingan Penggunaan Aplikasi Internal</t>
  </si>
  <si>
    <t>Pembuatan Aplikasi/Sistem Informasi</t>
  </si>
  <si>
    <t>Pengelolaan Barang IT</t>
  </si>
  <si>
    <t>Pemeliharaan IT/Kebutuhan Barang IT</t>
  </si>
  <si>
    <t>Inventarisasi Berkala Barang IT</t>
  </si>
  <si>
    <t>Pemeliharaan Barang IT</t>
  </si>
  <si>
    <t>Pemeliharaan Jaringan</t>
  </si>
  <si>
    <t>Restrukturisasi Jaringan</t>
  </si>
  <si>
    <t>Metropolitan Statistical Area</t>
  </si>
  <si>
    <t>4100 Direktorat Statistik Kependudukan dan Ketenagakerjaan</t>
  </si>
  <si>
    <t>Identifikasi/pengecekan daftar sampel</t>
  </si>
  <si>
    <t>Melakukan pendataan</t>
  </si>
  <si>
    <t>Melatih/briefing relawan MPD</t>
  </si>
  <si>
    <t>Pengawasan hasil CAPI dengan hasil MPD Provider</t>
  </si>
  <si>
    <t>Sakernas</t>
  </si>
  <si>
    <t>Sakernas Agustus</t>
  </si>
  <si>
    <t>Briefing persiapan pendataan lapangan</t>
  </si>
  <si>
    <t>Monitoring data entry</t>
  </si>
  <si>
    <t>Sakernas Februari</t>
  </si>
  <si>
    <t>Susenas Kor Dan Konsumsi</t>
  </si>
  <si>
    <t xml:space="preserve">Pengumpulan range harga </t>
  </si>
  <si>
    <t>4104 Direktorat Statistik Kependudukan dan Ketenagakerjaan</t>
  </si>
  <si>
    <t>Seruti Triwulan I</t>
  </si>
  <si>
    <t>4200 Direktorat Statistik Kesejahteraan Rakyat</t>
  </si>
  <si>
    <t>Seruti Triwulan II</t>
  </si>
  <si>
    <t>Seruti Triwulan III</t>
  </si>
  <si>
    <t>Seruti Triwulan IV</t>
  </si>
  <si>
    <t>Survei Nasional Literasi dan Inklusi Keuangan (SNLIK)</t>
  </si>
  <si>
    <t>SNLIK</t>
  </si>
  <si>
    <t xml:space="preserve">Briefing persiapan pendataan lapangan </t>
  </si>
  <si>
    <t>Susenas Maret 2024</t>
  </si>
  <si>
    <t>Susenas Modul Sosial Budaya dan Pendidikan</t>
  </si>
  <si>
    <t>Susenas Modul MSBP 2024</t>
  </si>
  <si>
    <t>4300 Direktorat Statistik Ketahanan Sosial</t>
  </si>
  <si>
    <t>Kegiatan Evaluasi di Kelurahan</t>
  </si>
  <si>
    <t>Kegiatan Pembinaan di Kelurahan</t>
  </si>
  <si>
    <t xml:space="preserve">Koordinasi </t>
  </si>
  <si>
    <t>Laporan Desa Cantik</t>
  </si>
  <si>
    <t>Pelatihan Pembina Desa Cantik BPS Provinsi (instruktur)</t>
  </si>
  <si>
    <t>Pelatihan Pembina Desa Cantik di Provinsi</t>
  </si>
  <si>
    <t>Penyusunan Dokumen administrasi</t>
  </si>
  <si>
    <t>Indeks Demokrasi Indonesi (IDI)</t>
  </si>
  <si>
    <t>FGD IDI</t>
  </si>
  <si>
    <t>Pemeriksaan data</t>
  </si>
  <si>
    <t>Pengolahan/kompilasi data</t>
  </si>
  <si>
    <t>Pengumpulan data - Koding Koran dan Dokumen</t>
  </si>
  <si>
    <t>Rekonsiliasi data hasil FGD</t>
  </si>
  <si>
    <t>Pendataan PODES</t>
  </si>
  <si>
    <t>Analisis deskriptif</t>
  </si>
  <si>
    <t>Briefing</t>
  </si>
  <si>
    <t>Koordinasi antar instansi</t>
  </si>
  <si>
    <t>Pengolahan data</t>
  </si>
  <si>
    <t>Pengalaman Hidup Anak dan Remaja (SNPHAR)</t>
  </si>
  <si>
    <t>Penyusunan Statistik Politik Dan Keamanan</t>
  </si>
  <si>
    <t>Penyusunan Statistik Sumber Daya Laut Dan Pesisir (SDLP)</t>
  </si>
  <si>
    <t>Survei Pengalaman Hidup Perempuan Nasional (SPHPN)</t>
  </si>
  <si>
    <t>5100 Direktorat Statistik Tanaman Pangan, Hortikultura, dan Perkebunan</t>
  </si>
  <si>
    <t>Pendataan Survei KSA  Padi dan Palawija</t>
  </si>
  <si>
    <t>Pendataan Survei KSA Jagung</t>
  </si>
  <si>
    <t>Penyusunan Sistem Informasi Geospasial Hasil St2023</t>
  </si>
  <si>
    <t xml:space="preserve">Melakukan pendataan </t>
  </si>
  <si>
    <t>Survei Ekonomi Pertanian (UPB &amp; UTL)</t>
  </si>
  <si>
    <t>Survei Ekonomi Pertanian (UTP)</t>
  </si>
  <si>
    <t>Survei Produksi dan Lingkungan Pertanian (UPB &amp; UTL)</t>
  </si>
  <si>
    <t>Survei Produksi dan Lingkungan Pertanian (UTP)</t>
  </si>
  <si>
    <t>Survei Hortikultura Dan Indikator Pertanian</t>
  </si>
  <si>
    <t>Pendataan survei perusahaan perkebunan bulanan</t>
  </si>
  <si>
    <t>Pendataan survei perusahaan perkebunan tahunan</t>
  </si>
  <si>
    <t>Data kehutanan Triwulan 1</t>
  </si>
  <si>
    <t>5200 Direktorat Statistik Peternakan, Perikanan, dan Kehutanan</t>
  </si>
  <si>
    <t>Publisitas/diseminasi/laporan hasil pendataan</t>
  </si>
  <si>
    <t>Data kehutanan Triwulan 2</t>
  </si>
  <si>
    <t>Data kehutanan Triwulan 3</t>
  </si>
  <si>
    <t>Data kehutanan Triwulan 4</t>
  </si>
  <si>
    <t>Sampel Survei Perusahaan Kehutanan</t>
  </si>
  <si>
    <t>pendataan lapangan pelabuhan perikanan dan TPI Triwulan 1</t>
  </si>
  <si>
    <t>pendataan lapangan pelabuhan perikanan dan TPI Triwulan 2</t>
  </si>
  <si>
    <t>pendataan lapangan pelabuhan perikanan dan TPI Triwulan 3</t>
  </si>
  <si>
    <t>pendataan lapangan pelabuhan perikanan dan TPI Triwulan 4</t>
  </si>
  <si>
    <t>pendataan lapangan pendaratan ikan tradisional Triwulan 1</t>
  </si>
  <si>
    <t>pendataan lapangan pendaratan ikan tradisional Triwulan 2</t>
  </si>
  <si>
    <t>pendataan lapangan pendaratan ikan tradisional Triwulan 3</t>
  </si>
  <si>
    <t>pendataan lapangan pendaratan ikan tradisional Triwulan 4</t>
  </si>
  <si>
    <t>pendataan lapangan perusahaan budidaya ikan</t>
  </si>
  <si>
    <t>pendataan lapangan perusahaan penangkapan ikan</t>
  </si>
  <si>
    <t>Pendataan lapangan Laporan pemotongan ternak bulanan</t>
  </si>
  <si>
    <t>Pendataan lapangan perusahaan peternakan</t>
  </si>
  <si>
    <t>5300 Direktorat Statistik Industri</t>
  </si>
  <si>
    <t>Pemutakhiran Direktori</t>
  </si>
  <si>
    <t>STPIM</t>
  </si>
  <si>
    <t>Survei komoditas</t>
  </si>
  <si>
    <t>IMK Triwulanan I</t>
  </si>
  <si>
    <t>IMK Triwulanan II</t>
  </si>
  <si>
    <t>IMK Triwulanan III</t>
  </si>
  <si>
    <t>IMK Triwulanan IV</t>
  </si>
  <si>
    <t>Survei Konstruksi Tahunan (SKTH)</t>
  </si>
  <si>
    <t>Survei Konstruksi Triwulan 1 (SKTR)</t>
  </si>
  <si>
    <t>Survei Konstruksi Triwulan 2 (SKTR)</t>
  </si>
  <si>
    <t>Survei Konstruksi Triwulan 3 (SKTR)</t>
  </si>
  <si>
    <t>Survei Konstruksi Triwulan 4 (SKTR)</t>
  </si>
  <si>
    <t>Updating Direktori Konstruksi</t>
  </si>
  <si>
    <t>Survei Pertambangan, Energi, Penggalian, Captive Power Dan Updating Direktori</t>
  </si>
  <si>
    <t>Survei Captive Power Tahun 2024</t>
  </si>
  <si>
    <t>Survei Tahunan Perusahaan Air Bersih Tahun 2024</t>
  </si>
  <si>
    <t>Survei Tahunan Perusahaan Gas Tahun 2024</t>
  </si>
  <si>
    <t>Survei Tahunan Perusahaan Listrik Tahun 2024</t>
  </si>
  <si>
    <t>Survei Tahunan Perusahaan Panas Bumi Tahun 2024</t>
  </si>
  <si>
    <t>Survei Tahunan Perusahaan Penggalian Bahan Industri dan Konstruksi Tahun 2024</t>
  </si>
  <si>
    <t>Survei Tahunan Perusahaan Pertambangan Migas Tahun 2024</t>
  </si>
  <si>
    <t>Survei Tahunan Perusahaan Pertambangan Non Minyak dan Gas Tahun 2024</t>
  </si>
  <si>
    <t>Survei Tahunan Usaha Penggalian Bahan Industri dan Konstruksi Tahun 2024</t>
  </si>
  <si>
    <t>Survei Triwulan (1,2,3,4) Perusahaan Air Bersih Tahun 2024</t>
  </si>
  <si>
    <t>Survei Triwulan (1,2,3,4) Perusahaan Penggalian Bahan Industri dan Konstruksi Tahun 2024</t>
  </si>
  <si>
    <t>Updating Direktori Perusahaan Pertambangan dan Energi dan Desa Lokasi Galian Tahun 2024</t>
  </si>
  <si>
    <t>PJ II/5</t>
  </si>
  <si>
    <t>6100 Direktorat Statistik Distribusi</t>
  </si>
  <si>
    <t>FGD dengan dinas/instansi terkait</t>
  </si>
  <si>
    <t>Mengarsipkan instrumen pengumpulan data</t>
  </si>
  <si>
    <t>Penyiapan administrasi keuangan</t>
  </si>
  <si>
    <t>PJ II/6</t>
  </si>
  <si>
    <t>Simoppel</t>
  </si>
  <si>
    <t>Udara III/1</t>
  </si>
  <si>
    <t>Survei Angkutan Penumpang Dan Barang Di Terminal Dan Jembatan Timbang</t>
  </si>
  <si>
    <t>SAPB Jembatan Timbang</t>
  </si>
  <si>
    <t>SAPB Terminal</t>
  </si>
  <si>
    <t>Survei Perdagangan Antar Wilayah</t>
  </si>
  <si>
    <t>Survei Pola Distribusi Barang Dan Jasa</t>
  </si>
  <si>
    <t>Sampel Survei Ujicoba Integrasi Poldis, PAW,Profil Perdagangan dan Penyusunan Diagram Timbang Harga Perdagangan Besar 2024</t>
  </si>
  <si>
    <t>Survei Pola Distribusi Perdagangan</t>
  </si>
  <si>
    <t>Survei Profil Pasar, Pusat Perdagangan, Dan Toko Modern</t>
  </si>
  <si>
    <t>Direktori Pasar</t>
  </si>
  <si>
    <t>Triwulanan</t>
  </si>
  <si>
    <t>SDT-Perusahaan</t>
  </si>
  <si>
    <t>Survei Pergudangan dan Aktivitas Penunjang Angkutan</t>
  </si>
  <si>
    <t>Sampel BoQ Kabupaten/Kota</t>
  </si>
  <si>
    <t>6200 Direktorat Statistik Harga</t>
  </si>
  <si>
    <t>Menyusun KAK Kegiatan</t>
  </si>
  <si>
    <t>Sampel BoQ Provinsi</t>
  </si>
  <si>
    <t>Survei Harga Kemahalan Konstruksi</t>
  </si>
  <si>
    <t>Penyusunan Indeks Kesejahteraan Petani (IKP)</t>
  </si>
  <si>
    <t>IKP</t>
  </si>
  <si>
    <t>Survei Harga Konsumen Dan Survei Volume Penjualan Eceran Beras</t>
  </si>
  <si>
    <t>HK-1.1</t>
  </si>
  <si>
    <t>HK-1.2</t>
  </si>
  <si>
    <t>HK-2.1</t>
  </si>
  <si>
    <t>HK-2.2</t>
  </si>
  <si>
    <t>HK-3</t>
  </si>
  <si>
    <t>HK-4</t>
  </si>
  <si>
    <t>HK-5</t>
  </si>
  <si>
    <t>HK-6</t>
  </si>
  <si>
    <t>ICP</t>
  </si>
  <si>
    <t>LISTING HK-4</t>
  </si>
  <si>
    <t>LISTING HK-5</t>
  </si>
  <si>
    <t>SVK</t>
  </si>
  <si>
    <t>SVPEB</t>
  </si>
  <si>
    <t>SVPEB LISTING</t>
  </si>
  <si>
    <t>Pencacahan tambahan paket komoditas provinsi</t>
  </si>
  <si>
    <t>Survei Harga Mesin dan Peralatan</t>
  </si>
  <si>
    <t>Survei Harga Properti Perumahan</t>
  </si>
  <si>
    <t>SHPED HD</t>
  </si>
  <si>
    <t xml:space="preserve">SHPED HKD </t>
  </si>
  <si>
    <t>Survei HPG</t>
  </si>
  <si>
    <t>Survei Statistik Harga Perdagangan Internasional</t>
  </si>
  <si>
    <t>HP</t>
  </si>
  <si>
    <t>HPBG</t>
  </si>
  <si>
    <t>HPJ</t>
  </si>
  <si>
    <t>HPT</t>
  </si>
  <si>
    <t>Pendataan Statistik E-Commerce</t>
  </si>
  <si>
    <t>Survei E-Commerce</t>
  </si>
  <si>
    <t>6300 Direktorat Statistik Keuangan, TI, dan Pariwisata</t>
  </si>
  <si>
    <t>Pessenger Exit Survei (PES)</t>
  </si>
  <si>
    <t>Survei Koperasi Simpan Pinjam</t>
  </si>
  <si>
    <t>Survei Pedagang Valuta Asing</t>
  </si>
  <si>
    <t>Survei Daya Tarik Wisata (VDTW)</t>
  </si>
  <si>
    <t>Survei Jasa Akomodasi (VHTL)</t>
  </si>
  <si>
    <t>Survei Penyedia Makan Minum VREST UMB</t>
  </si>
  <si>
    <t>Survei VHTS Bulanan</t>
  </si>
  <si>
    <t>Updating Direktori Usaha Jasa Pariwisata, cek lapangan</t>
  </si>
  <si>
    <t>Updating Direktori Usaha Jasa Pariwisata, ke instansi/dinas</t>
  </si>
  <si>
    <t>VREST UMK</t>
  </si>
  <si>
    <t>Survei Karakteristik Usaha (Business Characteristics Survey)</t>
  </si>
  <si>
    <t>Survei Statistik Badan Usaha Dan Pasar Modal</t>
  </si>
  <si>
    <t>Survei Statistik Keuangan BUMD</t>
  </si>
  <si>
    <t>updating direktori BUMD</t>
  </si>
  <si>
    <t>Survei Statistik Keuangan Pemerintah APBD Kabupaten/Kota (APBD2)</t>
  </si>
  <si>
    <t>Survei Statistik Keuangan Pemerintah APBD Provinsi (APBD1)</t>
  </si>
  <si>
    <t>Implementasi Seea Dalam Sisnerling Indonesia</t>
  </si>
  <si>
    <t>Indepth Study Sisnerling</t>
  </si>
  <si>
    <t>7100 Direktorat Neraca Produksi</t>
  </si>
  <si>
    <t>Penyusunan Matrik Supply Regional</t>
  </si>
  <si>
    <t xml:space="preserve">                                                                                                                                                                                                                                                                                                                                                                                                                                                                      </t>
  </si>
  <si>
    <t>Penyusunan Matriks TTM</t>
  </si>
  <si>
    <t>Penyusunan Matriks Trade And Transport Margin (TTM) Berbasis SNA 2009</t>
  </si>
  <si>
    <t>Penyusunan Matriks Trade And Transport Margin (TTM) Berbasis SNA 2010</t>
  </si>
  <si>
    <t>Penyusunan Matriks Trade And Transport Margin (TTM) Berbasis SNA 2011</t>
  </si>
  <si>
    <t>Penyusunan Matriks Trade And Transport Margin (TTM) Berbasis SNA 2012</t>
  </si>
  <si>
    <t>Penyusunan Matriks Trade And Transport Margin (TTM) Berbasis SNA 2013</t>
  </si>
  <si>
    <t>Penyusunan Matriks Trade And Transport Margin (TTM) Berbasis SNA 2014</t>
  </si>
  <si>
    <t>Penyusunan Matriks Trade And Transport Margin (TTM) Berbasis SNA 2015</t>
  </si>
  <si>
    <t>Penyusunan Matriks Trade And Transport Margin (TTM) Berbasis SNA 2016</t>
  </si>
  <si>
    <t>Penyusunan Matriks Trade And Transport Margin (TTM) Berbasis SNA 2017</t>
  </si>
  <si>
    <t>Penyusunan Matriks Trade And Transport Margin (TTM) Berbasis SNA 2018</t>
  </si>
  <si>
    <t>Penyusunan Matriks Trade And Transport Margin (TTM) Berbasis SNA 2019</t>
  </si>
  <si>
    <t>Penyusunan Matriks Trade And Transport Margin (TTM) Berbasis SNA 2020</t>
  </si>
  <si>
    <t>Penyusunan Matriks Trade And Transport Margin (TTM) Berbasis SNA 2021</t>
  </si>
  <si>
    <t>Penyusunan Matriks Trade And Transport Margin (TTM) Berbasis SNA 2022</t>
  </si>
  <si>
    <t>Penyusunan Matriks Trade And Transport Margin (TTM) Berbasis SNA 2023</t>
  </si>
  <si>
    <t>Penyusunan Matriks Trade And Transport Margin (TTM) Berbasis SNA 2024</t>
  </si>
  <si>
    <t>Penyusunan Matriks Trade And Transport Margin (TTM) Berbasis SNA 2025</t>
  </si>
  <si>
    <t>Penyusunan Matriks Trade And Transport Margin (TTM) Berbasis SNA 2026</t>
  </si>
  <si>
    <t>Penyusunan Matriks Trade And Transport Margin (TTM) Berbasis SNA 2027</t>
  </si>
  <si>
    <t>Penyusunan Matriks Trade And Transport Margin (TTM) Berbasis SNA 2028</t>
  </si>
  <si>
    <t>Penyusunan Matriks Trade And Transport Margin (TTM) Berbasis SNA 2029</t>
  </si>
  <si>
    <t>Penyusunan Matriks Trade And Transport Margin (TTM) Berbasis SNA 2030</t>
  </si>
  <si>
    <t>Penyusunan Matriks Trade And Transport Margin (TTM) Berbasis SNA 2031</t>
  </si>
  <si>
    <t>Penyusunan Matriks Trade And Transport Margin (TTM) Berbasis SNA 2032</t>
  </si>
  <si>
    <t>Penyusunan Matriks Trade And Transport Margin (TTM) Berbasis SNA 2033</t>
  </si>
  <si>
    <t>Penyusunan Matriks Trade And Transport Margin (TTM) Berbasis SNA 2034</t>
  </si>
  <si>
    <t>Penyusunan Matriks Trade And Transport Margin (TTM) Berbasis SNA 2035</t>
  </si>
  <si>
    <t>Penyusunan Matriks Trade And Transport Margin (TTM) Berbasis SNA 2036</t>
  </si>
  <si>
    <t>SKTNP Barang</t>
  </si>
  <si>
    <t>SKTNP Jasa</t>
  </si>
  <si>
    <t>Penyusunan PDRB Tahunan Dan Triwulanan Menurut Lapangan Usaha Tahun Dasar 2010=100</t>
  </si>
  <si>
    <t>SKNP</t>
  </si>
  <si>
    <t>SKSJ</t>
  </si>
  <si>
    <t>Penyusunan PDRB Tahunan Dan Triwulanan Menurut Lapangan Usaha Tahun Dasar 2010=101</t>
  </si>
  <si>
    <t>Penyusunan PDRB Tahunan Dan Triwulanan Menurut Lapangan Usaha Tahun Dasar 2010=102</t>
  </si>
  <si>
    <t>Penyusunan PDRB Tahunan Dan Triwulanan Menurut Lapangan Usaha Tahun Dasar 2010=103</t>
  </si>
  <si>
    <t>Penyusunan PDRB Tahunan Dan Triwulanan Menurut Lapangan Usaha Tahun Dasar 2010=104</t>
  </si>
  <si>
    <t>Penyusunan PDRB Tahunan Dan Triwulanan Menurut Lapangan Usaha Tahun Dasar 2010=105</t>
  </si>
  <si>
    <t>Penyusunan PDRB Tahunan Dan Triwulanan Menurut Lapangan Usaha Tahun Dasar 2010=106</t>
  </si>
  <si>
    <t>Penyusunan PDRB Tahunan Dan Triwulanan Menurut Lapangan Usaha Tahun Dasar 2010=107</t>
  </si>
  <si>
    <t>Penyusunan PDRB Tahunan Dan Triwulanan Menurut Lapangan Usaha Tahun Dasar 2010=108</t>
  </si>
  <si>
    <t>Penyusunan PDRB Tahunan Dan Triwulanan Menurut Lapangan Usaha Tahun Dasar 2010=109</t>
  </si>
  <si>
    <t>Penyusunan PDRB Tahunan Dan Triwulanan Menurut Lapangan Usaha Tahun Dasar 2010=110</t>
  </si>
  <si>
    <t>Penyusunan PDRB Tahunan Dan Triwulanan Menurut Lapangan Usaha Tahun Dasar 2010=111</t>
  </si>
  <si>
    <t>Penyusunan PDRB Tahunan Dan Triwulanan Menurut Lapangan Usaha Tahun Dasar 2010=112</t>
  </si>
  <si>
    <t>Penyusunan PDRB Tahunan Dan Triwulanan Menurut Lapangan Usaha Tahun Dasar 2010=113</t>
  </si>
  <si>
    <t>Penyusunan PDRB Tahunan Dan Triwulanan Menurut Lapangan Usaha Tahun Dasar 2010=114</t>
  </si>
  <si>
    <t>Penyusunan PDRB Tahunan Dan Triwulanan Menurut Lapangan Usaha Tahun Dasar 2010=115</t>
  </si>
  <si>
    <t>Penyusunan PDRB Tahunan Dan Triwulanan Menurut Lapangan Usaha Tahun Dasar 2010=116</t>
  </si>
  <si>
    <t>Penyusunan PDRB Tahunan Dan Triwulanan Menurut Lapangan Usaha Tahun Dasar 2010=117</t>
  </si>
  <si>
    <t>Penyusunan PDRB Tahunan Dan Triwulanan Menurut Lapangan Usaha Tahun Dasar 2010=118</t>
  </si>
  <si>
    <t>Penyusunan PDRB Tahunan Dan Triwulanan Menurut Lapangan Usaha Tahun Dasar 2010=119</t>
  </si>
  <si>
    <t>Penyusunan PDRB Tahunan Dan Triwulanan Menurut Lapangan Usaha Tahun Dasar 2010=120</t>
  </si>
  <si>
    <t>Penyusunan PDRB Tahunan Dan Triwulanan Menurut Lapangan Usaha Tahun Dasar 2010=121</t>
  </si>
  <si>
    <t>Penyusunan PDRB Tahunan Dan Triwulanan Menurut Lapangan Usaha Tahun Dasar 2010=122</t>
  </si>
  <si>
    <t>Penyusunan PDRB Tahunan Dan Triwulanan Menurut Lapangan Usaha Tahun Dasar 2010=123</t>
  </si>
  <si>
    <t>Penyusunan PDRB Tahunan Dan Triwulanan Menurut Lapangan Usaha Tahun Dasar 2010=124</t>
  </si>
  <si>
    <t>Penyusunan PDRB Tahunan Dan Triwulanan Menurut Lapangan Usaha Tahun Dasar 2010=125</t>
  </si>
  <si>
    <t>Penyusunan PDRB Tahunan Dan Triwulanan Menurut Lapangan Usaha Tahun Dasar 2010=126</t>
  </si>
  <si>
    <t>Penyusunan PDRB Tahunan Dan Triwulanan Menurut Lapangan Usaha Tahun Dasar 2010=127</t>
  </si>
  <si>
    <t>Penyusunan PDRB Tahunan Dan Triwulanan Menurut Lapangan Usaha Tahun Dasar 2010=128</t>
  </si>
  <si>
    <t>Percepatan Penghitugan PDRB Perkapita Untuk Indikator DAU Tahunan dan Triwulanan</t>
  </si>
  <si>
    <t>Persiapan Perubahan Tahun Dasar PDB/PDRB Lapangan Usaha Berbasis CVM</t>
  </si>
  <si>
    <t>Survei Disagregasi PMTB</t>
  </si>
  <si>
    <t>7200 Direktorat Neraca Pengeluaran</t>
  </si>
  <si>
    <t>Penyusunan Komponen Ekspor/Impor Barang dan Jasa Triwulanan/Tahunan dan Penyusunan SUT/IO sisi Uses</t>
  </si>
  <si>
    <t>Penyusunan Komponen Pengeluaran Pemerintah Triwulanan/ Tahunan Dan Penyusunan SUT/ IO Sisi Uses</t>
  </si>
  <si>
    <t>SKSIP</t>
  </si>
  <si>
    <t>Penyusunan Komponen Pengeluaran Rumahtangga Dan Institusi Nirlaba Triwulanan/ Tahunan Dan Penyusunan SUT/ IO Sisi Uses</t>
  </si>
  <si>
    <t>SKLNPT Triwulanan</t>
  </si>
  <si>
    <t>Updating Direktori LNPRT</t>
  </si>
  <si>
    <t>Penyusunan Komponen PMTB Dan Inventori Triwulanan/Tahunan Dan Penyusunan SUT /IO Sisi Uses</t>
  </si>
  <si>
    <t>SKSPPI</t>
  </si>
  <si>
    <t>Penyusunan Neraca Arus Dana dan Sektor Finansial</t>
  </si>
  <si>
    <t>Penyusunan Neraca Pemerintah Dan Badan Usaha</t>
  </si>
  <si>
    <t>SKPS</t>
  </si>
  <si>
    <t>Penyusunan Neraca Rumah Tangga Dan Institusi Nirlaba</t>
  </si>
  <si>
    <t>SKLNP Tahunan</t>
  </si>
  <si>
    <t>Persiapan Perubahan Tahun Dasar PDB/PDRB Pengeluaran Berbasis CVM</t>
  </si>
  <si>
    <t>Studi Penyusunan National Transfer Accounts (NTA)</t>
  </si>
  <si>
    <t>Indepth Study Penyusunan NTA</t>
  </si>
  <si>
    <t>7300 Direktorat Analisis dan Pengembangan Statistik</t>
  </si>
  <si>
    <t>Analisis Sosial Ekonomi Tahunan 2023</t>
  </si>
  <si>
    <t>Indikator Ekonomi 2024</t>
  </si>
  <si>
    <t>Penghitungan IKG</t>
  </si>
  <si>
    <t>Penghitungan IPG 2023</t>
  </si>
  <si>
    <t>Penyusunan Publikasi Inkesra 2024</t>
  </si>
  <si>
    <t>Publikasi Ringkasan Eksekutif Perkembangan Ekonomi Triwulan</t>
  </si>
  <si>
    <t>Statistik Daerah 2024</t>
  </si>
  <si>
    <t>Evaluasi</t>
  </si>
  <si>
    <t>Evaluasi Barang Milik Negara</t>
  </si>
  <si>
    <t>8000 Inspektorat Utama</t>
  </si>
  <si>
    <t>Melakukan Pemeriksaan LBMN Satker Hasil Tindaklanjut atas LHR dan CHR Satker</t>
  </si>
  <si>
    <t>Melakukan Penelaahan atas LBMN Satker kabupaten/Kota</t>
  </si>
  <si>
    <t>Menginventarisir kesalahan pencatatan transaksi Barang Milik Negara</t>
  </si>
  <si>
    <t>Menyampaikan Deadline Penyampaian Tindaklanjut LHR dan CHR</t>
  </si>
  <si>
    <t>Menyampaikan LHR dan CHR atas kesalahan pencatatan transaksi Barang Milik Negara</t>
  </si>
  <si>
    <t>Menyusun LHR dan CHR atas kesalahan pencatatan transaksi Barang Milik Negara</t>
  </si>
  <si>
    <t>Evaluasi Disiplin PNS</t>
  </si>
  <si>
    <t>Dokumentasi Laporan Penilaian Disiplin Pegawai</t>
  </si>
  <si>
    <t>Melakukan Monitoring dan Evaluasi atas Disiplin Pegawai</t>
  </si>
  <si>
    <t>Menindaklanjuti Pemeriksaan atas Penilaian Disiplin Pegawai</t>
  </si>
  <si>
    <t>Evaluasi SAKIP</t>
  </si>
  <si>
    <t>Monitoring dan Evaluasi Kelengkapan Dokumen Evaluasi AKIP Satker</t>
  </si>
  <si>
    <t>Pemeriksaan Hasil Tindaklanjut atas Dokumen AKIP Satker</t>
  </si>
  <si>
    <t>Penyampaian Permintaan Dokumen Evaluasi AKIP dan Deadlinenya ke Satker Kab/Kota</t>
  </si>
  <si>
    <t>Tindaklanjut Evaluasi AKIP Satker</t>
  </si>
  <si>
    <t>Pengawasan/Pembangunan RB</t>
  </si>
  <si>
    <t>Monitoring SPI Online</t>
  </si>
  <si>
    <t>Melakukan Monitoring dan Evaluasi Penyampaian Dokumen/laporan SPI Online setiap Bulan</t>
  </si>
  <si>
    <t>Menginventarisir Jumlah Satker yang akan dimonitoring SPInya</t>
  </si>
  <si>
    <t>Penyampaian Permintaan Dokumen SPI online dan Deadlinenya ke Satker Kab/Kota</t>
  </si>
  <si>
    <t>Pengembangan Profesi</t>
  </si>
  <si>
    <t>Diklat</t>
  </si>
  <si>
    <t>Mengikuti Diklat dalam memenuhi standar kompetensi</t>
  </si>
  <si>
    <t>Pelatihan/Seminar/Workshop</t>
  </si>
  <si>
    <t>Menjadi Narasumber kegiatan Eksternal</t>
  </si>
  <si>
    <t>Studi banding</t>
  </si>
  <si>
    <t>Implementasi Hasil Studibanding</t>
  </si>
  <si>
    <t>melakukan Perjalanan Studibanding</t>
  </si>
  <si>
    <t>Mengidentifikasi Wilayah Tujuan Studibanding</t>
  </si>
  <si>
    <t>Menyampaikan Surat pemberitahuan Kunjungan Wilayah Tujuan Studibanding</t>
  </si>
  <si>
    <t>Penyampaian Laporan Hasil Studibanding</t>
  </si>
  <si>
    <t>Reviu</t>
  </si>
  <si>
    <t>Reviu LK Satker</t>
  </si>
  <si>
    <t>Melakukan Pemeriksaan LK Satker Hasil Tindaklanjut atas LHR dan CHR Satker</t>
  </si>
  <si>
    <t>Melakukan Penelaahan atas LK Satker kabupaten/Kota</t>
  </si>
  <si>
    <t>Menginventarisir kesalahan pencatatan transaksi keuangan</t>
  </si>
  <si>
    <t>Menyampaikan LHR dan CHR atas kesalahan pencatatan transaksi keuangan</t>
  </si>
  <si>
    <t>Menyusun LHR dan CHR atas kesalahan pencatatan transaksi keuangan</t>
  </si>
  <si>
    <t>Persiapan Sensus Ekonomi 2026</t>
  </si>
  <si>
    <t>9100 Sekretariat SE</t>
  </si>
  <si>
    <t>Updating direktori Usaha/Perusahaan Ekonomi</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</si>
</sst>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sz val="11.0"/>
      <color theme="1"/>
      <name val="Calibri"/>
    </font>
    <font>
      <b/>
      <sz val="13.0"/>
      <color theme="1"/>
      <name val="Calibri"/>
    </font>
    <font>
      <b/>
      <sz val="11.0"/>
      <color theme="1"/>
      <name val="Calibri"/>
    </font>
    <font>
      <b/>
      <sz val="10.0"/>
      <color rgb="FF000000"/>
      <name val="Calibri"/>
    </font>
    <font>
      <sz val="10.0"/>
      <color rgb="FF000000"/>
      <name val="Calibri"/>
    </font>
    <font>
      <i/>
      <sz val="10.0"/>
      <color rgb="FF999999"/>
      <name val="Calibri"/>
    </font>
    <font>
      <sz val="10.0"/>
      <color theme="1"/>
      <name val="Arial"/>
    </font>
    <font>
      <sz val="10.0"/>
      <color rgb="FFFF0000"/>
      <name val="Arial"/>
    </font>
    <font>
      <sz val="10.0"/>
      <color rgb="FFFF00FF"/>
      <name val="Arial"/>
    </font>
    <font>
      <color theme="1"/>
      <name val="Calibri"/>
      <scheme val="minor"/>
    </font>
    <font>
      <i/>
      <sz val="11.0"/>
      <color theme="1"/>
      <name val="Calibri"/>
    </font>
    <font/>
    <font>
      <sz val="10.0"/>
      <color rgb="FFFFFFFF"/>
      <name val="Calibri"/>
    </font>
    <font>
      <sz val="10.0"/>
      <color theme="1"/>
      <name val="Calibri"/>
    </font>
    <font>
      <i/>
      <sz val="10.0"/>
      <color theme="1"/>
      <name val="Calibri"/>
    </font>
    <font>
      <color theme="1"/>
      <name val="Calibri"/>
    </font>
    <font>
      <sz val="10.0"/>
      <color rgb="FF0000FF"/>
      <name val="Arial"/>
    </font>
    <font>
      <b/>
      <sz val="11.0"/>
      <color rgb="FFFFFFFF"/>
      <name val="Calibri"/>
    </font>
    <font>
      <sz val="11.0"/>
      <color rgb="FF000000"/>
      <name val="Calibri"/>
    </font>
    <font>
      <b/>
      <sz val="11.0"/>
      <color rgb="FF000000"/>
      <name val="Calibri"/>
    </font>
    <font>
      <b/>
      <sz val="10.0"/>
      <color rgb="FF0000FF"/>
      <name val="Arial"/>
    </font>
    <font>
      <sz val="10.0"/>
      <color rgb="FF000000"/>
      <name val="Arial"/>
    </font>
    <font>
      <sz val="11.0"/>
      <color rgb="FF0070C0"/>
      <name val="Calibri"/>
    </font>
    <font>
      <sz val="11.0"/>
      <color rgb="FF548135"/>
      <name val="Calibri"/>
    </font>
    <font>
      <b/>
      <sz val="11.0"/>
      <color theme="0"/>
      <name val="Calibri"/>
    </font>
    <font>
      <sz val="11.0"/>
      <color rgb="FFFFFFFF"/>
      <name val="Calibri"/>
    </font>
    <font>
      <sz val="11.0"/>
      <color rgb="FFFF0000"/>
      <name val="Calibri"/>
    </font>
    <font>
      <b/>
      <sz val="11.0"/>
      <color rgb="FFFF0000"/>
      <name val="Calibri"/>
    </font>
    <font>
      <sz val="11.0"/>
      <color theme="1"/>
      <name val="Arial"/>
    </font>
    <font>
      <sz val="11.0"/>
      <color rgb="FF000000"/>
      <name val="Arial"/>
    </font>
    <font>
      <sz val="11.0"/>
      <color rgb="FF1F1F1F"/>
      <name val="Calibri"/>
    </font>
  </fonts>
  <fills count="16">
    <fill>
      <patternFill patternType="none"/>
    </fill>
    <fill>
      <patternFill patternType="lightGray"/>
    </fill>
    <fill>
      <patternFill patternType="solid">
        <fgColor rgb="FFFFFF00"/>
        <bgColor rgb="FFFFFF00"/>
      </patternFill>
    </fill>
    <fill>
      <patternFill patternType="solid">
        <fgColor rgb="FFD9E2F3"/>
        <bgColor rgb="FFD9E2F3"/>
      </patternFill>
    </fill>
    <fill>
      <patternFill patternType="solid">
        <fgColor rgb="FF222A35"/>
        <bgColor rgb="FF222A35"/>
      </patternFill>
    </fill>
    <fill>
      <patternFill patternType="solid">
        <fgColor theme="4"/>
        <bgColor theme="4"/>
      </patternFill>
    </fill>
    <fill>
      <patternFill patternType="solid">
        <fgColor rgb="FFB4C6E7"/>
        <bgColor rgb="FFB4C6E7"/>
      </patternFill>
    </fill>
    <fill>
      <patternFill patternType="solid">
        <fgColor rgb="FF4472C4"/>
        <bgColor rgb="FF4472C4"/>
      </patternFill>
    </fill>
    <fill>
      <patternFill patternType="solid">
        <fgColor rgb="FFD9E1F2"/>
        <bgColor rgb="FFD9E1F2"/>
      </patternFill>
    </fill>
    <fill>
      <patternFill patternType="solid">
        <fgColor rgb="FFCFE2F3"/>
        <bgColor rgb="FFCFE2F3"/>
      </patternFill>
    </fill>
    <fill>
      <patternFill patternType="solid">
        <fgColor rgb="FF6D9EEB"/>
        <bgColor rgb="FF6D9EEB"/>
      </patternFill>
    </fill>
    <fill>
      <patternFill patternType="solid">
        <fgColor rgb="FF6FA8DC"/>
        <bgColor rgb="FF6FA8DC"/>
      </patternFill>
    </fill>
    <fill>
      <patternFill patternType="solid">
        <fgColor rgb="FF9FC5E8"/>
        <bgColor rgb="FF9FC5E8"/>
      </patternFill>
    </fill>
    <fill>
      <patternFill patternType="solid">
        <fgColor rgb="FF0070C0"/>
        <bgColor rgb="FF0070C0"/>
      </patternFill>
    </fill>
    <fill>
      <patternFill patternType="solid">
        <fgColor theme="0"/>
        <bgColor theme="0"/>
      </patternFill>
    </fill>
    <fill>
      <patternFill patternType="solid">
        <fgColor rgb="FFFFFFFF"/>
        <bgColor rgb="FFFFFFFF"/>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right/>
      <top/>
      <bottom style="thin">
        <color rgb="FF000000"/>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bottom/>
    </border>
    <border>
      <left style="thin">
        <color rgb="FF000000"/>
      </left>
      <right style="thin">
        <color rgb="FF000000"/>
      </right>
      <bottom style="thin">
        <color rgb="FF000000"/>
      </bottom>
    </border>
    <border>
      <left style="thin">
        <color rgb="FF8EA9DB"/>
      </left>
      <top style="thin">
        <color rgb="FF8EA9DB"/>
      </top>
      <bottom style="thin">
        <color rgb="FF8EA9DB"/>
      </bottom>
    </border>
    <border>
      <top style="thin">
        <color rgb="FF8EA9DB"/>
      </top>
      <bottom style="thin">
        <color rgb="FF8EA9DB"/>
      </bottom>
    </border>
    <border>
      <right style="thin">
        <color rgb="FF8EA9DB"/>
      </right>
      <top style="thin">
        <color rgb="FF8EA9DB"/>
      </top>
      <bottom style="thin">
        <color rgb="FF8EA9DB"/>
      </bottom>
    </border>
    <border>
      <left style="thin">
        <color rgb="FFA9D08E"/>
      </left>
      <top style="thin">
        <color rgb="FFA9D08E"/>
      </top>
      <bottom style="thin">
        <color rgb="FFA9D08E"/>
      </bottom>
    </border>
    <border>
      <top style="thin">
        <color rgb="FFA9D08E"/>
      </top>
      <bottom style="thin">
        <color rgb="FFA9D08E"/>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3" numFmtId="0" xfId="0" applyBorder="1" applyFill="1" applyFont="1"/>
    <xf borderId="0" fillId="0" fontId="1" numFmtId="0" xfId="0" applyAlignment="1" applyFont="1">
      <alignment horizontal="center" vertical="center"/>
    </xf>
    <xf borderId="1" fillId="2" fontId="1" numFmtId="0" xfId="0" applyBorder="1" applyFont="1"/>
    <xf borderId="0" fillId="0" fontId="1" numFmtId="0" xfId="0" applyAlignment="1" applyFont="1">
      <alignment shrinkToFit="0" vertical="center" wrapText="1"/>
    </xf>
    <xf borderId="1" fillId="2" fontId="4" numFmtId="0" xfId="0" applyAlignment="1" applyBorder="1" applyFont="1">
      <alignment horizontal="center" shrinkToFit="0" vertical="center" wrapText="1"/>
    </xf>
    <xf borderId="2" fillId="0" fontId="1" numFmtId="0" xfId="0" applyAlignment="1" applyBorder="1" applyFont="1">
      <alignment horizontal="center" vertical="center"/>
    </xf>
    <xf borderId="0" fillId="0" fontId="1" numFmtId="0" xfId="0" applyFont="1"/>
    <xf borderId="0" fillId="0" fontId="5" numFmtId="0" xfId="0" applyFont="1"/>
    <xf borderId="0" fillId="0" fontId="6" numFmtId="0" xfId="0" applyAlignment="1" applyFont="1">
      <alignment horizontal="right" shrinkToFit="0" vertical="center" wrapText="1"/>
    </xf>
    <xf borderId="3" fillId="0" fontId="1" numFmtId="0" xfId="0" applyAlignment="1" applyBorder="1" applyFont="1">
      <alignment horizontal="left"/>
    </xf>
    <xf borderId="0" fillId="0" fontId="6" numFmtId="0" xfId="0" applyAlignment="1" applyFont="1">
      <alignment vertical="center"/>
    </xf>
    <xf borderId="0" fillId="0" fontId="1" numFmtId="0" xfId="0" applyAlignment="1" applyFont="1">
      <alignment horizontal="center"/>
    </xf>
    <xf borderId="0" fillId="0" fontId="7" numFmtId="0" xfId="0" applyFont="1"/>
    <xf borderId="0" fillId="0" fontId="1" numFmtId="0" xfId="0" applyAlignment="1" applyFont="1">
      <alignment horizontal="left"/>
    </xf>
    <xf borderId="0" fillId="0" fontId="8" numFmtId="0" xfId="0" applyAlignment="1" applyFont="1">
      <alignment shrinkToFit="0" vertical="center" wrapText="1"/>
    </xf>
    <xf borderId="0" fillId="0" fontId="9" numFmtId="0" xfId="0" applyFont="1"/>
    <xf borderId="0" fillId="0" fontId="1" numFmtId="0" xfId="0" applyAlignment="1" applyFont="1">
      <alignment horizontal="left" vertical="center"/>
    </xf>
    <xf borderId="4" fillId="0" fontId="1" numFmtId="0" xfId="0" applyAlignment="1" applyBorder="1" applyFont="1">
      <alignment horizontal="left"/>
    </xf>
    <xf borderId="0" fillId="0" fontId="1" numFmtId="0" xfId="0" applyAlignment="1" applyFont="1">
      <alignment readingOrder="0"/>
    </xf>
    <xf borderId="0" fillId="0" fontId="1" numFmtId="0" xfId="0" applyAlignment="1" applyFont="1">
      <alignment shrinkToFit="0" wrapText="1"/>
    </xf>
    <xf borderId="0" fillId="0" fontId="3" numFmtId="0" xfId="0" applyAlignment="1" applyFont="1">
      <alignment shrinkToFit="0" wrapText="1"/>
    </xf>
    <xf borderId="0" fillId="0" fontId="10" numFmtId="0" xfId="0" applyAlignment="1" applyFont="1">
      <alignment horizontal="center"/>
    </xf>
    <xf borderId="0" fillId="0" fontId="11" numFmtId="0" xfId="0" applyAlignment="1" applyFont="1">
      <alignment shrinkToFit="0" wrapText="1"/>
    </xf>
    <xf borderId="0" fillId="0" fontId="1" numFmtId="0" xfId="0" applyAlignment="1" applyFont="1">
      <alignment horizontal="left" vertical="top"/>
    </xf>
    <xf borderId="5" fillId="0" fontId="1" numFmtId="0" xfId="0" applyAlignment="1" applyBorder="1" applyFont="1">
      <alignment shrinkToFit="0" wrapText="1"/>
    </xf>
    <xf borderId="0" fillId="0" fontId="1" numFmtId="0" xfId="0" applyAlignment="1" applyFont="1">
      <alignment horizontal="center" shrinkToFit="0" wrapText="1"/>
    </xf>
    <xf borderId="5" fillId="0" fontId="1" numFmtId="0" xfId="0" applyAlignment="1" applyBorder="1" applyFont="1">
      <alignment horizontal="center" shrinkToFit="0" vertical="top" wrapText="1"/>
    </xf>
    <xf borderId="5" fillId="0" fontId="1" numFmtId="0" xfId="0" applyAlignment="1" applyBorder="1" applyFont="1">
      <alignment horizontal="center" shrinkToFit="0" wrapText="1"/>
    </xf>
    <xf borderId="0" fillId="0" fontId="7" numFmtId="0" xfId="0" applyAlignment="1" applyFont="1">
      <alignment shrinkToFit="0" vertical="center" wrapText="1"/>
    </xf>
    <xf borderId="5" fillId="0" fontId="1" numFmtId="0" xfId="0" applyBorder="1" applyFont="1"/>
    <xf borderId="5" fillId="0" fontId="1" numFmtId="0" xfId="0" applyAlignment="1" applyBorder="1" applyFont="1">
      <alignment horizontal="center"/>
    </xf>
    <xf borderId="5" fillId="0" fontId="11" numFmtId="0" xfId="0" applyAlignment="1" applyBorder="1" applyFont="1">
      <alignment horizontal="left"/>
    </xf>
    <xf borderId="5" fillId="0" fontId="1" numFmtId="0" xfId="0" applyAlignment="1" applyBorder="1" applyFont="1">
      <alignment horizontal="left"/>
    </xf>
    <xf borderId="6" fillId="3" fontId="11" numFmtId="0" xfId="0" applyAlignment="1" applyBorder="1" applyFill="1" applyFont="1">
      <alignment horizontal="center"/>
    </xf>
    <xf borderId="5" fillId="0" fontId="12" numFmtId="0" xfId="0" applyBorder="1" applyFont="1"/>
    <xf borderId="7" fillId="0" fontId="12" numFmtId="0" xfId="0" applyBorder="1" applyFont="1"/>
    <xf borderId="8" fillId="4" fontId="1" numFmtId="0" xfId="0" applyBorder="1" applyFill="1" applyFont="1"/>
    <xf borderId="1" fillId="5" fontId="13" numFmtId="0" xfId="0" applyAlignment="1" applyBorder="1" applyFill="1" applyFont="1">
      <alignment horizontal="center" shrinkToFit="0" vertical="center" wrapText="1"/>
    </xf>
    <xf borderId="1" fillId="5" fontId="13" numFmtId="0" xfId="0" applyAlignment="1" applyBorder="1" applyFont="1">
      <alignment horizontal="left" shrinkToFit="0" vertical="top" wrapText="1"/>
    </xf>
    <xf borderId="0" fillId="0" fontId="14" numFmtId="0" xfId="0" applyFont="1"/>
    <xf borderId="1" fillId="6" fontId="14" numFmtId="0" xfId="0" applyBorder="1" applyFill="1" applyFont="1"/>
    <xf borderId="1" fillId="6" fontId="14" numFmtId="0" xfId="0" applyAlignment="1" applyBorder="1" applyFont="1">
      <alignment horizontal="center" vertical="top"/>
    </xf>
    <xf borderId="1" fillId="6" fontId="14" numFmtId="0" xfId="0" applyAlignment="1" applyBorder="1" applyFont="1">
      <alignment horizontal="left" shrinkToFit="0" vertical="top" wrapText="1"/>
    </xf>
    <xf borderId="1" fillId="6" fontId="14" numFmtId="0" xfId="0" applyAlignment="1" applyBorder="1" applyFont="1">
      <alignment shrinkToFit="0" vertical="top" wrapText="1"/>
    </xf>
    <xf borderId="1" fillId="6" fontId="14" numFmtId="0" xfId="0" applyAlignment="1" applyBorder="1" applyFont="1">
      <alignment readingOrder="0" shrinkToFit="0" wrapText="1"/>
    </xf>
    <xf borderId="1" fillId="6" fontId="14" numFmtId="0" xfId="0" applyAlignment="1" applyBorder="1" applyFont="1">
      <alignment shrinkToFit="0" wrapText="1"/>
    </xf>
    <xf borderId="1" fillId="6" fontId="14" numFmtId="0" xfId="0" applyAlignment="1" applyBorder="1" applyFont="1">
      <alignment horizontal="center" shrinkToFit="0" wrapText="1"/>
    </xf>
    <xf borderId="1" fillId="6" fontId="14" numFmtId="0" xfId="0" applyAlignment="1" applyBorder="1" applyFont="1">
      <alignment horizontal="left" shrinkToFit="0" wrapText="1"/>
    </xf>
    <xf borderId="1" fillId="6" fontId="15" numFmtId="0" xfId="0" applyBorder="1" applyFont="1"/>
    <xf borderId="9" fillId="6" fontId="14" numFmtId="0" xfId="0" applyAlignment="1" applyBorder="1" applyFont="1">
      <alignment horizontal="left" shrinkToFit="0" vertical="top" wrapText="1"/>
    </xf>
    <xf borderId="9" fillId="6" fontId="14" numFmtId="0" xfId="0" applyAlignment="1" applyBorder="1" applyFont="1">
      <alignment shrinkToFit="0" vertical="top" wrapText="1"/>
    </xf>
    <xf borderId="1" fillId="6" fontId="14" numFmtId="0" xfId="0" applyAlignment="1" applyBorder="1" applyFont="1">
      <alignment horizontal="left"/>
    </xf>
    <xf borderId="10" fillId="2" fontId="1" numFmtId="0" xfId="0" applyAlignment="1" applyBorder="1" applyFont="1">
      <alignment horizontal="left"/>
    </xf>
    <xf borderId="1" fillId="6" fontId="1" numFmtId="0" xfId="0" applyBorder="1" applyFont="1"/>
    <xf borderId="1" fillId="3" fontId="14" numFmtId="0" xfId="0" applyBorder="1" applyFont="1"/>
    <xf borderId="1" fillId="3" fontId="14" numFmtId="0" xfId="0" applyAlignment="1" applyBorder="1" applyFont="1">
      <alignment horizontal="center" vertical="top"/>
    </xf>
    <xf borderId="1" fillId="3" fontId="14" numFmtId="0" xfId="0" applyAlignment="1" applyBorder="1" applyFont="1">
      <alignment horizontal="left" shrinkToFit="0" vertical="top" wrapText="1"/>
    </xf>
    <xf borderId="1" fillId="3" fontId="14" numFmtId="0" xfId="0" applyAlignment="1" applyBorder="1" applyFont="1">
      <alignment shrinkToFit="0" vertical="top" wrapText="1"/>
    </xf>
    <xf borderId="1" fillId="3" fontId="16" numFmtId="0" xfId="0" applyAlignment="1" applyBorder="1" applyFont="1">
      <alignment shrinkToFit="0" vertical="top" wrapText="1"/>
    </xf>
    <xf borderId="1" fillId="3" fontId="16" numFmtId="0" xfId="0" applyAlignment="1" applyBorder="1" applyFont="1">
      <alignment shrinkToFit="0" vertical="top" wrapText="1"/>
    </xf>
    <xf borderId="1" fillId="3" fontId="16" numFmtId="0" xfId="0" applyAlignment="1" applyBorder="1" applyFont="1">
      <alignment horizontal="center" shrinkToFit="0" vertical="top" wrapText="1"/>
    </xf>
    <xf borderId="1" fillId="3" fontId="16" numFmtId="0" xfId="0" applyAlignment="1" applyBorder="1" applyFont="1">
      <alignment horizontal="center" shrinkToFit="0" vertical="bottom" wrapText="1"/>
    </xf>
    <xf borderId="0" fillId="0" fontId="17" numFmtId="0" xfId="0" applyFont="1"/>
    <xf borderId="1" fillId="3" fontId="16" numFmtId="0" xfId="0" applyAlignment="1" applyBorder="1" applyFont="1">
      <alignment shrinkToFit="0" vertical="bottom" wrapText="1"/>
    </xf>
    <xf borderId="1" fillId="3" fontId="14" numFmtId="0" xfId="0" applyAlignment="1" applyBorder="1" applyFont="1">
      <alignment horizontal="left" shrinkToFit="0" wrapText="1"/>
    </xf>
    <xf borderId="1" fillId="3" fontId="14" numFmtId="0" xfId="0" applyAlignment="1" applyBorder="1" applyFont="1">
      <alignment shrinkToFit="0" wrapText="1"/>
    </xf>
    <xf borderId="1" fillId="3" fontId="14" numFmtId="0" xfId="0" applyAlignment="1" applyBorder="1" applyFont="1">
      <alignment horizontal="left"/>
    </xf>
    <xf borderId="1" fillId="3" fontId="1" numFmtId="0" xfId="0" applyBorder="1" applyFont="1"/>
    <xf borderId="0" fillId="3" fontId="10" numFmtId="0" xfId="0" applyFont="1"/>
    <xf borderId="11" fillId="0" fontId="1" numFmtId="0" xfId="0" applyAlignment="1" applyBorder="1" applyFont="1">
      <alignment horizontal="left"/>
    </xf>
    <xf borderId="9" fillId="3" fontId="14" numFmtId="0" xfId="0" applyAlignment="1" applyBorder="1" applyFont="1">
      <alignment horizontal="left" shrinkToFit="0" vertical="top" wrapText="1"/>
    </xf>
    <xf borderId="9" fillId="3" fontId="14" numFmtId="0" xfId="0" applyAlignment="1" applyBorder="1" applyFont="1">
      <alignment shrinkToFit="0" vertical="top" wrapText="1"/>
    </xf>
    <xf borderId="1" fillId="2" fontId="11" numFmtId="0" xfId="0" applyBorder="1" applyFont="1"/>
    <xf borderId="1" fillId="6" fontId="16" numFmtId="0" xfId="0" applyAlignment="1" applyBorder="1" applyFont="1">
      <alignment vertical="bottom"/>
    </xf>
    <xf borderId="1" fillId="6" fontId="16" numFmtId="0" xfId="0" applyAlignment="1" applyBorder="1" applyFont="1">
      <alignment vertical="bottom"/>
    </xf>
    <xf borderId="1" fillId="6" fontId="16" numFmtId="0" xfId="0" applyAlignment="1" applyBorder="1" applyFont="1">
      <alignment horizontal="center" shrinkToFit="0" vertical="bottom" wrapText="1"/>
    </xf>
    <xf borderId="1" fillId="6" fontId="16" numFmtId="0" xfId="0" applyAlignment="1" applyBorder="1" applyFont="1">
      <alignment shrinkToFit="0" vertical="bottom" wrapText="1"/>
    </xf>
    <xf borderId="0" fillId="6" fontId="10" numFmtId="0" xfId="0" applyFont="1"/>
    <xf borderId="1" fillId="6" fontId="16" numFmtId="0" xfId="0" applyAlignment="1" applyBorder="1" applyFont="1">
      <alignment shrinkToFit="0" vertical="top" wrapText="1"/>
    </xf>
    <xf borderId="12" fillId="7" fontId="18" numFmtId="0" xfId="0" applyAlignment="1" applyBorder="1" applyFill="1" applyFont="1">
      <alignment readingOrder="0" shrinkToFit="0" vertical="bottom" wrapText="0"/>
    </xf>
    <xf borderId="13" fillId="7" fontId="18" numFmtId="0" xfId="0" applyAlignment="1" applyBorder="1" applyFont="1">
      <alignment readingOrder="0" shrinkToFit="0" vertical="bottom" wrapText="0"/>
    </xf>
    <xf borderId="14" fillId="7" fontId="18" numFmtId="0" xfId="0" applyAlignment="1" applyBorder="1" applyFont="1">
      <alignment readingOrder="0" shrinkToFit="0" vertical="bottom" wrapText="0"/>
    </xf>
    <xf borderId="12" fillId="8" fontId="19" numFmtId="0" xfId="0" applyAlignment="1" applyBorder="1" applyFill="1" applyFont="1">
      <alignment readingOrder="0" shrinkToFit="0" vertical="bottom" wrapText="0"/>
    </xf>
    <xf borderId="13" fillId="8" fontId="19" numFmtId="0" xfId="0" applyAlignment="1" applyBorder="1" applyFont="1">
      <alignment readingOrder="0" shrinkToFit="0" vertical="bottom" wrapText="0"/>
    </xf>
    <xf borderId="14" fillId="8" fontId="19" numFmtId="0" xfId="0" applyAlignment="1" applyBorder="1" applyFont="1">
      <alignment readingOrder="0" shrinkToFit="0" vertical="bottom" wrapText="0"/>
    </xf>
    <xf borderId="12" fillId="0" fontId="19" numFmtId="0" xfId="0" applyAlignment="1" applyBorder="1" applyFont="1">
      <alignment readingOrder="0" shrinkToFit="0" vertical="bottom" wrapText="0"/>
    </xf>
    <xf borderId="13" fillId="0" fontId="19" numFmtId="0" xfId="0" applyAlignment="1" applyBorder="1" applyFont="1">
      <alignment readingOrder="0" shrinkToFit="0" vertical="bottom" wrapText="0"/>
    </xf>
    <xf borderId="14" fillId="0" fontId="19" numFmtId="0" xfId="0" applyAlignment="1" applyBorder="1" applyFont="1">
      <alignment readingOrder="0" shrinkToFit="0" vertical="bottom" wrapText="0"/>
    </xf>
    <xf borderId="1" fillId="2" fontId="20" numFmtId="0" xfId="0" applyAlignment="1" applyBorder="1" applyFont="1">
      <alignment horizontal="center"/>
    </xf>
    <xf borderId="1" fillId="6" fontId="16" numFmtId="0" xfId="0" applyAlignment="1" applyBorder="1" applyFont="1">
      <alignment shrinkToFit="0" vertical="top" wrapText="1"/>
    </xf>
    <xf borderId="0" fillId="0" fontId="21" numFmtId="0" xfId="0" applyFont="1"/>
    <xf borderId="9" fillId="6" fontId="15" numFmtId="0" xfId="0" applyAlignment="1" applyBorder="1" applyFont="1">
      <alignment shrinkToFit="0" vertical="top" wrapText="1"/>
    </xf>
    <xf borderId="1" fillId="9" fontId="14" numFmtId="0" xfId="0" applyBorder="1" applyFill="1" applyFont="1"/>
    <xf borderId="1" fillId="9" fontId="14" numFmtId="0" xfId="0" applyAlignment="1" applyBorder="1" applyFont="1">
      <alignment horizontal="center" vertical="top"/>
    </xf>
    <xf borderId="0" fillId="0" fontId="22" numFmtId="0" xfId="0" applyFont="1"/>
    <xf borderId="1" fillId="9" fontId="14" numFmtId="0" xfId="0" applyAlignment="1" applyBorder="1" applyFont="1">
      <alignment horizontal="left" shrinkToFit="0" vertical="top" wrapText="1"/>
    </xf>
    <xf borderId="1" fillId="9" fontId="14" numFmtId="0" xfId="0" applyAlignment="1" applyBorder="1" applyFont="1">
      <alignment shrinkToFit="0" vertical="top" wrapText="1"/>
    </xf>
    <xf borderId="1" fillId="9" fontId="14" numFmtId="0" xfId="0" applyAlignment="1" applyBorder="1" applyFont="1">
      <alignment readingOrder="0" shrinkToFit="0" wrapText="1"/>
    </xf>
    <xf borderId="1" fillId="9" fontId="14" numFmtId="0" xfId="0" applyAlignment="1" applyBorder="1" applyFont="1">
      <alignment shrinkToFit="0" wrapText="1"/>
    </xf>
    <xf borderId="1" fillId="9" fontId="14" numFmtId="0" xfId="0" applyAlignment="1" applyBorder="1" applyFont="1">
      <alignment horizontal="center" shrinkToFit="0" wrapText="1"/>
    </xf>
    <xf borderId="1" fillId="9" fontId="14" numFmtId="0" xfId="0" applyAlignment="1" applyBorder="1" applyFont="1">
      <alignment horizontal="left" shrinkToFit="0" wrapText="1"/>
    </xf>
    <xf borderId="1" fillId="9" fontId="14" numFmtId="0" xfId="0" applyAlignment="1" applyBorder="1" applyFont="1">
      <alignment horizontal="left"/>
    </xf>
    <xf borderId="1" fillId="9" fontId="1" numFmtId="0" xfId="0" applyBorder="1" applyFont="1"/>
    <xf borderId="0" fillId="9" fontId="10" numFmtId="0" xfId="0" applyFont="1"/>
    <xf borderId="1" fillId="9" fontId="14" numFmtId="0" xfId="0" applyAlignment="1" applyBorder="1" applyFont="1">
      <alignment readingOrder="0"/>
    </xf>
    <xf borderId="1" fillId="9" fontId="14" numFmtId="0" xfId="0" applyAlignment="1" applyBorder="1" applyFont="1">
      <alignment horizontal="center" readingOrder="0" vertical="top"/>
    </xf>
    <xf borderId="1" fillId="9" fontId="14" numFmtId="0" xfId="0" applyAlignment="1" applyBorder="1" applyFont="1">
      <alignment horizontal="left" readingOrder="0" shrinkToFit="0" vertical="top" wrapText="1"/>
    </xf>
    <xf borderId="1" fillId="9" fontId="14" numFmtId="0" xfId="0" applyAlignment="1" applyBorder="1" applyFont="1">
      <alignment readingOrder="0" shrinkToFit="0" vertical="top" wrapText="1"/>
    </xf>
    <xf borderId="1" fillId="9" fontId="14" numFmtId="0" xfId="0" applyAlignment="1" applyBorder="1" applyFont="1">
      <alignment horizontal="center" readingOrder="0" shrinkToFit="0" wrapText="1"/>
    </xf>
    <xf borderId="1" fillId="6" fontId="16" numFmtId="0" xfId="0" applyAlignment="1" applyBorder="1" applyFont="1">
      <alignment horizontal="center" shrinkToFit="0" vertical="top" wrapText="1"/>
    </xf>
    <xf borderId="1" fillId="3" fontId="16" numFmtId="0" xfId="0" applyAlignment="1" applyBorder="1" applyFont="1">
      <alignment horizontal="center" readingOrder="0" shrinkToFit="0" vertical="top" wrapText="1"/>
    </xf>
    <xf borderId="1" fillId="6" fontId="16" numFmtId="0" xfId="0" applyAlignment="1" applyBorder="1" applyFont="1">
      <alignment horizontal="center" readingOrder="0" shrinkToFit="0" vertical="top" wrapText="1"/>
    </xf>
    <xf borderId="0" fillId="0" fontId="8" numFmtId="0" xfId="0" applyFont="1"/>
    <xf borderId="1" fillId="3" fontId="15" numFmtId="0" xfId="0" applyBorder="1" applyFont="1"/>
    <xf borderId="1" fillId="10" fontId="14" numFmtId="0" xfId="0" applyBorder="1" applyFill="1" applyFont="1"/>
    <xf borderId="1" fillId="10" fontId="14" numFmtId="0" xfId="0" applyAlignment="1" applyBorder="1" applyFont="1">
      <alignment horizontal="center" vertical="top"/>
    </xf>
    <xf borderId="1" fillId="10" fontId="14" numFmtId="0" xfId="0" applyAlignment="1" applyBorder="1" applyFont="1">
      <alignment horizontal="left" shrinkToFit="0" vertical="top" wrapText="1"/>
    </xf>
    <xf borderId="1" fillId="10" fontId="14" numFmtId="0" xfId="0" applyAlignment="1" applyBorder="1" applyFont="1">
      <alignment shrinkToFit="0" vertical="top" wrapText="1"/>
    </xf>
    <xf borderId="1" fillId="10" fontId="14" numFmtId="0" xfId="0" applyAlignment="1" applyBorder="1" applyFont="1">
      <alignment readingOrder="0" shrinkToFit="0" wrapText="1"/>
    </xf>
    <xf borderId="1" fillId="10" fontId="14" numFmtId="0" xfId="0" applyAlignment="1" applyBorder="1" applyFont="1">
      <alignment shrinkToFit="0" wrapText="1"/>
    </xf>
    <xf borderId="1" fillId="10" fontId="14" numFmtId="0" xfId="0" applyAlignment="1" applyBorder="1" applyFont="1">
      <alignment horizontal="center" shrinkToFit="0" wrapText="1"/>
    </xf>
    <xf borderId="1" fillId="10" fontId="14" numFmtId="0" xfId="0" applyAlignment="1" applyBorder="1" applyFont="1">
      <alignment horizontal="left" shrinkToFit="0" wrapText="1"/>
    </xf>
    <xf borderId="1" fillId="10" fontId="14" numFmtId="0" xfId="0" applyAlignment="1" applyBorder="1" applyFont="1">
      <alignment horizontal="left"/>
    </xf>
    <xf borderId="1" fillId="10" fontId="1" numFmtId="0" xfId="0" applyBorder="1" applyFont="1"/>
    <xf borderId="0" fillId="10" fontId="10" numFmtId="0" xfId="0" applyFont="1"/>
    <xf borderId="9" fillId="3" fontId="14" numFmtId="0" xfId="0" applyAlignment="1" applyBorder="1" applyFont="1">
      <alignment horizontal="left" vertical="top"/>
    </xf>
    <xf borderId="9" fillId="6" fontId="14" numFmtId="0" xfId="0" applyAlignment="1" applyBorder="1" applyFont="1">
      <alignment horizontal="left" vertical="top"/>
    </xf>
    <xf borderId="1" fillId="3" fontId="16" numFmtId="0" xfId="0" applyAlignment="1" applyBorder="1" applyFont="1">
      <alignment vertical="bottom"/>
    </xf>
    <xf borderId="1" fillId="3" fontId="16" numFmtId="0" xfId="0" applyAlignment="1" applyBorder="1" applyFont="1">
      <alignment vertical="bottom"/>
    </xf>
    <xf borderId="1" fillId="3" fontId="16" numFmtId="0" xfId="0" applyAlignment="1" applyBorder="1" applyFont="1">
      <alignment horizontal="center" vertical="bottom"/>
    </xf>
    <xf borderId="1" fillId="3" fontId="1" numFmtId="0" xfId="0" applyAlignment="1" applyBorder="1" applyFont="1">
      <alignment vertical="bottom"/>
    </xf>
    <xf borderId="1" fillId="3" fontId="16" numFmtId="0" xfId="0" applyAlignment="1" applyBorder="1" applyFont="1">
      <alignment horizontal="center" readingOrder="0" vertical="bottom"/>
    </xf>
    <xf borderId="1" fillId="9" fontId="16" numFmtId="0" xfId="0" applyAlignment="1" applyBorder="1" applyFont="1">
      <alignment shrinkToFit="0" vertical="top" wrapText="1"/>
    </xf>
    <xf borderId="1" fillId="9" fontId="16" numFmtId="0" xfId="0" applyAlignment="1" applyBorder="1" applyFont="1">
      <alignment horizontal="center" shrinkToFit="0" vertical="top" wrapText="1"/>
    </xf>
    <xf borderId="1" fillId="9" fontId="16" numFmtId="0" xfId="0" applyAlignment="1" applyBorder="1" applyFont="1">
      <alignment horizontal="center" readingOrder="0" shrinkToFit="0" vertical="top" wrapText="1"/>
    </xf>
    <xf borderId="1" fillId="11" fontId="14" numFmtId="0" xfId="0" applyBorder="1" applyFill="1" applyFont="1"/>
    <xf borderId="1" fillId="11" fontId="14" numFmtId="0" xfId="0" applyAlignment="1" applyBorder="1" applyFont="1">
      <alignment horizontal="center" vertical="top"/>
    </xf>
    <xf borderId="1" fillId="11" fontId="14" numFmtId="0" xfId="0" applyAlignment="1" applyBorder="1" applyFont="1">
      <alignment horizontal="left" shrinkToFit="0" vertical="top" wrapText="1"/>
    </xf>
    <xf borderId="1" fillId="11" fontId="14" numFmtId="0" xfId="0" applyAlignment="1" applyBorder="1" applyFont="1">
      <alignment shrinkToFit="0" vertical="top" wrapText="1"/>
    </xf>
    <xf borderId="1" fillId="11" fontId="16" numFmtId="0" xfId="0" applyAlignment="1" applyBorder="1" applyFont="1">
      <alignment shrinkToFit="0" vertical="top" wrapText="1"/>
    </xf>
    <xf borderId="1" fillId="11" fontId="16" numFmtId="0" xfId="0" applyAlignment="1" applyBorder="1" applyFont="1">
      <alignment horizontal="center" shrinkToFit="0" vertical="top" wrapText="1"/>
    </xf>
    <xf borderId="1" fillId="11" fontId="14" numFmtId="0" xfId="0" applyAlignment="1" applyBorder="1" applyFont="1">
      <alignment horizontal="left" shrinkToFit="0" wrapText="1"/>
    </xf>
    <xf borderId="1" fillId="11" fontId="14" numFmtId="0" xfId="0" applyAlignment="1" applyBorder="1" applyFont="1">
      <alignment shrinkToFit="0" wrapText="1"/>
    </xf>
    <xf borderId="1" fillId="11" fontId="14" numFmtId="0" xfId="0" applyAlignment="1" applyBorder="1" applyFont="1">
      <alignment horizontal="left"/>
    </xf>
    <xf borderId="1" fillId="11" fontId="1" numFmtId="0" xfId="0" applyBorder="1" applyFont="1"/>
    <xf borderId="0" fillId="11" fontId="10" numFmtId="0" xfId="0" applyFont="1"/>
    <xf borderId="1" fillId="11" fontId="16" numFmtId="0" xfId="0" applyAlignment="1" applyBorder="1" applyFont="1">
      <alignment horizontal="center" readingOrder="0" shrinkToFit="0" vertical="top" wrapText="1"/>
    </xf>
    <xf borderId="1" fillId="6" fontId="14" numFmtId="0" xfId="0" applyAlignment="1" applyBorder="1" applyFont="1">
      <alignment readingOrder="0" shrinkToFit="0" vertical="top" wrapText="1"/>
    </xf>
    <xf borderId="1" fillId="6" fontId="14" numFmtId="0" xfId="0" applyAlignment="1" applyBorder="1" applyFont="1">
      <alignment horizontal="center" readingOrder="0" shrinkToFit="0" wrapText="1"/>
    </xf>
    <xf borderId="1" fillId="3" fontId="14" numFmtId="0" xfId="0" applyAlignment="1" applyBorder="1" applyFont="1">
      <alignment readingOrder="0" shrinkToFit="0" wrapText="1"/>
    </xf>
    <xf borderId="1" fillId="3" fontId="14" numFmtId="0" xfId="0" applyAlignment="1" applyBorder="1" applyFont="1">
      <alignment horizontal="center" readingOrder="0" shrinkToFit="0" wrapText="1"/>
    </xf>
    <xf borderId="1" fillId="3" fontId="14" numFmtId="0" xfId="0" applyAlignment="1" applyBorder="1" applyFont="1">
      <alignment readingOrder="0" shrinkToFit="0" vertical="top" wrapText="1"/>
    </xf>
    <xf borderId="1" fillId="3" fontId="14" numFmtId="0" xfId="0" applyAlignment="1" applyBorder="1" applyFont="1">
      <alignment shrinkToFit="0" wrapText="1"/>
    </xf>
    <xf borderId="1" fillId="3" fontId="14" numFmtId="0" xfId="0" applyAlignment="1" applyBorder="1" applyFont="1">
      <alignment horizontal="center" shrinkToFit="0" wrapText="1"/>
    </xf>
    <xf borderId="0" fillId="12" fontId="14" numFmtId="0" xfId="0" applyFill="1" applyFont="1"/>
    <xf borderId="0" fillId="12" fontId="14" numFmtId="0" xfId="0" applyAlignment="1" applyFont="1">
      <alignment horizontal="center" vertical="top"/>
    </xf>
    <xf borderId="1" fillId="12" fontId="16" numFmtId="0" xfId="0" applyAlignment="1" applyBorder="1" applyFont="1">
      <alignment shrinkToFit="0" vertical="top" wrapText="1"/>
    </xf>
    <xf borderId="1" fillId="12" fontId="16" numFmtId="0" xfId="0" applyAlignment="1" applyBorder="1" applyFont="1">
      <alignment horizontal="center" shrinkToFit="0" vertical="bottom" wrapText="1"/>
    </xf>
    <xf borderId="1" fillId="12" fontId="16" numFmtId="0" xfId="0" applyAlignment="1" applyBorder="1" applyFont="1">
      <alignment shrinkToFit="0" vertical="bottom" wrapText="1"/>
    </xf>
    <xf borderId="0" fillId="12" fontId="14" numFmtId="0" xfId="0" applyAlignment="1" applyFont="1">
      <alignment horizontal="left"/>
    </xf>
    <xf borderId="0" fillId="12" fontId="10" numFmtId="0" xfId="0" applyFont="1"/>
    <xf borderId="1" fillId="12" fontId="1" numFmtId="0" xfId="0" applyAlignment="1" applyBorder="1" applyFont="1">
      <alignment vertical="top"/>
    </xf>
    <xf borderId="1" fillId="12" fontId="16" numFmtId="0" xfId="0" applyAlignment="1" applyBorder="1" applyFont="1">
      <alignment vertical="bottom"/>
    </xf>
    <xf borderId="0" fillId="9" fontId="14" numFmtId="0" xfId="0" applyFont="1"/>
    <xf borderId="0" fillId="9" fontId="14" numFmtId="0" xfId="0" applyAlignment="1" applyFont="1">
      <alignment horizontal="center" vertical="top"/>
    </xf>
    <xf borderId="1" fillId="9" fontId="16" numFmtId="0" xfId="0" applyAlignment="1" applyBorder="1" applyFont="1">
      <alignment vertical="bottom"/>
    </xf>
    <xf borderId="1" fillId="9" fontId="16" numFmtId="0" xfId="0" applyAlignment="1" applyBorder="1" applyFont="1">
      <alignment horizontal="center" vertical="bottom"/>
    </xf>
    <xf borderId="0" fillId="9" fontId="14" numFmtId="0" xfId="0" applyAlignment="1" applyFont="1">
      <alignment horizontal="left"/>
    </xf>
    <xf borderId="1" fillId="9" fontId="1" numFmtId="0" xfId="0" applyAlignment="1" applyBorder="1" applyFont="1">
      <alignment vertical="bottom"/>
    </xf>
    <xf borderId="0" fillId="0" fontId="14" numFmtId="0" xfId="0" applyAlignment="1" applyFont="1">
      <alignment horizontal="center" vertical="top"/>
    </xf>
    <xf borderId="0" fillId="0" fontId="14" numFmtId="0" xfId="0" applyAlignment="1" applyFont="1">
      <alignment horizontal="center"/>
    </xf>
    <xf borderId="0" fillId="0" fontId="14" numFmtId="0" xfId="0" applyAlignment="1" applyFont="1">
      <alignment shrinkToFit="0" wrapText="1"/>
    </xf>
    <xf borderId="0" fillId="0" fontId="14" numFmtId="0" xfId="0" applyAlignment="1" applyFont="1">
      <alignment horizontal="left"/>
    </xf>
    <xf borderId="1" fillId="2" fontId="20" numFmtId="0" xfId="0" applyAlignment="1" applyBorder="1" applyFont="1">
      <alignment horizontal="center" shrinkToFit="0" vertical="center" wrapText="1"/>
    </xf>
    <xf borderId="0" fillId="0" fontId="1" numFmtId="0" xfId="0" applyAlignment="1" applyFont="1">
      <alignment horizontal="center" vertical="top"/>
    </xf>
    <xf borderId="1" fillId="6" fontId="15" numFmtId="0" xfId="0" applyAlignment="1" applyBorder="1" applyFont="1">
      <alignment shrinkToFit="0" vertical="top" wrapText="1"/>
    </xf>
    <xf borderId="0" fillId="0" fontId="1" numFmtId="0" xfId="0" applyAlignment="1" applyFont="1">
      <alignment vertical="top"/>
    </xf>
    <xf borderId="0" fillId="0" fontId="23" numFmtId="0" xfId="0" applyAlignment="1" applyFont="1">
      <alignment vertical="top"/>
    </xf>
    <xf borderId="0" fillId="0" fontId="24" numFmtId="0" xfId="0" applyAlignment="1" applyFont="1">
      <alignment vertical="top"/>
    </xf>
    <xf borderId="1" fillId="13" fontId="25"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19" numFmtId="0" xfId="0" applyAlignment="1" applyFont="1">
      <alignment vertical="top"/>
    </xf>
    <xf borderId="0" fillId="0" fontId="19" numFmtId="0" xfId="0" applyFont="1"/>
    <xf borderId="1" fillId="13" fontId="26" numFmtId="0" xfId="0" applyAlignment="1" applyBorder="1" applyFont="1">
      <alignment horizontal="center" shrinkToFit="0" vertical="center" wrapText="1"/>
    </xf>
    <xf borderId="0" fillId="0" fontId="1" numFmtId="0" xfId="0" applyAlignment="1" applyFont="1">
      <alignment horizontal="center" shrinkToFit="0" vertical="center" wrapText="1"/>
    </xf>
    <xf borderId="15" fillId="0" fontId="19" numFmtId="0" xfId="0" applyBorder="1" applyFont="1"/>
    <xf borderId="16" fillId="0" fontId="19" numFmtId="0" xfId="0" applyBorder="1" applyFont="1"/>
    <xf borderId="16" fillId="0" fontId="20" numFmtId="0" xfId="0" applyBorder="1" applyFont="1"/>
    <xf borderId="16" fillId="0" fontId="20" numFmtId="0" xfId="0" applyAlignment="1" applyBorder="1" applyFont="1">
      <alignment shrinkToFit="0" wrapText="1"/>
    </xf>
    <xf borderId="16" fillId="0" fontId="19" numFmtId="0" xfId="0" applyAlignment="1" applyBorder="1" applyFont="1">
      <alignment shrinkToFit="0" wrapText="1"/>
    </xf>
    <xf borderId="15" fillId="0" fontId="27" numFmtId="0" xfId="0" applyBorder="1" applyFont="1"/>
    <xf borderId="16" fillId="0" fontId="27" numFmtId="0" xfId="0" applyBorder="1" applyFont="1"/>
    <xf borderId="16" fillId="0" fontId="27" numFmtId="0" xfId="0" applyAlignment="1" applyBorder="1" applyFont="1">
      <alignment shrinkToFit="0" wrapText="1"/>
    </xf>
    <xf borderId="16" fillId="0" fontId="28" numFmtId="0" xfId="0" applyBorder="1" applyFont="1"/>
    <xf borderId="1" fillId="2" fontId="3" numFmtId="0" xfId="0" applyAlignment="1" applyBorder="1" applyFont="1">
      <alignment horizontal="center" shrinkToFit="0" wrapText="1"/>
    </xf>
    <xf borderId="1" fillId="14" fontId="19" numFmtId="0" xfId="0" applyBorder="1" applyFill="1" applyFont="1"/>
    <xf borderId="1" fillId="15" fontId="1" numFmtId="0" xfId="0" applyBorder="1" applyFill="1" applyFont="1"/>
    <xf borderId="1" fillId="15" fontId="19" numFmtId="0" xfId="0" applyBorder="1" applyFont="1"/>
    <xf borderId="0" fillId="0" fontId="29" numFmtId="0" xfId="0" applyFont="1"/>
    <xf borderId="1" fillId="15" fontId="30" numFmtId="0" xfId="0" applyAlignment="1" applyBorder="1" applyFont="1">
      <alignment shrinkToFit="0" wrapText="1"/>
    </xf>
    <xf borderId="1" fillId="15" fontId="30" numFmtId="0" xfId="0" applyBorder="1" applyFont="1"/>
    <xf borderId="1" fillId="15" fontId="19" numFmtId="0" xfId="0" applyAlignment="1" applyBorder="1" applyFont="1">
      <alignment shrinkToFit="0" wrapText="1"/>
    </xf>
    <xf borderId="1" fillId="15" fontId="31" numFmtId="0" xfId="0" applyBorder="1" applyFont="1"/>
    <xf borderId="1" fillId="15" fontId="1" numFmtId="0" xfId="0" applyAlignment="1" applyBorder="1" applyFont="1">
      <alignment shrinkToFit="0" wrapText="1"/>
    </xf>
    <xf borderId="0" fillId="0" fontId="19" numFmtId="0" xfId="0" applyAlignment="1" applyFont="1">
      <alignment horizontal="left"/>
    </xf>
    <xf borderId="1" fillId="15" fontId="19" numFmtId="0" xfId="0" applyAlignment="1" applyBorder="1" applyFont="1">
      <alignment horizontal="left"/>
    </xf>
    <xf borderId="1" fillId="14" fontId="7" numFmtId="0" xfId="0" applyBorder="1" applyFont="1"/>
    <xf borderId="1" fillId="14" fontId="14" numFmtId="0" xfId="0" applyBorder="1" applyFont="1"/>
    <xf borderId="0" fillId="0" fontId="19" numFmtId="0" xfId="0" applyAlignment="1" applyFont="1">
      <alignment vertical="center"/>
    </xf>
    <xf borderId="0" fillId="0" fontId="7" numFmtId="0" xfId="0" applyAlignment="1" applyFont="1">
      <alignment vertical="center"/>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16.0"/>
    <col customWidth="1" min="2" max="2" width="16.43"/>
    <col customWidth="1" min="4" max="4" width="26.43"/>
    <col customWidth="1" min="5" max="5" width="34.43"/>
    <col customWidth="1" min="6" max="6" width="46.29"/>
    <col customWidth="1" min="7" max="7" width="17.43"/>
    <col customWidth="1" min="8" max="8" width="14.71"/>
    <col customWidth="1" min="9" max="9" width="12.29"/>
    <col customWidth="1" min="10" max="10" width="10.43"/>
    <col customWidth="1" min="11" max="11" width="22.86"/>
    <col customWidth="1" min="12" max="12" width="26.14"/>
    <col customWidth="1" min="13" max="13" width="10.29"/>
    <col customWidth="1" min="14" max="14" width="12.43"/>
    <col customWidth="1" min="15" max="15" width="14.86"/>
    <col customWidth="1" min="16" max="16" width="13.0"/>
    <col customWidth="1" min="17" max="17" width="11.57"/>
    <col customWidth="1" min="18" max="18" width="12.43"/>
    <col customWidth="1" min="19" max="19" width="17.57"/>
    <col customWidth="1" min="20" max="20" width="15.29"/>
    <col customWidth="1" min="21" max="21" width="14.71"/>
    <col customWidth="1" hidden="1" min="22" max="22" width="13.29"/>
    <col customWidth="1" hidden="1" min="23" max="23" width="15.14"/>
    <col customWidth="1" hidden="1" min="24" max="24" width="10.43"/>
    <col customWidth="1" min="25" max="26" width="8.86"/>
  </cols>
  <sheetData>
    <row r="1" ht="21.75" customHeight="1">
      <c r="A1" s="2" t="s">
        <v>2</v>
      </c>
      <c r="C1" s="4"/>
      <c r="D1" s="6"/>
      <c r="E1" s="1"/>
      <c r="F1" s="11" t="s">
        <v>5</v>
      </c>
      <c r="G1" s="13" t="s">
        <v>13</v>
      </c>
      <c r="H1" s="4"/>
      <c r="I1" s="4"/>
      <c r="J1" s="1"/>
      <c r="K1" s="19"/>
      <c r="L1" s="19"/>
      <c r="M1" s="1"/>
      <c r="N1" s="1"/>
      <c r="O1" s="1"/>
      <c r="P1" s="1"/>
      <c r="Q1" s="1"/>
      <c r="R1" s="1"/>
      <c r="S1" s="19"/>
      <c r="T1" s="1"/>
      <c r="U1" s="1"/>
      <c r="V1" s="1"/>
      <c r="W1" s="1"/>
      <c r="X1" s="1"/>
      <c r="Y1" s="1"/>
      <c r="Z1" s="1"/>
    </row>
    <row r="2">
      <c r="A2" s="9" t="s">
        <v>4</v>
      </c>
      <c r="B2" s="21" t="s">
        <v>32</v>
      </c>
      <c r="C2" s="14"/>
      <c r="D2" s="22"/>
      <c r="E2" s="23"/>
      <c r="H2" s="24"/>
      <c r="I2" s="24"/>
      <c r="K2" s="16"/>
      <c r="L2" s="16"/>
      <c r="S2" s="16"/>
    </row>
    <row r="3">
      <c r="A3" s="22" t="s">
        <v>40</v>
      </c>
      <c r="B3" s="21" t="s">
        <v>42</v>
      </c>
      <c r="C3" s="14"/>
      <c r="D3" s="22"/>
      <c r="E3" s="25"/>
      <c r="H3" s="24"/>
      <c r="I3" s="24"/>
      <c r="K3" s="16"/>
      <c r="L3" s="16"/>
      <c r="S3" s="16"/>
    </row>
    <row r="4">
      <c r="A4" s="22"/>
      <c r="B4" s="26"/>
      <c r="C4" s="14"/>
      <c r="D4" s="22"/>
      <c r="E4" s="25"/>
      <c r="H4" s="24"/>
      <c r="I4" s="24"/>
      <c r="K4" s="16"/>
      <c r="L4" s="16"/>
      <c r="S4" s="16"/>
    </row>
    <row r="5">
      <c r="A5" s="27"/>
      <c r="B5" s="29"/>
      <c r="C5" s="30"/>
      <c r="D5" s="27"/>
      <c r="E5" s="27"/>
      <c r="F5" s="32"/>
      <c r="G5" s="32"/>
      <c r="H5" s="33"/>
      <c r="I5" s="33"/>
      <c r="J5" s="32"/>
      <c r="K5" s="34" t="s">
        <v>55</v>
      </c>
      <c r="L5" s="35"/>
      <c r="M5" s="36" t="s">
        <v>66</v>
      </c>
      <c r="N5" s="37"/>
      <c r="O5" s="37"/>
      <c r="P5" s="37"/>
      <c r="Q5" s="37"/>
      <c r="R5" s="37"/>
      <c r="S5" s="37"/>
      <c r="T5" s="37"/>
      <c r="U5" s="37"/>
      <c r="V5" s="37"/>
      <c r="W5" s="38"/>
      <c r="X5" s="39"/>
    </row>
    <row r="6">
      <c r="A6" s="40" t="s">
        <v>71</v>
      </c>
      <c r="B6" s="41" t="s">
        <v>74</v>
      </c>
      <c r="C6" s="40" t="s">
        <v>75</v>
      </c>
      <c r="D6" s="40" t="s">
        <v>76</v>
      </c>
      <c r="E6" s="40" t="s">
        <v>77</v>
      </c>
      <c r="F6" s="40" t="s">
        <v>78</v>
      </c>
      <c r="G6" s="40" t="s">
        <v>80</v>
      </c>
      <c r="H6" s="40" t="s">
        <v>81</v>
      </c>
      <c r="I6" s="40" t="s">
        <v>83</v>
      </c>
      <c r="J6" s="40" t="s">
        <v>84</v>
      </c>
      <c r="K6" s="40" t="s">
        <v>87</v>
      </c>
      <c r="L6" s="40" t="s">
        <v>88</v>
      </c>
      <c r="M6" s="40" t="s">
        <v>90</v>
      </c>
      <c r="N6" s="40" t="s">
        <v>91</v>
      </c>
      <c r="O6" s="40" t="s">
        <v>92</v>
      </c>
      <c r="P6" s="40" t="s">
        <v>93</v>
      </c>
      <c r="Q6" s="40" t="s">
        <v>94</v>
      </c>
      <c r="R6" s="40" t="s">
        <v>96</v>
      </c>
      <c r="S6" s="40" t="s">
        <v>99</v>
      </c>
      <c r="T6" s="40" t="s">
        <v>102</v>
      </c>
      <c r="U6" s="40" t="s">
        <v>103</v>
      </c>
      <c r="V6" s="40" t="s">
        <v>104</v>
      </c>
      <c r="W6" s="40" t="s">
        <v>105</v>
      </c>
      <c r="X6" s="40" t="s">
        <v>107</v>
      </c>
      <c r="Y6" s="42"/>
      <c r="Z6" s="42"/>
    </row>
    <row r="7" ht="15.75" customHeight="1">
      <c r="A7" s="43" t="s">
        <v>54</v>
      </c>
      <c r="B7" s="44" t="s">
        <v>17</v>
      </c>
      <c r="C7" s="45" t="s">
        <v>110</v>
      </c>
      <c r="D7" s="46" t="s">
        <v>111</v>
      </c>
      <c r="E7" s="46" t="s">
        <v>113</v>
      </c>
      <c r="F7" s="47" t="s">
        <v>114</v>
      </c>
      <c r="G7" s="48"/>
      <c r="H7" s="49"/>
      <c r="I7" s="49"/>
      <c r="J7" s="48"/>
      <c r="K7" s="50"/>
      <c r="L7" s="50"/>
      <c r="M7" s="48"/>
      <c r="N7" s="43"/>
      <c r="O7" s="43"/>
      <c r="P7" s="43"/>
      <c r="Q7" s="43"/>
      <c r="R7" s="43"/>
      <c r="S7" s="54" t="str">
        <f t="shared" ref="S7:S8" si="1">IFERROR(Q7/R7,"-")</f>
        <v>-</v>
      </c>
      <c r="T7" s="43" t="str">
        <f>'Kertas Kerja'!$I268</f>
        <v/>
      </c>
      <c r="U7" s="43" t="str">
        <f t="shared" ref="U7:U8" si="2">IFERROR(S7*T7,)</f>
        <v/>
      </c>
      <c r="V7" s="56">
        <f t="shared" ref="V7:V8" si="3">+U7/5.5</f>
        <v>0</v>
      </c>
      <c r="W7" s="56">
        <f t="shared" ref="W7:W8" si="4">U7/1250</f>
        <v>0</v>
      </c>
      <c r="X7" s="56"/>
    </row>
    <row r="8" ht="15.75" customHeight="1">
      <c r="A8" s="57" t="s">
        <v>54</v>
      </c>
      <c r="B8" s="58" t="s">
        <v>17</v>
      </c>
      <c r="C8" s="59" t="s">
        <v>110</v>
      </c>
      <c r="D8" s="60" t="s">
        <v>111</v>
      </c>
      <c r="E8" s="60" t="s">
        <v>144</v>
      </c>
      <c r="F8" s="61" t="s">
        <v>145</v>
      </c>
      <c r="G8" s="62" t="s">
        <v>147</v>
      </c>
      <c r="H8" s="63">
        <v>5.5</v>
      </c>
      <c r="I8" s="64">
        <v>1.0</v>
      </c>
      <c r="J8" s="66" t="s">
        <v>151</v>
      </c>
      <c r="K8" s="67"/>
      <c r="L8" s="67"/>
      <c r="M8" s="68"/>
      <c r="N8" s="57"/>
      <c r="O8" s="57"/>
      <c r="P8" s="57"/>
      <c r="Q8" s="57"/>
      <c r="R8" s="57"/>
      <c r="S8" s="69" t="str">
        <f t="shared" si="1"/>
        <v>-</v>
      </c>
      <c r="T8" s="57" t="str">
        <f>'Kertas Kerja'!$I285</f>
        <v/>
      </c>
      <c r="U8" s="57" t="str">
        <f t="shared" si="2"/>
        <v/>
      </c>
      <c r="V8" s="70">
        <f t="shared" si="3"/>
        <v>0</v>
      </c>
      <c r="W8" s="70">
        <f t="shared" si="4"/>
        <v>0</v>
      </c>
      <c r="X8" s="70"/>
      <c r="Y8" s="71"/>
      <c r="Z8" s="71"/>
    </row>
    <row r="9" ht="15.75" customHeight="1">
      <c r="A9" s="57"/>
      <c r="B9" s="58"/>
      <c r="C9" s="59"/>
      <c r="D9" s="60"/>
      <c r="E9" s="60"/>
      <c r="F9" s="61" t="s">
        <v>164</v>
      </c>
      <c r="G9" s="62" t="s">
        <v>165</v>
      </c>
      <c r="H9" s="63">
        <v>5.5</v>
      </c>
      <c r="I9" s="64">
        <v>1.0</v>
      </c>
      <c r="J9" s="66" t="s">
        <v>166</v>
      </c>
      <c r="K9" s="67"/>
      <c r="L9" s="67"/>
      <c r="M9" s="68"/>
      <c r="N9" s="57"/>
      <c r="O9" s="57"/>
      <c r="P9" s="57"/>
      <c r="Q9" s="57"/>
      <c r="R9" s="57"/>
      <c r="S9" s="69"/>
      <c r="T9" s="57"/>
      <c r="U9" s="57"/>
      <c r="V9" s="70"/>
      <c r="W9" s="70"/>
      <c r="X9" s="70"/>
      <c r="Y9" s="71"/>
      <c r="Z9" s="71"/>
    </row>
    <row r="10" ht="15.75" customHeight="1">
      <c r="A10" s="57"/>
      <c r="B10" s="58"/>
      <c r="C10" s="59"/>
      <c r="D10" s="60"/>
      <c r="E10" s="60"/>
      <c r="F10" s="61" t="s">
        <v>177</v>
      </c>
      <c r="G10" s="62" t="s">
        <v>178</v>
      </c>
      <c r="H10" s="63">
        <v>5.5</v>
      </c>
      <c r="I10" s="64">
        <v>1.0</v>
      </c>
      <c r="J10" s="66" t="s">
        <v>151</v>
      </c>
      <c r="K10" s="67"/>
      <c r="L10" s="67"/>
      <c r="M10" s="68"/>
      <c r="N10" s="57"/>
      <c r="O10" s="57"/>
      <c r="P10" s="57"/>
      <c r="Q10" s="57"/>
      <c r="R10" s="57"/>
      <c r="S10" s="69"/>
      <c r="T10" s="57"/>
      <c r="U10" s="57"/>
      <c r="V10" s="70"/>
      <c r="W10" s="70"/>
      <c r="X10" s="70"/>
      <c r="Y10" s="71"/>
      <c r="Z10" s="71"/>
    </row>
    <row r="11" ht="15.75" customHeight="1">
      <c r="A11" s="57"/>
      <c r="B11" s="58"/>
      <c r="C11" s="59"/>
      <c r="D11" s="60"/>
      <c r="E11" s="60"/>
      <c r="F11" s="61" t="s">
        <v>191</v>
      </c>
      <c r="G11" s="62" t="s">
        <v>193</v>
      </c>
      <c r="H11" s="63">
        <v>11.0</v>
      </c>
      <c r="I11" s="64">
        <v>1.0</v>
      </c>
      <c r="J11" s="66" t="s">
        <v>196</v>
      </c>
      <c r="K11" s="67"/>
      <c r="L11" s="67"/>
      <c r="M11" s="68"/>
      <c r="N11" s="57"/>
      <c r="O11" s="57"/>
      <c r="P11" s="57"/>
      <c r="Q11" s="57"/>
      <c r="R11" s="57"/>
      <c r="S11" s="69"/>
      <c r="T11" s="57"/>
      <c r="U11" s="57"/>
      <c r="V11" s="70"/>
      <c r="W11" s="70"/>
      <c r="X11" s="70"/>
      <c r="Y11" s="71"/>
      <c r="Z11" s="71"/>
    </row>
    <row r="12" ht="15.75" customHeight="1">
      <c r="A12" s="57"/>
      <c r="B12" s="58"/>
      <c r="C12" s="59"/>
      <c r="D12" s="60"/>
      <c r="E12" s="60"/>
      <c r="F12" s="61" t="s">
        <v>206</v>
      </c>
      <c r="G12" s="62" t="s">
        <v>207</v>
      </c>
      <c r="H12" s="63">
        <v>5.5</v>
      </c>
      <c r="I12" s="64">
        <v>1.0</v>
      </c>
      <c r="J12" s="66" t="s">
        <v>166</v>
      </c>
      <c r="K12" s="67"/>
      <c r="L12" s="67"/>
      <c r="M12" s="68"/>
      <c r="N12" s="57"/>
      <c r="O12" s="57"/>
      <c r="P12" s="57"/>
      <c r="Q12" s="57"/>
      <c r="R12" s="57"/>
      <c r="S12" s="69"/>
      <c r="T12" s="57"/>
      <c r="U12" s="57"/>
      <c r="V12" s="70"/>
      <c r="W12" s="70"/>
      <c r="X12" s="70"/>
      <c r="Y12" s="71"/>
      <c r="Z12" s="71"/>
    </row>
    <row r="13" ht="15.75" customHeight="1">
      <c r="A13" s="57"/>
      <c r="B13" s="58"/>
      <c r="C13" s="59"/>
      <c r="D13" s="60"/>
      <c r="E13" s="60"/>
      <c r="F13" s="61" t="s">
        <v>219</v>
      </c>
      <c r="G13" s="62" t="s">
        <v>220</v>
      </c>
      <c r="H13" s="63">
        <v>5.5</v>
      </c>
      <c r="I13" s="64">
        <v>1.0</v>
      </c>
      <c r="J13" s="66" t="s">
        <v>166</v>
      </c>
      <c r="K13" s="67"/>
      <c r="L13" s="67"/>
      <c r="M13" s="68"/>
      <c r="N13" s="57"/>
      <c r="O13" s="57"/>
      <c r="P13" s="57"/>
      <c r="Q13" s="57"/>
      <c r="R13" s="57"/>
      <c r="S13" s="69"/>
      <c r="T13" s="57"/>
      <c r="U13" s="57"/>
      <c r="V13" s="70"/>
      <c r="W13" s="70"/>
      <c r="X13" s="70"/>
      <c r="Y13" s="71"/>
      <c r="Z13" s="71"/>
    </row>
    <row r="14" ht="15.75" customHeight="1">
      <c r="A14" s="57"/>
      <c r="B14" s="58"/>
      <c r="C14" s="59"/>
      <c r="D14" s="60"/>
      <c r="E14" s="60"/>
      <c r="F14" s="61" t="s">
        <v>231</v>
      </c>
      <c r="G14" s="62" t="s">
        <v>232</v>
      </c>
      <c r="H14" s="63">
        <v>5.5</v>
      </c>
      <c r="I14" s="64">
        <v>1.0</v>
      </c>
      <c r="J14" s="66" t="s">
        <v>166</v>
      </c>
      <c r="K14" s="67"/>
      <c r="L14" s="67"/>
      <c r="M14" s="68"/>
      <c r="N14" s="57"/>
      <c r="O14" s="57"/>
      <c r="P14" s="57"/>
      <c r="Q14" s="57"/>
      <c r="R14" s="57"/>
      <c r="S14" s="69"/>
      <c r="T14" s="57"/>
      <c r="U14" s="57"/>
      <c r="V14" s="70"/>
      <c r="W14" s="70"/>
      <c r="X14" s="70"/>
      <c r="Y14" s="71"/>
      <c r="Z14" s="71"/>
    </row>
    <row r="15" ht="15.75" customHeight="1">
      <c r="A15" s="57"/>
      <c r="B15" s="58"/>
      <c r="C15" s="59"/>
      <c r="D15" s="60"/>
      <c r="E15" s="60"/>
      <c r="F15" s="61" t="s">
        <v>242</v>
      </c>
      <c r="G15" s="62" t="s">
        <v>244</v>
      </c>
      <c r="H15" s="63">
        <v>11.0</v>
      </c>
      <c r="I15" s="64">
        <v>1.0</v>
      </c>
      <c r="J15" s="66" t="s">
        <v>151</v>
      </c>
      <c r="K15" s="67"/>
      <c r="L15" s="67"/>
      <c r="M15" s="68"/>
      <c r="N15" s="57"/>
      <c r="O15" s="57"/>
      <c r="P15" s="57"/>
      <c r="Q15" s="57"/>
      <c r="R15" s="57"/>
      <c r="S15" s="69"/>
      <c r="T15" s="57"/>
      <c r="U15" s="57"/>
      <c r="V15" s="70"/>
      <c r="W15" s="70"/>
      <c r="X15" s="70"/>
      <c r="Y15" s="71"/>
      <c r="Z15" s="71"/>
    </row>
    <row r="16" ht="15.75" customHeight="1">
      <c r="A16" s="57"/>
      <c r="B16" s="58"/>
      <c r="C16" s="59"/>
      <c r="D16" s="60"/>
      <c r="E16" s="60"/>
      <c r="F16" s="61" t="s">
        <v>253</v>
      </c>
      <c r="G16" s="62" t="s">
        <v>255</v>
      </c>
      <c r="H16" s="63">
        <v>5.5</v>
      </c>
      <c r="I16" s="64">
        <v>1.0</v>
      </c>
      <c r="J16" s="66" t="s">
        <v>196</v>
      </c>
      <c r="K16" s="67"/>
      <c r="L16" s="67"/>
      <c r="M16" s="68"/>
      <c r="N16" s="57"/>
      <c r="O16" s="57"/>
      <c r="P16" s="57"/>
      <c r="Q16" s="57"/>
      <c r="R16" s="57"/>
      <c r="S16" s="69"/>
      <c r="T16" s="57"/>
      <c r="U16" s="57"/>
      <c r="V16" s="70"/>
      <c r="W16" s="70"/>
      <c r="X16" s="70"/>
      <c r="Y16" s="71"/>
      <c r="Z16" s="71"/>
    </row>
    <row r="17" ht="15.75" customHeight="1">
      <c r="A17" s="57"/>
      <c r="B17" s="58"/>
      <c r="C17" s="59"/>
      <c r="D17" s="60"/>
      <c r="E17" s="60"/>
      <c r="F17" s="61" t="s">
        <v>266</v>
      </c>
      <c r="G17" s="62" t="s">
        <v>267</v>
      </c>
      <c r="H17" s="63">
        <v>5.5</v>
      </c>
      <c r="I17" s="64">
        <v>1.0</v>
      </c>
      <c r="J17" s="66" t="s">
        <v>269</v>
      </c>
      <c r="K17" s="67"/>
      <c r="L17" s="67"/>
      <c r="M17" s="68"/>
      <c r="N17" s="57"/>
      <c r="O17" s="57"/>
      <c r="P17" s="57"/>
      <c r="Q17" s="57"/>
      <c r="R17" s="57"/>
      <c r="S17" s="69"/>
      <c r="T17" s="57"/>
      <c r="U17" s="57"/>
      <c r="V17" s="70"/>
      <c r="W17" s="70"/>
      <c r="X17" s="70"/>
      <c r="Y17" s="71"/>
      <c r="Z17" s="71"/>
    </row>
    <row r="18" ht="15.75" customHeight="1">
      <c r="A18" s="57"/>
      <c r="B18" s="58"/>
      <c r="C18" s="59"/>
      <c r="D18" s="60"/>
      <c r="E18" s="60"/>
      <c r="F18" s="61" t="s">
        <v>279</v>
      </c>
      <c r="G18" s="62" t="s">
        <v>280</v>
      </c>
      <c r="H18" s="63">
        <v>11.0</v>
      </c>
      <c r="I18" s="64">
        <v>1.0</v>
      </c>
      <c r="J18" s="66" t="s">
        <v>196</v>
      </c>
      <c r="K18" s="67"/>
      <c r="L18" s="67"/>
      <c r="M18" s="68"/>
      <c r="N18" s="57"/>
      <c r="O18" s="57"/>
      <c r="P18" s="57"/>
      <c r="Q18" s="57"/>
      <c r="R18" s="57"/>
      <c r="S18" s="69"/>
      <c r="T18" s="57"/>
      <c r="U18" s="57"/>
      <c r="V18" s="70"/>
      <c r="W18" s="70"/>
      <c r="X18" s="70"/>
      <c r="Y18" s="71"/>
      <c r="Z18" s="71"/>
    </row>
    <row r="19" ht="15.75" customHeight="1">
      <c r="A19" s="43" t="s">
        <v>54</v>
      </c>
      <c r="B19" s="44" t="s">
        <v>17</v>
      </c>
      <c r="C19" s="45" t="s">
        <v>110</v>
      </c>
      <c r="D19" s="46" t="s">
        <v>111</v>
      </c>
      <c r="E19" s="46" t="s">
        <v>286</v>
      </c>
      <c r="F19" s="76" t="s">
        <v>287</v>
      </c>
      <c r="G19" s="77" t="s">
        <v>289</v>
      </c>
      <c r="H19" s="78">
        <v>11.0</v>
      </c>
      <c r="I19" s="78">
        <v>1.0</v>
      </c>
      <c r="J19" s="79" t="s">
        <v>290</v>
      </c>
      <c r="K19" s="50"/>
      <c r="L19" s="50"/>
      <c r="M19" s="48"/>
      <c r="N19" s="43"/>
      <c r="O19" s="43"/>
      <c r="P19" s="43"/>
      <c r="Q19" s="43"/>
      <c r="R19" s="43"/>
      <c r="S19" s="54"/>
      <c r="T19" s="43"/>
      <c r="U19" s="43"/>
      <c r="V19" s="56"/>
      <c r="W19" s="56"/>
      <c r="X19" s="56"/>
      <c r="Y19" s="80"/>
      <c r="Z19" s="80"/>
    </row>
    <row r="20" ht="15.75" customHeight="1">
      <c r="A20" s="43"/>
      <c r="B20" s="44"/>
      <c r="C20" s="45"/>
      <c r="D20" s="46"/>
      <c r="E20" s="46"/>
      <c r="F20" s="76" t="s">
        <v>294</v>
      </c>
      <c r="G20" s="77" t="s">
        <v>295</v>
      </c>
      <c r="H20" s="78">
        <v>0.5</v>
      </c>
      <c r="I20" s="78">
        <v>1.0</v>
      </c>
      <c r="J20" s="79" t="s">
        <v>166</v>
      </c>
      <c r="K20" s="50"/>
      <c r="L20" s="50"/>
      <c r="M20" s="48"/>
      <c r="N20" s="43"/>
      <c r="O20" s="43"/>
      <c r="P20" s="43"/>
      <c r="Q20" s="43"/>
      <c r="R20" s="43"/>
      <c r="S20" s="54"/>
      <c r="T20" s="43"/>
      <c r="U20" s="43"/>
      <c r="V20" s="56"/>
      <c r="W20" s="56"/>
      <c r="X20" s="56"/>
      <c r="Y20" s="80"/>
      <c r="Z20" s="80"/>
    </row>
    <row r="21" ht="15.75" customHeight="1">
      <c r="A21" s="43"/>
      <c r="B21" s="44"/>
      <c r="C21" s="45"/>
      <c r="D21" s="46"/>
      <c r="E21" s="46"/>
      <c r="F21" s="81" t="s">
        <v>98</v>
      </c>
      <c r="G21" s="77" t="s">
        <v>301</v>
      </c>
      <c r="H21" s="78">
        <v>0.5</v>
      </c>
      <c r="I21" s="78">
        <v>1.0</v>
      </c>
      <c r="J21" s="79" t="s">
        <v>166</v>
      </c>
      <c r="K21" s="50"/>
      <c r="L21" s="50"/>
      <c r="M21" s="48"/>
      <c r="N21" s="43"/>
      <c r="O21" s="43"/>
      <c r="P21" s="43"/>
      <c r="Q21" s="43"/>
      <c r="R21" s="43"/>
      <c r="S21" s="54"/>
      <c r="T21" s="43"/>
      <c r="U21" s="43"/>
      <c r="V21" s="56"/>
      <c r="W21" s="56"/>
      <c r="X21" s="56"/>
      <c r="Y21" s="80"/>
      <c r="Z21" s="80"/>
    </row>
    <row r="22" ht="15.75" customHeight="1">
      <c r="A22" s="43"/>
      <c r="B22" s="44"/>
      <c r="C22" s="45"/>
      <c r="D22" s="46"/>
      <c r="E22" s="46"/>
      <c r="F22" s="81" t="s">
        <v>305</v>
      </c>
      <c r="G22" s="77" t="s">
        <v>306</v>
      </c>
      <c r="H22" s="78">
        <v>1.0</v>
      </c>
      <c r="I22" s="78">
        <v>1.0</v>
      </c>
      <c r="J22" s="79" t="s">
        <v>308</v>
      </c>
      <c r="K22" s="50"/>
      <c r="L22" s="50"/>
      <c r="M22" s="48"/>
      <c r="N22" s="43"/>
      <c r="O22" s="43"/>
      <c r="P22" s="43"/>
      <c r="Q22" s="43"/>
      <c r="R22" s="43"/>
      <c r="S22" s="54"/>
      <c r="T22" s="43"/>
      <c r="U22" s="43"/>
      <c r="V22" s="56"/>
      <c r="W22" s="56"/>
      <c r="X22" s="56"/>
      <c r="Y22" s="80"/>
      <c r="Z22" s="80"/>
    </row>
    <row r="23" ht="15.75" customHeight="1">
      <c r="A23" s="43"/>
      <c r="B23" s="44"/>
      <c r="C23" s="45"/>
      <c r="D23" s="46"/>
      <c r="E23" s="46"/>
      <c r="F23" s="81" t="s">
        <v>311</v>
      </c>
      <c r="G23" s="77" t="s">
        <v>312</v>
      </c>
      <c r="H23" s="78">
        <v>1.0</v>
      </c>
      <c r="I23" s="78">
        <v>1.0</v>
      </c>
      <c r="J23" s="79" t="s">
        <v>166</v>
      </c>
      <c r="K23" s="50"/>
      <c r="L23" s="50"/>
      <c r="M23" s="48"/>
      <c r="N23" s="43"/>
      <c r="O23" s="43"/>
      <c r="P23" s="43"/>
      <c r="Q23" s="43"/>
      <c r="R23" s="43"/>
      <c r="S23" s="54"/>
      <c r="T23" s="43"/>
      <c r="U23" s="43"/>
      <c r="V23" s="56"/>
      <c r="W23" s="56"/>
      <c r="X23" s="56"/>
      <c r="Y23" s="80"/>
      <c r="Z23" s="80"/>
    </row>
    <row r="24" ht="15.75" customHeight="1">
      <c r="A24" s="43"/>
      <c r="B24" s="44"/>
      <c r="C24" s="45"/>
      <c r="D24" s="46"/>
      <c r="E24" s="46"/>
      <c r="F24" s="81" t="s">
        <v>323</v>
      </c>
      <c r="G24" s="77" t="s">
        <v>325</v>
      </c>
      <c r="H24" s="78">
        <v>5.5</v>
      </c>
      <c r="I24" s="78">
        <v>1.0</v>
      </c>
      <c r="J24" s="79" t="s">
        <v>166</v>
      </c>
      <c r="K24" s="50"/>
      <c r="L24" s="50"/>
      <c r="M24" s="48"/>
      <c r="N24" s="43"/>
      <c r="O24" s="43"/>
      <c r="P24" s="43"/>
      <c r="Q24" s="43"/>
      <c r="R24" s="43"/>
      <c r="S24" s="54"/>
      <c r="T24" s="43"/>
      <c r="U24" s="43"/>
      <c r="V24" s="56"/>
      <c r="W24" s="56"/>
      <c r="X24" s="56"/>
      <c r="Y24" s="80"/>
      <c r="Z24" s="80"/>
    </row>
    <row r="25" ht="15.75" customHeight="1">
      <c r="A25" s="43"/>
      <c r="B25" s="44"/>
      <c r="C25" s="45"/>
      <c r="D25" s="46"/>
      <c r="E25" s="46"/>
      <c r="F25" s="81" t="s">
        <v>136</v>
      </c>
      <c r="G25" s="77" t="s">
        <v>289</v>
      </c>
      <c r="H25" s="78">
        <v>11.0</v>
      </c>
      <c r="I25" s="78">
        <v>1.0</v>
      </c>
      <c r="J25" s="79" t="s">
        <v>166</v>
      </c>
      <c r="K25" s="50"/>
      <c r="L25" s="50"/>
      <c r="M25" s="48"/>
      <c r="N25" s="43"/>
      <c r="O25" s="43"/>
      <c r="P25" s="43"/>
      <c r="Q25" s="43"/>
      <c r="R25" s="43"/>
      <c r="S25" s="54"/>
      <c r="T25" s="43"/>
      <c r="U25" s="43"/>
      <c r="V25" s="56"/>
      <c r="W25" s="56"/>
      <c r="X25" s="56"/>
      <c r="Y25" s="80"/>
      <c r="Z25" s="80"/>
    </row>
    <row r="26" ht="15.75" customHeight="1">
      <c r="A26" s="43"/>
      <c r="B26" s="44"/>
      <c r="C26" s="45"/>
      <c r="D26" s="46"/>
      <c r="E26" s="46"/>
      <c r="F26" s="81" t="s">
        <v>359</v>
      </c>
      <c r="G26" s="77" t="s">
        <v>360</v>
      </c>
      <c r="H26" s="78">
        <v>1.0</v>
      </c>
      <c r="I26" s="78">
        <v>1.0</v>
      </c>
      <c r="J26" s="79" t="s">
        <v>308</v>
      </c>
      <c r="K26" s="50"/>
      <c r="L26" s="50"/>
      <c r="M26" s="48"/>
      <c r="N26" s="43"/>
      <c r="O26" s="43"/>
      <c r="P26" s="43"/>
      <c r="Q26" s="43"/>
      <c r="R26" s="43"/>
      <c r="S26" s="54"/>
      <c r="T26" s="43"/>
      <c r="U26" s="43"/>
      <c r="V26" s="56"/>
      <c r="W26" s="56"/>
      <c r="X26" s="56"/>
      <c r="Y26" s="80"/>
      <c r="Z26" s="80"/>
    </row>
    <row r="27" ht="15.75" customHeight="1">
      <c r="A27" s="43"/>
      <c r="B27" s="44"/>
      <c r="C27" s="45"/>
      <c r="D27" s="46"/>
      <c r="E27" s="46"/>
      <c r="F27" s="81" t="s">
        <v>364</v>
      </c>
      <c r="G27" s="77" t="s">
        <v>365</v>
      </c>
      <c r="H27" s="78">
        <v>5.0</v>
      </c>
      <c r="I27" s="78">
        <v>1.0</v>
      </c>
      <c r="J27" s="79" t="s">
        <v>366</v>
      </c>
      <c r="K27" s="50"/>
      <c r="L27" s="50"/>
      <c r="M27" s="48"/>
      <c r="N27" s="43"/>
      <c r="O27" s="43"/>
      <c r="P27" s="43"/>
      <c r="Q27" s="43"/>
      <c r="R27" s="43"/>
      <c r="S27" s="54"/>
      <c r="T27" s="43"/>
      <c r="U27" s="43"/>
      <c r="V27" s="56"/>
      <c r="W27" s="56"/>
      <c r="X27" s="56"/>
      <c r="Y27" s="80"/>
      <c r="Z27" s="80"/>
    </row>
    <row r="28" ht="15.75" customHeight="1">
      <c r="A28" s="43"/>
      <c r="B28" s="44"/>
      <c r="C28" s="45"/>
      <c r="D28" s="46"/>
      <c r="E28" s="46"/>
      <c r="F28" s="81" t="s">
        <v>15</v>
      </c>
      <c r="G28" s="92" t="s">
        <v>372</v>
      </c>
      <c r="H28" s="78">
        <v>1.0</v>
      </c>
      <c r="I28" s="78">
        <v>1.0</v>
      </c>
      <c r="J28" s="79" t="s">
        <v>166</v>
      </c>
      <c r="K28" s="50"/>
      <c r="L28" s="50"/>
      <c r="M28" s="48"/>
      <c r="N28" s="43"/>
      <c r="O28" s="43"/>
      <c r="P28" s="43"/>
      <c r="Q28" s="43"/>
      <c r="R28" s="43"/>
      <c r="S28" s="54"/>
      <c r="T28" s="43"/>
      <c r="U28" s="43"/>
      <c r="V28" s="56"/>
      <c r="W28" s="56"/>
      <c r="X28" s="56"/>
      <c r="Y28" s="80"/>
      <c r="Z28" s="80"/>
    </row>
    <row r="29" ht="15.75" customHeight="1">
      <c r="A29" s="43"/>
      <c r="B29" s="44"/>
      <c r="C29" s="45"/>
      <c r="D29" s="46"/>
      <c r="E29" s="46"/>
      <c r="F29" s="81" t="s">
        <v>379</v>
      </c>
      <c r="G29" s="77" t="s">
        <v>380</v>
      </c>
      <c r="H29" s="78">
        <v>1.0</v>
      </c>
      <c r="I29" s="78">
        <v>1.0</v>
      </c>
      <c r="J29" s="79" t="s">
        <v>166</v>
      </c>
      <c r="K29" s="50"/>
      <c r="L29" s="50"/>
      <c r="M29" s="48"/>
      <c r="N29" s="43"/>
      <c r="O29" s="43"/>
      <c r="P29" s="43"/>
      <c r="Q29" s="43"/>
      <c r="R29" s="43"/>
      <c r="S29" s="54"/>
      <c r="T29" s="43"/>
      <c r="U29" s="43"/>
      <c r="V29" s="56"/>
      <c r="W29" s="56"/>
      <c r="X29" s="56"/>
      <c r="Y29" s="80"/>
      <c r="Z29" s="80"/>
    </row>
    <row r="30" ht="15.75" customHeight="1">
      <c r="A30" s="43"/>
      <c r="B30" s="44"/>
      <c r="C30" s="45"/>
      <c r="D30" s="46"/>
      <c r="E30" s="46"/>
      <c r="F30" s="81" t="s">
        <v>385</v>
      </c>
      <c r="G30" s="77" t="s">
        <v>232</v>
      </c>
      <c r="H30" s="78">
        <v>1.0</v>
      </c>
      <c r="I30" s="78">
        <v>1.0</v>
      </c>
      <c r="J30" s="79" t="s">
        <v>166</v>
      </c>
      <c r="K30" s="50"/>
      <c r="L30" s="50"/>
      <c r="M30" s="48"/>
      <c r="N30" s="43"/>
      <c r="O30" s="43"/>
      <c r="P30" s="43"/>
      <c r="Q30" s="43"/>
      <c r="R30" s="43"/>
      <c r="S30" s="54"/>
      <c r="T30" s="43"/>
      <c r="U30" s="43"/>
      <c r="V30" s="56"/>
      <c r="W30" s="56"/>
      <c r="X30" s="56"/>
      <c r="Y30" s="80"/>
      <c r="Z30" s="80"/>
    </row>
    <row r="31" ht="15.75" customHeight="1">
      <c r="A31" s="43"/>
      <c r="B31" s="44"/>
      <c r="C31" s="45"/>
      <c r="D31" s="46"/>
      <c r="E31" s="46"/>
      <c r="F31" s="81" t="s">
        <v>393</v>
      </c>
      <c r="G31" s="77" t="s">
        <v>372</v>
      </c>
      <c r="H31" s="78">
        <v>1.0</v>
      </c>
      <c r="I31" s="78">
        <v>1.0</v>
      </c>
      <c r="J31" s="79" t="s">
        <v>166</v>
      </c>
      <c r="K31" s="50"/>
      <c r="L31" s="50"/>
      <c r="M31" s="48"/>
      <c r="N31" s="43"/>
      <c r="O31" s="43"/>
      <c r="P31" s="43"/>
      <c r="Q31" s="43"/>
      <c r="R31" s="43"/>
      <c r="S31" s="54"/>
      <c r="T31" s="43"/>
      <c r="U31" s="43"/>
      <c r="V31" s="56"/>
      <c r="W31" s="56"/>
      <c r="X31" s="56"/>
      <c r="Y31" s="80"/>
      <c r="Z31" s="80"/>
    </row>
    <row r="32" ht="15.75" customHeight="1">
      <c r="A32" s="43"/>
      <c r="B32" s="44"/>
      <c r="C32" s="45"/>
      <c r="D32" s="46"/>
      <c r="E32" s="46"/>
      <c r="F32" s="81" t="s">
        <v>398</v>
      </c>
      <c r="G32" s="77" t="s">
        <v>380</v>
      </c>
      <c r="H32" s="78">
        <v>1.0</v>
      </c>
      <c r="I32" s="78">
        <v>1.0</v>
      </c>
      <c r="J32" s="79" t="s">
        <v>166</v>
      </c>
      <c r="K32" s="50"/>
      <c r="L32" s="50"/>
      <c r="M32" s="48"/>
      <c r="N32" s="43"/>
      <c r="O32" s="43"/>
      <c r="P32" s="43"/>
      <c r="Q32" s="43"/>
      <c r="R32" s="43"/>
      <c r="S32" s="54"/>
      <c r="T32" s="43"/>
      <c r="U32" s="43"/>
      <c r="V32" s="56"/>
      <c r="W32" s="56"/>
      <c r="X32" s="56"/>
      <c r="Y32" s="80"/>
      <c r="Z32" s="80"/>
    </row>
    <row r="33" ht="15.75" customHeight="1">
      <c r="A33" s="43"/>
      <c r="B33" s="44"/>
      <c r="C33" s="45"/>
      <c r="D33" s="46"/>
      <c r="E33" s="46"/>
      <c r="F33" s="81" t="s">
        <v>403</v>
      </c>
      <c r="G33" s="77" t="s">
        <v>232</v>
      </c>
      <c r="H33" s="78">
        <v>1.0</v>
      </c>
      <c r="I33" s="78">
        <v>1.0</v>
      </c>
      <c r="J33" s="79" t="s">
        <v>166</v>
      </c>
      <c r="K33" s="50"/>
      <c r="L33" s="50"/>
      <c r="M33" s="48"/>
      <c r="N33" s="43"/>
      <c r="O33" s="43"/>
      <c r="P33" s="43"/>
      <c r="Q33" s="43"/>
      <c r="R33" s="43"/>
      <c r="S33" s="54"/>
      <c r="T33" s="43"/>
      <c r="U33" s="43"/>
      <c r="V33" s="56"/>
      <c r="W33" s="56"/>
      <c r="X33" s="56"/>
      <c r="Y33" s="80"/>
      <c r="Z33" s="80"/>
    </row>
    <row r="34" ht="15.75" customHeight="1">
      <c r="A34" s="43"/>
      <c r="B34" s="44"/>
      <c r="C34" s="45"/>
      <c r="D34" s="46"/>
      <c r="E34" s="46"/>
      <c r="F34" s="81" t="s">
        <v>410</v>
      </c>
      <c r="G34" s="77" t="s">
        <v>411</v>
      </c>
      <c r="H34" s="78">
        <v>11.0</v>
      </c>
      <c r="I34" s="78">
        <v>1.0</v>
      </c>
      <c r="J34" s="79" t="s">
        <v>269</v>
      </c>
      <c r="K34" s="50"/>
      <c r="L34" s="50"/>
      <c r="M34" s="48"/>
      <c r="N34" s="43"/>
      <c r="O34" s="43"/>
      <c r="P34" s="43"/>
      <c r="Q34" s="43"/>
      <c r="R34" s="43"/>
      <c r="S34" s="54"/>
      <c r="T34" s="43"/>
      <c r="U34" s="43"/>
      <c r="V34" s="56"/>
      <c r="W34" s="56"/>
      <c r="X34" s="56"/>
      <c r="Y34" s="80"/>
      <c r="Z34" s="80"/>
    </row>
    <row r="35" ht="15.75" customHeight="1">
      <c r="A35" s="43"/>
      <c r="B35" s="44"/>
      <c r="C35" s="45"/>
      <c r="D35" s="46"/>
      <c r="E35" s="46"/>
      <c r="F35" s="81" t="s">
        <v>417</v>
      </c>
      <c r="G35" s="77" t="s">
        <v>418</v>
      </c>
      <c r="H35" s="78">
        <v>27.5</v>
      </c>
      <c r="I35" s="78">
        <v>1.0</v>
      </c>
      <c r="J35" s="79" t="s">
        <v>166</v>
      </c>
      <c r="K35" s="50"/>
      <c r="L35" s="50"/>
      <c r="M35" s="48"/>
      <c r="N35" s="43"/>
      <c r="O35" s="43"/>
      <c r="P35" s="43"/>
      <c r="Q35" s="43"/>
      <c r="R35" s="43"/>
      <c r="S35" s="54"/>
      <c r="T35" s="43"/>
      <c r="U35" s="43"/>
      <c r="V35" s="56"/>
      <c r="W35" s="56"/>
      <c r="X35" s="56"/>
      <c r="Y35" s="80"/>
      <c r="Z35" s="80"/>
    </row>
    <row r="36" ht="15.75" customHeight="1">
      <c r="A36" s="43"/>
      <c r="B36" s="44"/>
      <c r="C36" s="45"/>
      <c r="D36" s="46"/>
      <c r="E36" s="46"/>
      <c r="F36" s="81" t="s">
        <v>422</v>
      </c>
      <c r="G36" s="77" t="s">
        <v>424</v>
      </c>
      <c r="H36" s="78">
        <v>5.5</v>
      </c>
      <c r="I36" s="78">
        <v>1.0</v>
      </c>
      <c r="J36" s="79" t="s">
        <v>366</v>
      </c>
      <c r="K36" s="50"/>
      <c r="L36" s="50"/>
      <c r="M36" s="48"/>
      <c r="N36" s="43"/>
      <c r="O36" s="43"/>
      <c r="P36" s="43"/>
      <c r="Q36" s="43"/>
      <c r="R36" s="43"/>
      <c r="S36" s="54"/>
      <c r="T36" s="43"/>
      <c r="U36" s="43"/>
      <c r="V36" s="56"/>
      <c r="W36" s="56"/>
      <c r="X36" s="56"/>
      <c r="Y36" s="80"/>
      <c r="Z36" s="80"/>
    </row>
    <row r="37" ht="15.75" customHeight="1">
      <c r="A37" s="43"/>
      <c r="B37" s="44"/>
      <c r="C37" s="45"/>
      <c r="D37" s="46"/>
      <c r="E37" s="46"/>
      <c r="F37" s="81" t="s">
        <v>430</v>
      </c>
      <c r="G37" s="77" t="s">
        <v>372</v>
      </c>
      <c r="H37" s="78">
        <v>1.0</v>
      </c>
      <c r="I37" s="78">
        <v>1.0</v>
      </c>
      <c r="J37" s="79" t="s">
        <v>166</v>
      </c>
      <c r="K37" s="50"/>
      <c r="L37" s="50"/>
      <c r="M37" s="48"/>
      <c r="N37" s="43"/>
      <c r="O37" s="43"/>
      <c r="P37" s="43"/>
      <c r="Q37" s="43"/>
      <c r="R37" s="43"/>
      <c r="S37" s="54"/>
      <c r="T37" s="43"/>
      <c r="U37" s="43"/>
      <c r="V37" s="56"/>
      <c r="W37" s="56"/>
      <c r="X37" s="56"/>
      <c r="Y37" s="80"/>
      <c r="Z37" s="80"/>
    </row>
    <row r="38" ht="15.75" customHeight="1">
      <c r="A38" s="43"/>
      <c r="B38" s="44"/>
      <c r="C38" s="45"/>
      <c r="D38" s="46"/>
      <c r="E38" s="46"/>
      <c r="F38" s="81" t="s">
        <v>438</v>
      </c>
      <c r="G38" s="77" t="s">
        <v>380</v>
      </c>
      <c r="H38" s="78">
        <v>1.0</v>
      </c>
      <c r="I38" s="78">
        <v>1.0</v>
      </c>
      <c r="J38" s="79" t="s">
        <v>166</v>
      </c>
      <c r="K38" s="50"/>
      <c r="L38" s="50"/>
      <c r="M38" s="48"/>
      <c r="N38" s="43"/>
      <c r="O38" s="43"/>
      <c r="P38" s="43"/>
      <c r="Q38" s="43"/>
      <c r="R38" s="43"/>
      <c r="S38" s="54"/>
      <c r="T38" s="43"/>
      <c r="U38" s="43"/>
      <c r="V38" s="56"/>
      <c r="W38" s="56"/>
      <c r="X38" s="56"/>
      <c r="Y38" s="80"/>
      <c r="Z38" s="80"/>
    </row>
    <row r="39" ht="15.75" customHeight="1">
      <c r="A39" s="43"/>
      <c r="B39" s="44"/>
      <c r="C39" s="45"/>
      <c r="D39" s="46"/>
      <c r="E39" s="46"/>
      <c r="F39" s="81" t="s">
        <v>445</v>
      </c>
      <c r="G39" s="77" t="s">
        <v>424</v>
      </c>
      <c r="H39" s="78">
        <v>11.0</v>
      </c>
      <c r="I39" s="78">
        <v>1.0</v>
      </c>
      <c r="J39" s="79" t="s">
        <v>166</v>
      </c>
      <c r="K39" s="50"/>
      <c r="L39" s="50"/>
      <c r="M39" s="48"/>
      <c r="N39" s="43"/>
      <c r="O39" s="43"/>
      <c r="P39" s="43"/>
      <c r="Q39" s="43"/>
      <c r="R39" s="43"/>
      <c r="S39" s="54"/>
      <c r="T39" s="43"/>
      <c r="U39" s="43"/>
      <c r="V39" s="56"/>
      <c r="W39" s="56"/>
      <c r="X39" s="56"/>
      <c r="Y39" s="80"/>
      <c r="Z39" s="80"/>
    </row>
    <row r="40" ht="15.75" customHeight="1">
      <c r="A40" s="95" t="s">
        <v>54</v>
      </c>
      <c r="B40" s="96" t="s">
        <v>17</v>
      </c>
      <c r="C40" s="98" t="s">
        <v>110</v>
      </c>
      <c r="D40" s="99" t="s">
        <v>111</v>
      </c>
      <c r="E40" s="99" t="s">
        <v>455</v>
      </c>
      <c r="F40" s="100" t="s">
        <v>114</v>
      </c>
      <c r="G40" s="101"/>
      <c r="H40" s="102"/>
      <c r="I40" s="102"/>
      <c r="J40" s="101"/>
      <c r="K40" s="103"/>
      <c r="L40" s="103"/>
      <c r="M40" s="101"/>
      <c r="N40" s="95"/>
      <c r="O40" s="95"/>
      <c r="P40" s="95"/>
      <c r="Q40" s="95"/>
      <c r="R40" s="95"/>
      <c r="S40" s="104" t="str">
        <f t="shared" ref="S40:S41" si="5">IFERROR(Q40/R40,"-")</f>
        <v>-</v>
      </c>
      <c r="T40" s="95" t="str">
        <f>'Kertas Kerja'!$I269</f>
        <v/>
      </c>
      <c r="U40" s="95" t="str">
        <f t="shared" ref="U40:U41" si="6">IFERROR(S40*T40,)</f>
        <v/>
      </c>
      <c r="V40" s="105">
        <f t="shared" ref="V40:V41" si="7">+U40/5.5</f>
        <v>0</v>
      </c>
      <c r="W40" s="105">
        <f t="shared" ref="W40:W41" si="8">U40/1250</f>
        <v>0</v>
      </c>
      <c r="X40" s="105"/>
      <c r="Y40" s="106"/>
      <c r="Z40" s="106"/>
    </row>
    <row r="41" ht="15.75" customHeight="1">
      <c r="A41" s="95" t="s">
        <v>54</v>
      </c>
      <c r="B41" s="96" t="s">
        <v>17</v>
      </c>
      <c r="C41" s="98" t="s">
        <v>110</v>
      </c>
      <c r="D41" s="99" t="s">
        <v>111</v>
      </c>
      <c r="E41" s="99" t="s">
        <v>174</v>
      </c>
      <c r="F41" s="100" t="s">
        <v>114</v>
      </c>
      <c r="G41" s="101"/>
      <c r="H41" s="102"/>
      <c r="I41" s="102"/>
      <c r="J41" s="101"/>
      <c r="K41" s="103"/>
      <c r="L41" s="103"/>
      <c r="M41" s="101"/>
      <c r="N41" s="95"/>
      <c r="O41" s="95"/>
      <c r="P41" s="95"/>
      <c r="Q41" s="95"/>
      <c r="R41" s="95"/>
      <c r="S41" s="104" t="str">
        <f t="shared" si="5"/>
        <v>-</v>
      </c>
      <c r="T41" s="95" t="str">
        <f>'Kertas Kerja'!$I270</f>
        <v/>
      </c>
      <c r="U41" s="95" t="str">
        <f t="shared" si="6"/>
        <v/>
      </c>
      <c r="V41" s="105">
        <f t="shared" si="7"/>
        <v>0</v>
      </c>
      <c r="W41" s="105">
        <f t="shared" si="8"/>
        <v>0</v>
      </c>
      <c r="X41" s="105"/>
      <c r="Y41" s="106"/>
      <c r="Z41" s="106"/>
    </row>
    <row r="42" ht="15.75" customHeight="1">
      <c r="A42" s="107" t="s">
        <v>54</v>
      </c>
      <c r="B42" s="108" t="s">
        <v>17</v>
      </c>
      <c r="C42" s="109" t="s">
        <v>110</v>
      </c>
      <c r="D42" s="110" t="s">
        <v>472</v>
      </c>
      <c r="E42" s="110" t="s">
        <v>475</v>
      </c>
      <c r="F42" s="100" t="s">
        <v>477</v>
      </c>
      <c r="G42" s="100"/>
      <c r="H42" s="111"/>
      <c r="I42" s="111"/>
      <c r="J42" s="100"/>
      <c r="K42" s="103"/>
      <c r="L42" s="103"/>
      <c r="M42" s="101"/>
      <c r="N42" s="95"/>
      <c r="O42" s="95"/>
      <c r="P42" s="95"/>
      <c r="Q42" s="95"/>
      <c r="R42" s="95"/>
      <c r="S42" s="104"/>
      <c r="T42" s="95"/>
      <c r="U42" s="95"/>
      <c r="V42" s="105"/>
      <c r="W42" s="105"/>
      <c r="X42" s="105"/>
      <c r="Y42" s="106"/>
      <c r="Z42" s="106"/>
    </row>
    <row r="43" ht="15.75" customHeight="1">
      <c r="A43" s="107" t="s">
        <v>54</v>
      </c>
      <c r="B43" s="108" t="s">
        <v>17</v>
      </c>
      <c r="C43" s="109" t="s">
        <v>110</v>
      </c>
      <c r="D43" s="110" t="s">
        <v>472</v>
      </c>
      <c r="E43" s="110" t="s">
        <v>481</v>
      </c>
      <c r="F43" s="100" t="s">
        <v>477</v>
      </c>
      <c r="G43" s="100"/>
      <c r="H43" s="111"/>
      <c r="I43" s="111"/>
      <c r="J43" s="100"/>
      <c r="K43" s="103"/>
      <c r="L43" s="103"/>
      <c r="M43" s="101"/>
      <c r="N43" s="95"/>
      <c r="O43" s="95"/>
      <c r="P43" s="95"/>
      <c r="Q43" s="95"/>
      <c r="R43" s="95"/>
      <c r="S43" s="104"/>
      <c r="T43" s="95"/>
      <c r="U43" s="95"/>
      <c r="V43" s="105"/>
      <c r="W43" s="105"/>
      <c r="X43" s="105"/>
      <c r="Y43" s="106"/>
      <c r="Z43" s="106"/>
    </row>
    <row r="44" ht="15.75" customHeight="1">
      <c r="A44" s="95" t="s">
        <v>54</v>
      </c>
      <c r="B44" s="96" t="s">
        <v>17</v>
      </c>
      <c r="C44" s="98" t="s">
        <v>110</v>
      </c>
      <c r="D44" s="99" t="s">
        <v>485</v>
      </c>
      <c r="E44" s="99" t="s">
        <v>486</v>
      </c>
      <c r="F44" s="100" t="s">
        <v>488</v>
      </c>
      <c r="G44" s="101"/>
      <c r="H44" s="102"/>
      <c r="I44" s="102"/>
      <c r="J44" s="101"/>
      <c r="K44" s="103"/>
      <c r="L44" s="103"/>
      <c r="M44" s="101"/>
      <c r="N44" s="95"/>
      <c r="O44" s="95"/>
      <c r="P44" s="95"/>
      <c r="Q44" s="95"/>
      <c r="R44" s="95"/>
      <c r="S44" s="104" t="str">
        <f t="shared" ref="S44:S45" si="9">IFERROR(Q44/R44,"-")</f>
        <v>-</v>
      </c>
      <c r="T44" s="95" t="str">
        <f>'Kertas Kerja'!$I271</f>
        <v/>
      </c>
      <c r="U44" s="95" t="str">
        <f t="shared" ref="U44:U45" si="10">IFERROR(S44*T44,)</f>
        <v/>
      </c>
      <c r="V44" s="105">
        <f t="shared" ref="V44:V45" si="11">+U44/5.5</f>
        <v>0</v>
      </c>
      <c r="W44" s="105">
        <f t="shared" ref="W44:W45" si="12">U44/1250</f>
        <v>0</v>
      </c>
      <c r="X44" s="105"/>
      <c r="Y44" s="106"/>
      <c r="Z44" s="106"/>
    </row>
    <row r="45" ht="15.75" customHeight="1">
      <c r="A45" s="43" t="s">
        <v>54</v>
      </c>
      <c r="B45" s="44" t="s">
        <v>17</v>
      </c>
      <c r="C45" s="45" t="s">
        <v>110</v>
      </c>
      <c r="D45" s="46" t="s">
        <v>485</v>
      </c>
      <c r="E45" s="46" t="s">
        <v>499</v>
      </c>
      <c r="F45" s="92" t="s">
        <v>501</v>
      </c>
      <c r="G45" s="92" t="s">
        <v>502</v>
      </c>
      <c r="H45" s="112">
        <v>5.5</v>
      </c>
      <c r="I45" s="112">
        <v>1.0</v>
      </c>
      <c r="J45" s="92" t="s">
        <v>151</v>
      </c>
      <c r="K45" s="50"/>
      <c r="L45" s="50"/>
      <c r="M45" s="48"/>
      <c r="N45" s="43"/>
      <c r="O45" s="43"/>
      <c r="P45" s="43"/>
      <c r="Q45" s="43"/>
      <c r="R45" s="43"/>
      <c r="S45" s="54" t="str">
        <f t="shared" si="9"/>
        <v>-</v>
      </c>
      <c r="T45" s="43" t="str">
        <f>'Kertas Kerja'!$I272</f>
        <v/>
      </c>
      <c r="U45" s="43" t="str">
        <f t="shared" si="10"/>
        <v/>
      </c>
      <c r="V45" s="56">
        <f t="shared" si="11"/>
        <v>0</v>
      </c>
      <c r="W45" s="56">
        <f t="shared" si="12"/>
        <v>0</v>
      </c>
      <c r="X45" s="56"/>
    </row>
    <row r="46" ht="15.75" customHeight="1">
      <c r="A46" s="43"/>
      <c r="B46" s="44"/>
      <c r="C46" s="45"/>
      <c r="D46" s="46"/>
      <c r="E46" s="46"/>
      <c r="F46" s="92" t="s">
        <v>513</v>
      </c>
      <c r="G46" s="92" t="s">
        <v>515</v>
      </c>
      <c r="H46" s="112">
        <v>5.5</v>
      </c>
      <c r="I46" s="112">
        <v>1.0</v>
      </c>
      <c r="J46" s="92" t="s">
        <v>322</v>
      </c>
      <c r="K46" s="50"/>
      <c r="L46" s="50"/>
      <c r="M46" s="48"/>
      <c r="N46" s="43"/>
      <c r="O46" s="43"/>
      <c r="P46" s="43"/>
      <c r="Q46" s="43"/>
      <c r="R46" s="43"/>
      <c r="S46" s="54"/>
      <c r="T46" s="43"/>
      <c r="U46" s="43"/>
      <c r="V46" s="56"/>
      <c r="W46" s="56"/>
      <c r="X46" s="56"/>
    </row>
    <row r="47" ht="15.75" customHeight="1">
      <c r="A47" s="43"/>
      <c r="B47" s="44"/>
      <c r="C47" s="45"/>
      <c r="D47" s="46"/>
      <c r="E47" s="46"/>
      <c r="F47" s="92" t="s">
        <v>521</v>
      </c>
      <c r="G47" s="92" t="s">
        <v>522</v>
      </c>
      <c r="H47" s="112">
        <v>11.0</v>
      </c>
      <c r="I47" s="112">
        <v>1.0</v>
      </c>
      <c r="J47" s="92" t="s">
        <v>322</v>
      </c>
      <c r="K47" s="50"/>
      <c r="L47" s="50"/>
      <c r="M47" s="48"/>
      <c r="N47" s="43"/>
      <c r="O47" s="43"/>
      <c r="P47" s="43"/>
      <c r="Q47" s="43"/>
      <c r="R47" s="43"/>
      <c r="S47" s="54"/>
      <c r="T47" s="43"/>
      <c r="U47" s="43"/>
      <c r="V47" s="56"/>
      <c r="W47" s="56"/>
      <c r="X47" s="56"/>
    </row>
    <row r="48" ht="15.75" customHeight="1">
      <c r="A48" s="43"/>
      <c r="B48" s="44"/>
      <c r="C48" s="45"/>
      <c r="D48" s="46"/>
      <c r="E48" s="46"/>
      <c r="F48" s="92" t="s">
        <v>98</v>
      </c>
      <c r="G48" s="92" t="s">
        <v>527</v>
      </c>
      <c r="H48" s="112">
        <v>5.5</v>
      </c>
      <c r="I48" s="112">
        <v>1.0</v>
      </c>
      <c r="J48" s="92" t="s">
        <v>322</v>
      </c>
      <c r="K48" s="50"/>
      <c r="L48" s="50"/>
      <c r="M48" s="48"/>
      <c r="N48" s="43"/>
      <c r="O48" s="43"/>
      <c r="P48" s="43"/>
      <c r="Q48" s="43"/>
      <c r="R48" s="43"/>
      <c r="S48" s="54"/>
      <c r="T48" s="43"/>
      <c r="U48" s="43"/>
      <c r="V48" s="56"/>
      <c r="W48" s="56"/>
      <c r="X48" s="56"/>
    </row>
    <row r="49" ht="15.75" customHeight="1">
      <c r="A49" s="43"/>
      <c r="B49" s="44"/>
      <c r="C49" s="45"/>
      <c r="D49" s="46"/>
      <c r="E49" s="46"/>
      <c r="F49" s="92" t="s">
        <v>533</v>
      </c>
      <c r="G49" s="92" t="s">
        <v>534</v>
      </c>
      <c r="H49" s="112">
        <v>5.5</v>
      </c>
      <c r="I49" s="112">
        <v>1.0</v>
      </c>
      <c r="J49" s="92" t="s">
        <v>536</v>
      </c>
      <c r="K49" s="50"/>
      <c r="L49" s="50"/>
      <c r="M49" s="48"/>
      <c r="N49" s="43"/>
      <c r="O49" s="43"/>
      <c r="P49" s="43"/>
      <c r="Q49" s="43"/>
      <c r="R49" s="43"/>
      <c r="S49" s="54"/>
      <c r="T49" s="43"/>
      <c r="U49" s="43"/>
      <c r="V49" s="56"/>
      <c r="W49" s="56"/>
      <c r="X49" s="56"/>
    </row>
    <row r="50" ht="15.75" customHeight="1">
      <c r="A50" s="43"/>
      <c r="B50" s="44"/>
      <c r="C50" s="45"/>
      <c r="D50" s="46"/>
      <c r="E50" s="46"/>
      <c r="F50" s="92" t="s">
        <v>311</v>
      </c>
      <c r="G50" s="92" t="s">
        <v>540</v>
      </c>
      <c r="H50" s="112">
        <v>5.5</v>
      </c>
      <c r="I50" s="112">
        <v>1.0</v>
      </c>
      <c r="J50" s="92" t="s">
        <v>322</v>
      </c>
      <c r="K50" s="50"/>
      <c r="L50" s="50"/>
      <c r="M50" s="48"/>
      <c r="N50" s="43"/>
      <c r="O50" s="43"/>
      <c r="P50" s="43"/>
      <c r="Q50" s="43"/>
      <c r="R50" s="43"/>
      <c r="S50" s="54"/>
      <c r="T50" s="43"/>
      <c r="U50" s="43"/>
      <c r="V50" s="56"/>
      <c r="W50" s="56"/>
      <c r="X50" s="56"/>
    </row>
    <row r="51" ht="15.75" customHeight="1">
      <c r="A51" s="43"/>
      <c r="B51" s="44"/>
      <c r="C51" s="45"/>
      <c r="D51" s="46"/>
      <c r="E51" s="46"/>
      <c r="F51" s="92" t="s">
        <v>542</v>
      </c>
      <c r="G51" s="92" t="s">
        <v>543</v>
      </c>
      <c r="H51" s="112">
        <v>5.5</v>
      </c>
      <c r="I51" s="112">
        <v>1.0</v>
      </c>
      <c r="J51" s="92" t="s">
        <v>322</v>
      </c>
      <c r="K51" s="50"/>
      <c r="L51" s="50"/>
      <c r="M51" s="48"/>
      <c r="N51" s="43"/>
      <c r="O51" s="43"/>
      <c r="P51" s="43"/>
      <c r="Q51" s="43"/>
      <c r="R51" s="43"/>
      <c r="S51" s="54"/>
      <c r="T51" s="43"/>
      <c r="U51" s="43"/>
      <c r="V51" s="56"/>
      <c r="W51" s="56"/>
      <c r="X51" s="56"/>
    </row>
    <row r="52" ht="15.75" customHeight="1">
      <c r="A52" s="43"/>
      <c r="B52" s="44"/>
      <c r="C52" s="45"/>
      <c r="D52" s="46"/>
      <c r="E52" s="46"/>
      <c r="F52" s="92" t="s">
        <v>136</v>
      </c>
      <c r="G52" s="92" t="s">
        <v>546</v>
      </c>
      <c r="H52" s="112">
        <v>11.0</v>
      </c>
      <c r="I52" s="112">
        <v>1.0</v>
      </c>
      <c r="J52" s="92" t="s">
        <v>151</v>
      </c>
      <c r="K52" s="50"/>
      <c r="L52" s="50"/>
      <c r="M52" s="48"/>
      <c r="N52" s="43"/>
      <c r="O52" s="43"/>
      <c r="P52" s="43"/>
      <c r="Q52" s="43"/>
      <c r="R52" s="43"/>
      <c r="S52" s="54"/>
      <c r="T52" s="43"/>
      <c r="U52" s="43"/>
      <c r="V52" s="56"/>
      <c r="W52" s="56"/>
      <c r="X52" s="56"/>
    </row>
    <row r="53" ht="15.75" customHeight="1">
      <c r="A53" s="43"/>
      <c r="B53" s="44"/>
      <c r="C53" s="45"/>
      <c r="D53" s="46"/>
      <c r="E53" s="46"/>
      <c r="F53" s="92" t="s">
        <v>549</v>
      </c>
      <c r="G53" s="92" t="s">
        <v>550</v>
      </c>
      <c r="H53" s="112">
        <v>5.5</v>
      </c>
      <c r="I53" s="112">
        <v>1.0</v>
      </c>
      <c r="J53" s="92" t="s">
        <v>536</v>
      </c>
      <c r="K53" s="50"/>
      <c r="L53" s="50"/>
      <c r="M53" s="48"/>
      <c r="N53" s="43"/>
      <c r="O53" s="43"/>
      <c r="P53" s="43"/>
      <c r="Q53" s="43"/>
      <c r="R53" s="43"/>
      <c r="S53" s="54"/>
      <c r="T53" s="43"/>
      <c r="U53" s="43"/>
      <c r="V53" s="56"/>
      <c r="W53" s="56"/>
      <c r="X53" s="56"/>
    </row>
    <row r="54" ht="15.75" customHeight="1">
      <c r="A54" s="43"/>
      <c r="B54" s="44"/>
      <c r="C54" s="45"/>
      <c r="D54" s="46"/>
      <c r="E54" s="46"/>
      <c r="F54" s="92" t="s">
        <v>364</v>
      </c>
      <c r="G54" s="92" t="s">
        <v>554</v>
      </c>
      <c r="H54" s="112">
        <v>5.5</v>
      </c>
      <c r="I54" s="112">
        <v>1.0</v>
      </c>
      <c r="J54" s="92" t="s">
        <v>322</v>
      </c>
      <c r="K54" s="50"/>
      <c r="L54" s="50"/>
      <c r="M54" s="48"/>
      <c r="N54" s="43"/>
      <c r="O54" s="43"/>
      <c r="P54" s="43"/>
      <c r="Q54" s="43"/>
      <c r="R54" s="43"/>
      <c r="S54" s="54"/>
      <c r="T54" s="43"/>
      <c r="U54" s="43"/>
      <c r="V54" s="56"/>
      <c r="W54" s="56"/>
      <c r="X54" s="56"/>
    </row>
    <row r="55" ht="15.75" customHeight="1">
      <c r="A55" s="43"/>
      <c r="B55" s="44"/>
      <c r="C55" s="45"/>
      <c r="D55" s="46"/>
      <c r="E55" s="46"/>
      <c r="F55" s="92" t="s">
        <v>559</v>
      </c>
      <c r="G55" s="92" t="s">
        <v>560</v>
      </c>
      <c r="H55" s="112">
        <v>5.5</v>
      </c>
      <c r="I55" s="112">
        <v>1.0</v>
      </c>
      <c r="J55" s="92" t="s">
        <v>322</v>
      </c>
      <c r="K55" s="50"/>
      <c r="L55" s="50"/>
      <c r="M55" s="48"/>
      <c r="N55" s="43"/>
      <c r="O55" s="43"/>
      <c r="P55" s="43"/>
      <c r="Q55" s="43"/>
      <c r="R55" s="43"/>
      <c r="S55" s="54"/>
      <c r="T55" s="43"/>
      <c r="U55" s="43"/>
      <c r="V55" s="56"/>
      <c r="W55" s="56"/>
      <c r="X55" s="56"/>
    </row>
    <row r="56" ht="15.75" customHeight="1">
      <c r="A56" s="43"/>
      <c r="B56" s="44"/>
      <c r="C56" s="45"/>
      <c r="D56" s="46"/>
      <c r="E56" s="46"/>
      <c r="F56" s="92" t="s">
        <v>379</v>
      </c>
      <c r="G56" s="92" t="s">
        <v>563</v>
      </c>
      <c r="H56" s="112">
        <v>5.5</v>
      </c>
      <c r="I56" s="112">
        <v>1.0</v>
      </c>
      <c r="J56" s="92" t="s">
        <v>322</v>
      </c>
      <c r="K56" s="50"/>
      <c r="L56" s="50"/>
      <c r="M56" s="48"/>
      <c r="N56" s="43"/>
      <c r="O56" s="43"/>
      <c r="P56" s="43"/>
      <c r="Q56" s="43"/>
      <c r="R56" s="43"/>
      <c r="S56" s="54"/>
      <c r="T56" s="43"/>
      <c r="U56" s="43"/>
      <c r="V56" s="56"/>
      <c r="W56" s="56"/>
      <c r="X56" s="56"/>
    </row>
    <row r="57" ht="15.75" customHeight="1">
      <c r="A57" s="43"/>
      <c r="B57" s="44"/>
      <c r="C57" s="45"/>
      <c r="D57" s="46"/>
      <c r="E57" s="46"/>
      <c r="F57" s="92" t="s">
        <v>385</v>
      </c>
      <c r="G57" s="92" t="s">
        <v>567</v>
      </c>
      <c r="H57" s="112">
        <v>5.5</v>
      </c>
      <c r="I57" s="112">
        <v>1.0</v>
      </c>
      <c r="J57" s="92" t="s">
        <v>322</v>
      </c>
      <c r="K57" s="50"/>
      <c r="L57" s="50"/>
      <c r="M57" s="48"/>
      <c r="N57" s="43"/>
      <c r="O57" s="43"/>
      <c r="P57" s="43"/>
      <c r="Q57" s="43"/>
      <c r="R57" s="43"/>
      <c r="S57" s="54"/>
      <c r="T57" s="43"/>
      <c r="U57" s="43"/>
      <c r="V57" s="56"/>
      <c r="W57" s="56"/>
      <c r="X57" s="56"/>
    </row>
    <row r="58" ht="15.75" customHeight="1">
      <c r="A58" s="43"/>
      <c r="B58" s="44"/>
      <c r="C58" s="45"/>
      <c r="D58" s="46"/>
      <c r="E58" s="46"/>
      <c r="F58" s="92" t="s">
        <v>573</v>
      </c>
      <c r="G58" s="92" t="s">
        <v>574</v>
      </c>
      <c r="H58" s="112">
        <v>5.5</v>
      </c>
      <c r="I58" s="112">
        <v>1.0</v>
      </c>
      <c r="J58" s="92" t="s">
        <v>322</v>
      </c>
      <c r="K58" s="50"/>
      <c r="L58" s="50"/>
      <c r="M58" s="48"/>
      <c r="N58" s="43"/>
      <c r="O58" s="43"/>
      <c r="P58" s="43"/>
      <c r="Q58" s="43"/>
      <c r="R58" s="43"/>
      <c r="S58" s="54"/>
      <c r="T58" s="43"/>
      <c r="U58" s="43"/>
      <c r="V58" s="56"/>
      <c r="W58" s="56"/>
      <c r="X58" s="56"/>
    </row>
    <row r="59" ht="15.75" customHeight="1">
      <c r="A59" s="43"/>
      <c r="B59" s="44"/>
      <c r="C59" s="45"/>
      <c r="D59" s="46"/>
      <c r="E59" s="46"/>
      <c r="F59" s="92" t="s">
        <v>579</v>
      </c>
      <c r="G59" s="92" t="s">
        <v>580</v>
      </c>
      <c r="H59" s="112">
        <v>5.5</v>
      </c>
      <c r="I59" s="112">
        <v>1.0</v>
      </c>
      <c r="J59" s="92" t="s">
        <v>322</v>
      </c>
      <c r="K59" s="50"/>
      <c r="L59" s="50"/>
      <c r="M59" s="48"/>
      <c r="N59" s="43"/>
      <c r="O59" s="43"/>
      <c r="P59" s="43"/>
      <c r="Q59" s="43"/>
      <c r="R59" s="43"/>
      <c r="S59" s="54"/>
      <c r="T59" s="43"/>
      <c r="U59" s="43"/>
      <c r="V59" s="56"/>
      <c r="W59" s="56"/>
      <c r="X59" s="56"/>
    </row>
    <row r="60" ht="15.75" customHeight="1">
      <c r="A60" s="43"/>
      <c r="B60" s="44"/>
      <c r="C60" s="45"/>
      <c r="D60" s="46"/>
      <c r="E60" s="46"/>
      <c r="F60" s="92" t="s">
        <v>403</v>
      </c>
      <c r="G60" s="92" t="s">
        <v>583</v>
      </c>
      <c r="H60" s="112">
        <v>5.5</v>
      </c>
      <c r="I60" s="112">
        <v>1.0</v>
      </c>
      <c r="J60" s="92" t="s">
        <v>322</v>
      </c>
      <c r="K60" s="50"/>
      <c r="L60" s="50"/>
      <c r="M60" s="48"/>
      <c r="N60" s="43"/>
      <c r="O60" s="43"/>
      <c r="P60" s="43"/>
      <c r="Q60" s="43"/>
      <c r="R60" s="43"/>
      <c r="S60" s="54"/>
      <c r="T60" s="43"/>
      <c r="U60" s="43"/>
      <c r="V60" s="56"/>
      <c r="W60" s="56"/>
      <c r="X60" s="56"/>
    </row>
    <row r="61" ht="15.75" customHeight="1">
      <c r="A61" s="43"/>
      <c r="B61" s="44"/>
      <c r="C61" s="45"/>
      <c r="D61" s="46"/>
      <c r="E61" s="46"/>
      <c r="F61" s="92" t="s">
        <v>588</v>
      </c>
      <c r="G61" s="92" t="s">
        <v>589</v>
      </c>
      <c r="H61" s="112">
        <v>11.0</v>
      </c>
      <c r="I61" s="112">
        <v>1.0</v>
      </c>
      <c r="J61" s="92" t="s">
        <v>349</v>
      </c>
      <c r="K61" s="50"/>
      <c r="L61" s="50"/>
      <c r="M61" s="48"/>
      <c r="N61" s="43"/>
      <c r="O61" s="43"/>
      <c r="P61" s="43"/>
      <c r="Q61" s="43"/>
      <c r="R61" s="43"/>
      <c r="S61" s="54"/>
      <c r="T61" s="43"/>
      <c r="U61" s="43"/>
      <c r="V61" s="56"/>
      <c r="W61" s="56"/>
      <c r="X61" s="56"/>
    </row>
    <row r="62" ht="15.75" customHeight="1">
      <c r="A62" s="43"/>
      <c r="B62" s="44"/>
      <c r="C62" s="45"/>
      <c r="D62" s="46"/>
      <c r="E62" s="46"/>
      <c r="F62" s="92" t="s">
        <v>593</v>
      </c>
      <c r="G62" s="92" t="s">
        <v>594</v>
      </c>
      <c r="H62" s="112">
        <v>22.0</v>
      </c>
      <c r="I62" s="112">
        <v>1.0</v>
      </c>
      <c r="J62" s="92" t="s">
        <v>536</v>
      </c>
      <c r="K62" s="50"/>
      <c r="L62" s="50"/>
      <c r="M62" s="48"/>
      <c r="N62" s="43"/>
      <c r="O62" s="43"/>
      <c r="P62" s="43"/>
      <c r="Q62" s="43"/>
      <c r="R62" s="43"/>
      <c r="S62" s="54"/>
      <c r="T62" s="43"/>
      <c r="U62" s="43"/>
      <c r="V62" s="56"/>
      <c r="W62" s="56"/>
      <c r="X62" s="56"/>
    </row>
    <row r="63" ht="15.75" customHeight="1">
      <c r="A63" s="43"/>
      <c r="B63" s="44"/>
      <c r="C63" s="45"/>
      <c r="D63" s="46"/>
      <c r="E63" s="46"/>
      <c r="F63" s="92" t="s">
        <v>597</v>
      </c>
      <c r="G63" s="92" t="s">
        <v>598</v>
      </c>
      <c r="H63" s="112">
        <v>11.0</v>
      </c>
      <c r="I63" s="112">
        <v>1.0</v>
      </c>
      <c r="J63" s="92" t="s">
        <v>322</v>
      </c>
      <c r="K63" s="50"/>
      <c r="L63" s="50"/>
      <c r="M63" s="48"/>
      <c r="N63" s="43"/>
      <c r="O63" s="43"/>
      <c r="P63" s="43"/>
      <c r="Q63" s="43"/>
      <c r="R63" s="43"/>
      <c r="S63" s="54"/>
      <c r="T63" s="43"/>
      <c r="U63" s="43"/>
      <c r="V63" s="56"/>
      <c r="W63" s="56"/>
      <c r="X63" s="56"/>
    </row>
    <row r="64" ht="15.75" customHeight="1">
      <c r="A64" s="43"/>
      <c r="B64" s="44"/>
      <c r="C64" s="45"/>
      <c r="D64" s="46"/>
      <c r="E64" s="46"/>
      <c r="F64" s="92" t="s">
        <v>603</v>
      </c>
      <c r="G64" s="92" t="s">
        <v>604</v>
      </c>
      <c r="H64" s="112">
        <v>16.5</v>
      </c>
      <c r="I64" s="112">
        <v>1.0</v>
      </c>
      <c r="J64" s="92" t="s">
        <v>349</v>
      </c>
      <c r="K64" s="50"/>
      <c r="L64" s="50"/>
      <c r="M64" s="48"/>
      <c r="N64" s="43"/>
      <c r="O64" s="43"/>
      <c r="P64" s="43"/>
      <c r="Q64" s="43"/>
      <c r="R64" s="43"/>
      <c r="S64" s="54"/>
      <c r="T64" s="43"/>
      <c r="U64" s="43"/>
      <c r="V64" s="56"/>
      <c r="W64" s="56"/>
      <c r="X64" s="56"/>
    </row>
    <row r="65" ht="15.75" customHeight="1">
      <c r="A65" s="43"/>
      <c r="B65" s="44"/>
      <c r="C65" s="45"/>
      <c r="D65" s="46"/>
      <c r="E65" s="46"/>
      <c r="F65" s="92" t="s">
        <v>422</v>
      </c>
      <c r="G65" s="92" t="s">
        <v>608</v>
      </c>
      <c r="H65" s="112">
        <v>11.0</v>
      </c>
      <c r="I65" s="112">
        <v>1.0</v>
      </c>
      <c r="J65" s="92" t="s">
        <v>196</v>
      </c>
      <c r="K65" s="50"/>
      <c r="L65" s="50"/>
      <c r="M65" s="48"/>
      <c r="N65" s="43"/>
      <c r="O65" s="43"/>
      <c r="P65" s="43"/>
      <c r="Q65" s="43"/>
      <c r="R65" s="43"/>
      <c r="S65" s="54"/>
      <c r="T65" s="43"/>
      <c r="U65" s="43"/>
      <c r="V65" s="56"/>
      <c r="W65" s="56"/>
      <c r="X65" s="56"/>
    </row>
    <row r="66" ht="15.75" customHeight="1">
      <c r="A66" s="57" t="s">
        <v>54</v>
      </c>
      <c r="B66" s="58" t="s">
        <v>17</v>
      </c>
      <c r="C66" s="59" t="s">
        <v>110</v>
      </c>
      <c r="D66" s="60" t="s">
        <v>485</v>
      </c>
      <c r="E66" s="60" t="s">
        <v>611</v>
      </c>
      <c r="F66" s="62" t="s">
        <v>294</v>
      </c>
      <c r="G66" s="62" t="s">
        <v>613</v>
      </c>
      <c r="H66" s="63">
        <v>5.5</v>
      </c>
      <c r="I66" s="113">
        <v>4.0</v>
      </c>
      <c r="J66" s="62" t="s">
        <v>322</v>
      </c>
      <c r="K66" s="67"/>
      <c r="L66" s="67"/>
      <c r="M66" s="68"/>
      <c r="N66" s="57"/>
      <c r="O66" s="57"/>
      <c r="P66" s="57"/>
      <c r="Q66" s="57"/>
      <c r="R66" s="57"/>
      <c r="S66" s="69" t="str">
        <f>IFERROR(Q66/R66,"-")</f>
        <v>-</v>
      </c>
      <c r="T66" s="57" t="str">
        <f>'Kertas Kerja'!$I273</f>
        <v/>
      </c>
      <c r="U66" s="57" t="str">
        <f>IFERROR(S66*T66,)</f>
        <v/>
      </c>
      <c r="V66" s="70">
        <f>+U66/5.5</f>
        <v>0</v>
      </c>
      <c r="W66" s="70">
        <f>U66/1250</f>
        <v>0</v>
      </c>
      <c r="X66" s="70"/>
    </row>
    <row r="67" ht="15.75" customHeight="1">
      <c r="A67" s="57"/>
      <c r="B67" s="58"/>
      <c r="C67" s="59"/>
      <c r="D67" s="60"/>
      <c r="E67" s="60"/>
      <c r="F67" s="62" t="s">
        <v>623</v>
      </c>
      <c r="G67" s="62" t="s">
        <v>624</v>
      </c>
      <c r="H67" s="63">
        <v>11.0</v>
      </c>
      <c r="I67" s="113">
        <v>4.0</v>
      </c>
      <c r="J67" s="62" t="s">
        <v>322</v>
      </c>
      <c r="K67" s="67"/>
      <c r="L67" s="67"/>
      <c r="M67" s="68"/>
      <c r="N67" s="57"/>
      <c r="O67" s="57"/>
      <c r="P67" s="57"/>
      <c r="Q67" s="57"/>
      <c r="R67" s="57"/>
      <c r="S67" s="69"/>
      <c r="T67" s="57"/>
      <c r="U67" s="57"/>
      <c r="V67" s="70"/>
      <c r="W67" s="70"/>
      <c r="X67" s="70"/>
    </row>
    <row r="68" ht="15.75" customHeight="1">
      <c r="A68" s="57"/>
      <c r="B68" s="58"/>
      <c r="C68" s="59"/>
      <c r="D68" s="60"/>
      <c r="E68" s="60"/>
      <c r="F68" s="62" t="s">
        <v>98</v>
      </c>
      <c r="G68" s="62" t="s">
        <v>527</v>
      </c>
      <c r="H68" s="63">
        <v>5.5</v>
      </c>
      <c r="I68" s="113">
        <v>2.0</v>
      </c>
      <c r="J68" s="62" t="s">
        <v>322</v>
      </c>
      <c r="K68" s="67"/>
      <c r="L68" s="67"/>
      <c r="M68" s="68"/>
      <c r="N68" s="57"/>
      <c r="O68" s="57"/>
      <c r="P68" s="57"/>
      <c r="Q68" s="57"/>
      <c r="R68" s="57"/>
      <c r="S68" s="69"/>
      <c r="T68" s="57"/>
      <c r="U68" s="57"/>
      <c r="V68" s="70"/>
      <c r="W68" s="70"/>
      <c r="X68" s="70"/>
    </row>
    <row r="69" ht="15.75" customHeight="1">
      <c r="A69" s="57"/>
      <c r="B69" s="58"/>
      <c r="C69" s="59"/>
      <c r="D69" s="60"/>
      <c r="E69" s="60"/>
      <c r="F69" s="62" t="s">
        <v>628</v>
      </c>
      <c r="G69" s="62" t="s">
        <v>534</v>
      </c>
      <c r="H69" s="63">
        <v>5.5</v>
      </c>
      <c r="I69" s="113">
        <v>2.0</v>
      </c>
      <c r="J69" s="62" t="s">
        <v>536</v>
      </c>
      <c r="K69" s="67"/>
      <c r="L69" s="67"/>
      <c r="M69" s="68"/>
      <c r="N69" s="57"/>
      <c r="O69" s="57"/>
      <c r="P69" s="57"/>
      <c r="Q69" s="57"/>
      <c r="R69" s="57"/>
      <c r="S69" s="69"/>
      <c r="T69" s="57"/>
      <c r="U69" s="57"/>
      <c r="V69" s="70"/>
      <c r="W69" s="70"/>
      <c r="X69" s="70"/>
    </row>
    <row r="70" ht="15.75" customHeight="1">
      <c r="A70" s="57"/>
      <c r="B70" s="58"/>
      <c r="C70" s="59"/>
      <c r="D70" s="60"/>
      <c r="E70" s="60"/>
      <c r="F70" s="62" t="s">
        <v>311</v>
      </c>
      <c r="G70" s="62" t="s">
        <v>540</v>
      </c>
      <c r="H70" s="63">
        <v>5.5</v>
      </c>
      <c r="I70" s="113">
        <v>2.0</v>
      </c>
      <c r="J70" s="62" t="s">
        <v>322</v>
      </c>
      <c r="K70" s="67"/>
      <c r="L70" s="67"/>
      <c r="M70" s="68"/>
      <c r="N70" s="57"/>
      <c r="O70" s="57"/>
      <c r="P70" s="57"/>
      <c r="Q70" s="57"/>
      <c r="R70" s="57"/>
      <c r="S70" s="69"/>
      <c r="T70" s="57"/>
      <c r="U70" s="57"/>
      <c r="V70" s="70"/>
      <c r="W70" s="70"/>
      <c r="X70" s="70"/>
    </row>
    <row r="71" ht="15.75" customHeight="1">
      <c r="A71" s="57"/>
      <c r="B71" s="58"/>
      <c r="C71" s="59"/>
      <c r="D71" s="60"/>
      <c r="E71" s="60"/>
      <c r="F71" s="62" t="s">
        <v>542</v>
      </c>
      <c r="G71" s="62" t="s">
        <v>543</v>
      </c>
      <c r="H71" s="63">
        <v>5.5</v>
      </c>
      <c r="I71" s="113">
        <v>2.0</v>
      </c>
      <c r="J71" s="62" t="s">
        <v>322</v>
      </c>
      <c r="K71" s="67"/>
      <c r="L71" s="67"/>
      <c r="M71" s="68"/>
      <c r="N71" s="57"/>
      <c r="O71" s="57"/>
      <c r="P71" s="57"/>
      <c r="Q71" s="57"/>
      <c r="R71" s="57"/>
      <c r="S71" s="69"/>
      <c r="T71" s="57"/>
      <c r="U71" s="57"/>
      <c r="V71" s="70"/>
      <c r="W71" s="70"/>
      <c r="X71" s="70"/>
    </row>
    <row r="72" ht="15.75" customHeight="1">
      <c r="A72" s="57"/>
      <c r="B72" s="58"/>
      <c r="C72" s="59"/>
      <c r="D72" s="60"/>
      <c r="E72" s="60"/>
      <c r="F72" s="62" t="s">
        <v>136</v>
      </c>
      <c r="G72" s="62" t="s">
        <v>546</v>
      </c>
      <c r="H72" s="63">
        <v>11.0</v>
      </c>
      <c r="I72" s="113">
        <v>2.0</v>
      </c>
      <c r="J72" s="62" t="s">
        <v>151</v>
      </c>
      <c r="K72" s="67"/>
      <c r="L72" s="67"/>
      <c r="M72" s="68"/>
      <c r="N72" s="57"/>
      <c r="O72" s="57"/>
      <c r="P72" s="57"/>
      <c r="Q72" s="57"/>
      <c r="R72" s="57"/>
      <c r="S72" s="69"/>
      <c r="T72" s="57"/>
      <c r="U72" s="57"/>
      <c r="V72" s="70"/>
      <c r="W72" s="70"/>
      <c r="X72" s="70"/>
    </row>
    <row r="73" ht="15.75" customHeight="1">
      <c r="A73" s="57"/>
      <c r="B73" s="58"/>
      <c r="C73" s="59"/>
      <c r="D73" s="60"/>
      <c r="E73" s="60"/>
      <c r="F73" s="62" t="s">
        <v>549</v>
      </c>
      <c r="G73" s="62" t="s">
        <v>550</v>
      </c>
      <c r="H73" s="63">
        <v>5.5</v>
      </c>
      <c r="I73" s="113">
        <v>2.0</v>
      </c>
      <c r="J73" s="62" t="s">
        <v>536</v>
      </c>
      <c r="K73" s="67"/>
      <c r="L73" s="67"/>
      <c r="M73" s="68"/>
      <c r="N73" s="57"/>
      <c r="O73" s="57"/>
      <c r="P73" s="57"/>
      <c r="Q73" s="57"/>
      <c r="R73" s="57"/>
      <c r="S73" s="69"/>
      <c r="T73" s="57"/>
      <c r="U73" s="57"/>
      <c r="V73" s="70"/>
      <c r="W73" s="70"/>
      <c r="X73" s="70"/>
    </row>
    <row r="74" ht="15.75" customHeight="1">
      <c r="A74" s="57"/>
      <c r="B74" s="58"/>
      <c r="C74" s="59"/>
      <c r="D74" s="60"/>
      <c r="E74" s="60"/>
      <c r="F74" s="62" t="s">
        <v>364</v>
      </c>
      <c r="G74" s="62" t="s">
        <v>554</v>
      </c>
      <c r="H74" s="63">
        <v>5.5</v>
      </c>
      <c r="I74" s="113">
        <v>2.0</v>
      </c>
      <c r="J74" s="62" t="s">
        <v>322</v>
      </c>
      <c r="K74" s="67"/>
      <c r="L74" s="67"/>
      <c r="M74" s="68"/>
      <c r="N74" s="57"/>
      <c r="O74" s="57"/>
      <c r="P74" s="57"/>
      <c r="Q74" s="57"/>
      <c r="R74" s="57"/>
      <c r="S74" s="69"/>
      <c r="T74" s="57"/>
      <c r="U74" s="57"/>
      <c r="V74" s="70"/>
      <c r="W74" s="70"/>
      <c r="X74" s="70"/>
    </row>
    <row r="75" ht="15.75" customHeight="1">
      <c r="A75" s="57"/>
      <c r="B75" s="58"/>
      <c r="C75" s="59"/>
      <c r="D75" s="60"/>
      <c r="E75" s="60"/>
      <c r="F75" s="62" t="s">
        <v>648</v>
      </c>
      <c r="G75" s="62" t="s">
        <v>560</v>
      </c>
      <c r="H75" s="63">
        <v>5.5</v>
      </c>
      <c r="I75" s="113">
        <v>2.0</v>
      </c>
      <c r="J75" s="62" t="s">
        <v>322</v>
      </c>
      <c r="K75" s="67"/>
      <c r="L75" s="67"/>
      <c r="M75" s="68"/>
      <c r="N75" s="57"/>
      <c r="O75" s="57"/>
      <c r="P75" s="57"/>
      <c r="Q75" s="57"/>
      <c r="R75" s="57"/>
      <c r="S75" s="69"/>
      <c r="T75" s="57"/>
      <c r="U75" s="57"/>
      <c r="V75" s="70"/>
      <c r="W75" s="70"/>
      <c r="X75" s="70"/>
    </row>
    <row r="76" ht="15.75" customHeight="1">
      <c r="A76" s="57"/>
      <c r="B76" s="58"/>
      <c r="C76" s="59"/>
      <c r="D76" s="60"/>
      <c r="E76" s="60"/>
      <c r="F76" s="62" t="s">
        <v>379</v>
      </c>
      <c r="G76" s="62" t="s">
        <v>563</v>
      </c>
      <c r="H76" s="63">
        <v>5.5</v>
      </c>
      <c r="I76" s="113">
        <v>2.0</v>
      </c>
      <c r="J76" s="62" t="s">
        <v>322</v>
      </c>
      <c r="K76" s="67"/>
      <c r="L76" s="67"/>
      <c r="M76" s="68"/>
      <c r="N76" s="57"/>
      <c r="O76" s="57"/>
      <c r="P76" s="57"/>
      <c r="Q76" s="57"/>
      <c r="R76" s="57"/>
      <c r="S76" s="69"/>
      <c r="T76" s="57"/>
      <c r="U76" s="57"/>
      <c r="V76" s="70"/>
      <c r="W76" s="70"/>
      <c r="X76" s="70"/>
    </row>
    <row r="77" ht="15.75" customHeight="1">
      <c r="A77" s="57"/>
      <c r="B77" s="58"/>
      <c r="C77" s="59"/>
      <c r="D77" s="60"/>
      <c r="E77" s="60"/>
      <c r="F77" s="62" t="s">
        <v>385</v>
      </c>
      <c r="G77" s="62" t="s">
        <v>567</v>
      </c>
      <c r="H77" s="63">
        <v>5.5</v>
      </c>
      <c r="I77" s="113">
        <v>2.0</v>
      </c>
      <c r="J77" s="62" t="s">
        <v>322</v>
      </c>
      <c r="K77" s="67"/>
      <c r="L77" s="67"/>
      <c r="M77" s="68"/>
      <c r="N77" s="57"/>
      <c r="O77" s="57"/>
      <c r="P77" s="57"/>
      <c r="Q77" s="57"/>
      <c r="R77" s="57"/>
      <c r="S77" s="69"/>
      <c r="T77" s="57"/>
      <c r="U77" s="57"/>
      <c r="V77" s="70"/>
      <c r="W77" s="70"/>
      <c r="X77" s="70"/>
    </row>
    <row r="78" ht="15.75" customHeight="1">
      <c r="A78" s="57"/>
      <c r="B78" s="58"/>
      <c r="C78" s="59"/>
      <c r="D78" s="60"/>
      <c r="E78" s="60"/>
      <c r="F78" s="62" t="s">
        <v>573</v>
      </c>
      <c r="G78" s="62" t="s">
        <v>574</v>
      </c>
      <c r="H78" s="63">
        <v>5.5</v>
      </c>
      <c r="I78" s="113">
        <v>2.0</v>
      </c>
      <c r="J78" s="62" t="s">
        <v>322</v>
      </c>
      <c r="K78" s="67"/>
      <c r="L78" s="67"/>
      <c r="M78" s="68"/>
      <c r="N78" s="57"/>
      <c r="O78" s="57"/>
      <c r="P78" s="57"/>
      <c r="Q78" s="57"/>
      <c r="R78" s="57"/>
      <c r="S78" s="69"/>
      <c r="T78" s="57"/>
      <c r="U78" s="57"/>
      <c r="V78" s="70"/>
      <c r="W78" s="70"/>
      <c r="X78" s="70"/>
    </row>
    <row r="79" ht="15.75" customHeight="1">
      <c r="A79" s="57"/>
      <c r="B79" s="58"/>
      <c r="C79" s="59"/>
      <c r="D79" s="60"/>
      <c r="E79" s="60"/>
      <c r="F79" s="62" t="s">
        <v>579</v>
      </c>
      <c r="G79" s="62" t="s">
        <v>580</v>
      </c>
      <c r="H79" s="63">
        <v>5.5</v>
      </c>
      <c r="I79" s="113">
        <v>1.0</v>
      </c>
      <c r="J79" s="62" t="s">
        <v>322</v>
      </c>
      <c r="K79" s="67"/>
      <c r="L79" s="67"/>
      <c r="M79" s="68"/>
      <c r="N79" s="57"/>
      <c r="O79" s="57"/>
      <c r="P79" s="57"/>
      <c r="Q79" s="57"/>
      <c r="R79" s="57"/>
      <c r="S79" s="69"/>
      <c r="T79" s="57"/>
      <c r="U79" s="57"/>
      <c r="V79" s="70"/>
      <c r="W79" s="70"/>
      <c r="X79" s="70"/>
    </row>
    <row r="80" ht="15.75" customHeight="1">
      <c r="A80" s="57"/>
      <c r="B80" s="58"/>
      <c r="C80" s="59"/>
      <c r="D80" s="60"/>
      <c r="E80" s="60"/>
      <c r="F80" s="62" t="s">
        <v>403</v>
      </c>
      <c r="G80" s="62" t="s">
        <v>583</v>
      </c>
      <c r="H80" s="63">
        <v>5.5</v>
      </c>
      <c r="I80" s="113">
        <v>2.0</v>
      </c>
      <c r="J80" s="62" t="s">
        <v>322</v>
      </c>
      <c r="K80" s="67"/>
      <c r="L80" s="67"/>
      <c r="M80" s="68"/>
      <c r="N80" s="57"/>
      <c r="O80" s="57"/>
      <c r="P80" s="57"/>
      <c r="Q80" s="57"/>
      <c r="R80" s="57"/>
      <c r="S80" s="69"/>
      <c r="T80" s="57"/>
      <c r="U80" s="57"/>
      <c r="V80" s="70"/>
      <c r="W80" s="70"/>
      <c r="X80" s="70"/>
    </row>
    <row r="81" ht="15.75" customHeight="1">
      <c r="A81" s="57"/>
      <c r="B81" s="58"/>
      <c r="C81" s="59"/>
      <c r="D81" s="60"/>
      <c r="E81" s="60"/>
      <c r="F81" s="62" t="s">
        <v>588</v>
      </c>
      <c r="G81" s="62" t="s">
        <v>589</v>
      </c>
      <c r="H81" s="63">
        <v>11.0</v>
      </c>
      <c r="I81" s="113">
        <v>1.0</v>
      </c>
      <c r="J81" s="62" t="s">
        <v>349</v>
      </c>
      <c r="K81" s="67"/>
      <c r="L81" s="67"/>
      <c r="M81" s="68"/>
      <c r="N81" s="57"/>
      <c r="O81" s="57"/>
      <c r="P81" s="57"/>
      <c r="Q81" s="57"/>
      <c r="R81" s="57"/>
      <c r="S81" s="69"/>
      <c r="T81" s="57"/>
      <c r="U81" s="57"/>
      <c r="V81" s="70"/>
      <c r="W81" s="70"/>
      <c r="X81" s="70"/>
    </row>
    <row r="82" ht="15.75" customHeight="1">
      <c r="A82" s="57"/>
      <c r="B82" s="58"/>
      <c r="C82" s="59"/>
      <c r="D82" s="60"/>
      <c r="E82" s="60"/>
      <c r="F82" s="62" t="s">
        <v>593</v>
      </c>
      <c r="G82" s="62" t="s">
        <v>594</v>
      </c>
      <c r="H82" s="63">
        <v>22.0</v>
      </c>
      <c r="I82" s="113">
        <v>1.0</v>
      </c>
      <c r="J82" s="62" t="s">
        <v>536</v>
      </c>
      <c r="K82" s="67"/>
      <c r="L82" s="67"/>
      <c r="M82" s="68"/>
      <c r="N82" s="57"/>
      <c r="O82" s="57"/>
      <c r="P82" s="57"/>
      <c r="Q82" s="57"/>
      <c r="R82" s="57"/>
      <c r="S82" s="69"/>
      <c r="T82" s="57"/>
      <c r="U82" s="57"/>
      <c r="V82" s="70"/>
      <c r="W82" s="70"/>
      <c r="X82" s="70"/>
    </row>
    <row r="83" ht="15.75" customHeight="1">
      <c r="A83" s="57"/>
      <c r="B83" s="58"/>
      <c r="C83" s="59"/>
      <c r="D83" s="60"/>
      <c r="E83" s="60"/>
      <c r="F83" s="62" t="s">
        <v>597</v>
      </c>
      <c r="G83" s="62" t="s">
        <v>598</v>
      </c>
      <c r="H83" s="63">
        <v>11.0</v>
      </c>
      <c r="I83" s="113">
        <v>1.0</v>
      </c>
      <c r="J83" s="62" t="s">
        <v>322</v>
      </c>
      <c r="K83" s="67"/>
      <c r="L83" s="67"/>
      <c r="M83" s="68"/>
      <c r="N83" s="57"/>
      <c r="O83" s="57"/>
      <c r="P83" s="57"/>
      <c r="Q83" s="57"/>
      <c r="R83" s="57"/>
      <c r="S83" s="69"/>
      <c r="T83" s="57"/>
      <c r="U83" s="57"/>
      <c r="V83" s="70"/>
      <c r="W83" s="70"/>
      <c r="X83" s="70"/>
    </row>
    <row r="84" ht="15.75" customHeight="1">
      <c r="A84" s="57"/>
      <c r="B84" s="58"/>
      <c r="C84" s="59"/>
      <c r="D84" s="60"/>
      <c r="E84" s="60"/>
      <c r="F84" s="62" t="s">
        <v>603</v>
      </c>
      <c r="G84" s="62" t="s">
        <v>604</v>
      </c>
      <c r="H84" s="63">
        <v>11.0</v>
      </c>
      <c r="I84" s="113">
        <v>1.0</v>
      </c>
      <c r="J84" s="62" t="s">
        <v>349</v>
      </c>
      <c r="K84" s="67"/>
      <c r="L84" s="67"/>
      <c r="M84" s="68"/>
      <c r="N84" s="57"/>
      <c r="O84" s="57"/>
      <c r="P84" s="57"/>
      <c r="Q84" s="57"/>
      <c r="R84" s="57"/>
      <c r="S84" s="69"/>
      <c r="T84" s="57"/>
      <c r="U84" s="57"/>
      <c r="V84" s="70"/>
      <c r="W84" s="70"/>
      <c r="X84" s="70"/>
    </row>
    <row r="85" ht="15.75" customHeight="1">
      <c r="A85" s="57"/>
      <c r="B85" s="58"/>
      <c r="C85" s="59"/>
      <c r="D85" s="60"/>
      <c r="E85" s="60"/>
      <c r="F85" s="62" t="s">
        <v>422</v>
      </c>
      <c r="G85" s="62" t="s">
        <v>608</v>
      </c>
      <c r="H85" s="63">
        <v>11.0</v>
      </c>
      <c r="I85" s="113">
        <v>1.0</v>
      </c>
      <c r="J85" s="62" t="s">
        <v>196</v>
      </c>
      <c r="K85" s="67"/>
      <c r="L85" s="67"/>
      <c r="M85" s="68"/>
      <c r="N85" s="57"/>
      <c r="O85" s="57"/>
      <c r="P85" s="57"/>
      <c r="Q85" s="57"/>
      <c r="R85" s="57"/>
      <c r="S85" s="69"/>
      <c r="T85" s="57"/>
      <c r="U85" s="57"/>
      <c r="V85" s="70"/>
      <c r="W85" s="70"/>
      <c r="X85" s="70"/>
    </row>
    <row r="86" ht="15.75" customHeight="1">
      <c r="A86" s="43" t="s">
        <v>54</v>
      </c>
      <c r="B86" s="44" t="s">
        <v>17</v>
      </c>
      <c r="C86" s="45" t="s">
        <v>110</v>
      </c>
      <c r="D86" s="46" t="s">
        <v>485</v>
      </c>
      <c r="E86" s="46" t="s">
        <v>665</v>
      </c>
      <c r="F86" s="92" t="s">
        <v>666</v>
      </c>
      <c r="G86" s="92" t="s">
        <v>502</v>
      </c>
      <c r="H86" s="112">
        <v>5.5</v>
      </c>
      <c r="I86" s="114">
        <v>4.0</v>
      </c>
      <c r="J86" s="92" t="s">
        <v>151</v>
      </c>
      <c r="K86" s="50"/>
      <c r="L86" s="50"/>
      <c r="M86" s="48"/>
      <c r="N86" s="43"/>
      <c r="O86" s="43"/>
      <c r="P86" s="43"/>
      <c r="Q86" s="43"/>
      <c r="R86" s="43"/>
      <c r="S86" s="54" t="str">
        <f>IFERROR(Q86/R86,"-")</f>
        <v>-</v>
      </c>
      <c r="T86" s="43" t="str">
        <f>'Kertas Kerja'!$I274</f>
        <v/>
      </c>
      <c r="U86" s="43" t="str">
        <f>IFERROR(S86*T86,)</f>
        <v/>
      </c>
      <c r="V86" s="56">
        <f>+U86/5.5</f>
        <v>0</v>
      </c>
      <c r="W86" s="56">
        <f>U86/1250</f>
        <v>0</v>
      </c>
      <c r="X86" s="56"/>
    </row>
    <row r="87" ht="15.75" customHeight="1">
      <c r="A87" s="43"/>
      <c r="B87" s="44"/>
      <c r="C87" s="45"/>
      <c r="D87" s="46"/>
      <c r="E87" s="46"/>
      <c r="F87" s="92" t="s">
        <v>669</v>
      </c>
      <c r="G87" s="92" t="s">
        <v>613</v>
      </c>
      <c r="H87" s="112">
        <v>5.5</v>
      </c>
      <c r="I87" s="114">
        <v>86.0</v>
      </c>
      <c r="J87" s="92" t="s">
        <v>322</v>
      </c>
      <c r="K87" s="50"/>
      <c r="L87" s="50"/>
      <c r="M87" s="48"/>
      <c r="N87" s="43"/>
      <c r="O87" s="43"/>
      <c r="P87" s="43"/>
      <c r="Q87" s="43"/>
      <c r="R87" s="43"/>
      <c r="S87" s="54"/>
      <c r="T87" s="43"/>
      <c r="U87" s="43"/>
      <c r="V87" s="56"/>
      <c r="W87" s="56"/>
      <c r="X87" s="56"/>
    </row>
    <row r="88" ht="15.75" customHeight="1">
      <c r="A88" s="43"/>
      <c r="B88" s="44"/>
      <c r="C88" s="45"/>
      <c r="D88" s="46"/>
      <c r="E88" s="46"/>
      <c r="F88" s="92" t="s">
        <v>623</v>
      </c>
      <c r="G88" s="92" t="s">
        <v>624</v>
      </c>
      <c r="H88" s="112">
        <v>11.0</v>
      </c>
      <c r="I88" s="114">
        <v>2.0</v>
      </c>
      <c r="J88" s="92" t="s">
        <v>322</v>
      </c>
      <c r="K88" s="50"/>
      <c r="L88" s="50"/>
      <c r="M88" s="48"/>
      <c r="N88" s="43"/>
      <c r="O88" s="43"/>
      <c r="P88" s="43"/>
      <c r="Q88" s="43"/>
      <c r="R88" s="43"/>
      <c r="S88" s="54"/>
      <c r="T88" s="43"/>
      <c r="U88" s="43"/>
      <c r="V88" s="56"/>
      <c r="W88" s="56"/>
      <c r="X88" s="56"/>
    </row>
    <row r="89" ht="15.75" customHeight="1">
      <c r="A89" s="43"/>
      <c r="B89" s="44"/>
      <c r="C89" s="45"/>
      <c r="D89" s="46"/>
      <c r="E89" s="46"/>
      <c r="F89" s="92" t="s">
        <v>98</v>
      </c>
      <c r="G89" s="92" t="s">
        <v>527</v>
      </c>
      <c r="H89" s="112">
        <v>5.5</v>
      </c>
      <c r="I89" s="114">
        <v>8.0</v>
      </c>
      <c r="J89" s="92" t="s">
        <v>322</v>
      </c>
      <c r="K89" s="50"/>
      <c r="L89" s="50"/>
      <c r="M89" s="48"/>
      <c r="N89" s="43"/>
      <c r="O89" s="43"/>
      <c r="P89" s="43"/>
      <c r="Q89" s="43"/>
      <c r="R89" s="43"/>
      <c r="S89" s="54"/>
      <c r="T89" s="43"/>
      <c r="U89" s="43"/>
      <c r="V89" s="56"/>
      <c r="W89" s="56"/>
      <c r="X89" s="56"/>
    </row>
    <row r="90" ht="15.75" customHeight="1">
      <c r="A90" s="43"/>
      <c r="B90" s="44"/>
      <c r="C90" s="45"/>
      <c r="D90" s="46"/>
      <c r="E90" s="46"/>
      <c r="F90" s="92" t="s">
        <v>628</v>
      </c>
      <c r="G90" s="92" t="s">
        <v>534</v>
      </c>
      <c r="H90" s="112">
        <v>5.5</v>
      </c>
      <c r="I90" s="114">
        <v>8.0</v>
      </c>
      <c r="J90" s="92" t="s">
        <v>536</v>
      </c>
      <c r="K90" s="50"/>
      <c r="L90" s="50"/>
      <c r="M90" s="48"/>
      <c r="N90" s="43"/>
      <c r="O90" s="43"/>
      <c r="P90" s="43"/>
      <c r="Q90" s="43"/>
      <c r="R90" s="43"/>
      <c r="S90" s="54"/>
      <c r="T90" s="43"/>
      <c r="U90" s="43"/>
      <c r="V90" s="56"/>
      <c r="W90" s="56"/>
      <c r="X90" s="56"/>
    </row>
    <row r="91" ht="15.75" customHeight="1">
      <c r="A91" s="43"/>
      <c r="B91" s="44"/>
      <c r="C91" s="45"/>
      <c r="D91" s="46"/>
      <c r="E91" s="46"/>
      <c r="F91" s="92" t="s">
        <v>311</v>
      </c>
      <c r="G91" s="92" t="s">
        <v>540</v>
      </c>
      <c r="H91" s="112">
        <v>5.5</v>
      </c>
      <c r="I91" s="112">
        <v>1.0</v>
      </c>
      <c r="J91" s="92" t="s">
        <v>322</v>
      </c>
      <c r="K91" s="50"/>
      <c r="L91" s="50"/>
      <c r="M91" s="48"/>
      <c r="N91" s="43"/>
      <c r="O91" s="43"/>
      <c r="P91" s="43"/>
      <c r="Q91" s="43"/>
      <c r="R91" s="43"/>
      <c r="S91" s="54"/>
      <c r="T91" s="43"/>
      <c r="U91" s="43"/>
      <c r="V91" s="56"/>
      <c r="W91" s="56"/>
      <c r="X91" s="56"/>
    </row>
    <row r="92" ht="15.75" customHeight="1">
      <c r="A92" s="43"/>
      <c r="B92" s="44"/>
      <c r="C92" s="45"/>
      <c r="D92" s="46"/>
      <c r="E92" s="46"/>
      <c r="F92" s="92" t="s">
        <v>542</v>
      </c>
      <c r="G92" s="92" t="s">
        <v>543</v>
      </c>
      <c r="H92" s="112">
        <v>5.5</v>
      </c>
      <c r="I92" s="112">
        <v>1.0</v>
      </c>
      <c r="J92" s="92" t="s">
        <v>322</v>
      </c>
      <c r="K92" s="50"/>
      <c r="L92" s="50"/>
      <c r="M92" s="48"/>
      <c r="N92" s="43"/>
      <c r="O92" s="43"/>
      <c r="P92" s="43"/>
      <c r="Q92" s="43"/>
      <c r="R92" s="43"/>
      <c r="S92" s="54"/>
      <c r="T92" s="43"/>
      <c r="U92" s="43"/>
      <c r="V92" s="56"/>
      <c r="W92" s="56"/>
      <c r="X92" s="56"/>
    </row>
    <row r="93" ht="15.75" customHeight="1">
      <c r="A93" s="43"/>
      <c r="B93" s="44"/>
      <c r="C93" s="45"/>
      <c r="D93" s="46"/>
      <c r="E93" s="46"/>
      <c r="F93" s="92" t="s">
        <v>136</v>
      </c>
      <c r="G93" s="92" t="s">
        <v>546</v>
      </c>
      <c r="H93" s="112">
        <v>11.0</v>
      </c>
      <c r="I93" s="112">
        <v>1.0</v>
      </c>
      <c r="J93" s="92" t="s">
        <v>151</v>
      </c>
      <c r="K93" s="50"/>
      <c r="L93" s="50"/>
      <c r="M93" s="48"/>
      <c r="N93" s="43"/>
      <c r="O93" s="43"/>
      <c r="P93" s="43"/>
      <c r="Q93" s="43"/>
      <c r="R93" s="43"/>
      <c r="S93" s="54"/>
      <c r="T93" s="43"/>
      <c r="U93" s="43"/>
      <c r="V93" s="56"/>
      <c r="W93" s="56"/>
      <c r="X93" s="56"/>
    </row>
    <row r="94" ht="15.75" customHeight="1">
      <c r="A94" s="43"/>
      <c r="B94" s="44"/>
      <c r="C94" s="45"/>
      <c r="D94" s="46"/>
      <c r="E94" s="46"/>
      <c r="F94" s="92" t="s">
        <v>549</v>
      </c>
      <c r="G94" s="92" t="s">
        <v>550</v>
      </c>
      <c r="H94" s="112">
        <v>5.5</v>
      </c>
      <c r="I94" s="114">
        <v>8.0</v>
      </c>
      <c r="J94" s="92" t="s">
        <v>536</v>
      </c>
      <c r="K94" s="50"/>
      <c r="L94" s="50"/>
      <c r="M94" s="48"/>
      <c r="N94" s="43"/>
      <c r="O94" s="43"/>
      <c r="P94" s="43"/>
      <c r="Q94" s="43"/>
      <c r="R94" s="43"/>
      <c r="S94" s="54"/>
      <c r="T94" s="43"/>
      <c r="U94" s="43"/>
      <c r="V94" s="56"/>
      <c r="W94" s="56"/>
      <c r="X94" s="56"/>
    </row>
    <row r="95" ht="15.75" customHeight="1">
      <c r="A95" s="43"/>
      <c r="B95" s="44"/>
      <c r="C95" s="45"/>
      <c r="D95" s="46"/>
      <c r="E95" s="46"/>
      <c r="F95" s="92" t="s">
        <v>364</v>
      </c>
      <c r="G95" s="92" t="s">
        <v>554</v>
      </c>
      <c r="H95" s="112">
        <v>5.5</v>
      </c>
      <c r="I95" s="114">
        <v>2.0</v>
      </c>
      <c r="J95" s="92" t="s">
        <v>322</v>
      </c>
      <c r="K95" s="50"/>
      <c r="L95" s="50"/>
      <c r="M95" s="48"/>
      <c r="N95" s="43"/>
      <c r="O95" s="43"/>
      <c r="P95" s="43"/>
      <c r="Q95" s="43"/>
      <c r="R95" s="43"/>
      <c r="S95" s="54"/>
      <c r="T95" s="43"/>
      <c r="U95" s="43"/>
      <c r="V95" s="56"/>
      <c r="W95" s="56"/>
      <c r="X95" s="56"/>
    </row>
    <row r="96" ht="15.75" customHeight="1">
      <c r="A96" s="43"/>
      <c r="B96" s="44"/>
      <c r="C96" s="45"/>
      <c r="D96" s="46"/>
      <c r="E96" s="46"/>
      <c r="F96" s="92" t="s">
        <v>648</v>
      </c>
      <c r="G96" s="92" t="s">
        <v>560</v>
      </c>
      <c r="H96" s="112">
        <v>5.5</v>
      </c>
      <c r="I96" s="114">
        <v>2.0</v>
      </c>
      <c r="J96" s="92" t="s">
        <v>322</v>
      </c>
      <c r="K96" s="50"/>
      <c r="L96" s="50"/>
      <c r="M96" s="48"/>
      <c r="N96" s="43"/>
      <c r="O96" s="43"/>
      <c r="P96" s="43"/>
      <c r="Q96" s="43"/>
      <c r="R96" s="43"/>
      <c r="S96" s="54"/>
      <c r="T96" s="43"/>
      <c r="U96" s="43"/>
      <c r="V96" s="56"/>
      <c r="W96" s="56"/>
      <c r="X96" s="56"/>
    </row>
    <row r="97" ht="15.75" customHeight="1">
      <c r="A97" s="43"/>
      <c r="B97" s="44"/>
      <c r="C97" s="45"/>
      <c r="D97" s="46"/>
      <c r="E97" s="46"/>
      <c r="F97" s="92" t="s">
        <v>379</v>
      </c>
      <c r="G97" s="92" t="s">
        <v>563</v>
      </c>
      <c r="H97" s="112">
        <v>5.5</v>
      </c>
      <c r="I97" s="112">
        <v>1.0</v>
      </c>
      <c r="J97" s="92" t="s">
        <v>322</v>
      </c>
      <c r="K97" s="50"/>
      <c r="L97" s="50"/>
      <c r="M97" s="48"/>
      <c r="N97" s="43"/>
      <c r="O97" s="43"/>
      <c r="P97" s="43"/>
      <c r="Q97" s="43"/>
      <c r="R97" s="43"/>
      <c r="S97" s="54"/>
      <c r="T97" s="43"/>
      <c r="U97" s="43"/>
      <c r="V97" s="56"/>
      <c r="W97" s="56"/>
      <c r="X97" s="56"/>
    </row>
    <row r="98" ht="15.75" customHeight="1">
      <c r="A98" s="43"/>
      <c r="B98" s="44"/>
      <c r="C98" s="45"/>
      <c r="D98" s="46"/>
      <c r="E98" s="46"/>
      <c r="F98" s="92" t="s">
        <v>385</v>
      </c>
      <c r="G98" s="92" t="s">
        <v>567</v>
      </c>
      <c r="H98" s="112">
        <v>5.5</v>
      </c>
      <c r="I98" s="112">
        <v>1.0</v>
      </c>
      <c r="J98" s="92" t="s">
        <v>322</v>
      </c>
      <c r="K98" s="50"/>
      <c r="L98" s="50"/>
      <c r="M98" s="48"/>
      <c r="N98" s="43"/>
      <c r="O98" s="43"/>
      <c r="P98" s="43"/>
      <c r="Q98" s="43"/>
      <c r="R98" s="43"/>
      <c r="S98" s="54"/>
      <c r="T98" s="43"/>
      <c r="U98" s="43"/>
      <c r="V98" s="56"/>
      <c r="W98" s="56"/>
      <c r="X98" s="56"/>
    </row>
    <row r="99" ht="15.75" customHeight="1">
      <c r="A99" s="43"/>
      <c r="B99" s="44"/>
      <c r="C99" s="45"/>
      <c r="D99" s="46"/>
      <c r="E99" s="46"/>
      <c r="F99" s="92" t="s">
        <v>573</v>
      </c>
      <c r="G99" s="92" t="s">
        <v>574</v>
      </c>
      <c r="H99" s="112">
        <v>5.5</v>
      </c>
      <c r="I99" s="114">
        <v>2.0</v>
      </c>
      <c r="J99" s="92" t="s">
        <v>322</v>
      </c>
      <c r="K99" s="50"/>
      <c r="L99" s="50"/>
      <c r="M99" s="48"/>
      <c r="N99" s="43"/>
      <c r="O99" s="43"/>
      <c r="P99" s="43"/>
      <c r="Q99" s="43"/>
      <c r="R99" s="43"/>
      <c r="S99" s="54"/>
      <c r="T99" s="43"/>
      <c r="U99" s="43"/>
      <c r="V99" s="56"/>
      <c r="W99" s="56"/>
      <c r="X99" s="56"/>
    </row>
    <row r="100" ht="15.75" customHeight="1">
      <c r="A100" s="43"/>
      <c r="B100" s="44"/>
      <c r="C100" s="45"/>
      <c r="D100" s="46"/>
      <c r="E100" s="46"/>
      <c r="F100" s="92" t="s">
        <v>579</v>
      </c>
      <c r="G100" s="92" t="s">
        <v>580</v>
      </c>
      <c r="H100" s="112">
        <v>5.5</v>
      </c>
      <c r="I100" s="112">
        <v>1.0</v>
      </c>
      <c r="J100" s="92" t="s">
        <v>322</v>
      </c>
      <c r="K100" s="50"/>
      <c r="L100" s="50"/>
      <c r="M100" s="48"/>
      <c r="N100" s="43"/>
      <c r="O100" s="43"/>
      <c r="P100" s="43"/>
      <c r="Q100" s="43"/>
      <c r="R100" s="43"/>
      <c r="S100" s="54"/>
      <c r="T100" s="43"/>
      <c r="U100" s="43"/>
      <c r="V100" s="56"/>
      <c r="W100" s="56"/>
      <c r="X100" s="56"/>
    </row>
    <row r="101" ht="15.75" customHeight="1">
      <c r="A101" s="43"/>
      <c r="B101" s="44"/>
      <c r="C101" s="45"/>
      <c r="D101" s="46"/>
      <c r="E101" s="46"/>
      <c r="F101" s="92" t="s">
        <v>403</v>
      </c>
      <c r="G101" s="92" t="s">
        <v>583</v>
      </c>
      <c r="H101" s="112">
        <v>5.5</v>
      </c>
      <c r="I101" s="112">
        <v>1.0</v>
      </c>
      <c r="J101" s="92" t="s">
        <v>322</v>
      </c>
      <c r="K101" s="50"/>
      <c r="L101" s="50"/>
      <c r="M101" s="48"/>
      <c r="N101" s="43"/>
      <c r="O101" s="43"/>
      <c r="P101" s="43"/>
      <c r="Q101" s="43"/>
      <c r="R101" s="43"/>
      <c r="S101" s="54"/>
      <c r="T101" s="43"/>
      <c r="U101" s="43"/>
      <c r="V101" s="56"/>
      <c r="W101" s="56"/>
      <c r="X101" s="56"/>
    </row>
    <row r="102" ht="15.75" customHeight="1">
      <c r="A102" s="43"/>
      <c r="B102" s="44"/>
      <c r="C102" s="45"/>
      <c r="D102" s="46"/>
      <c r="E102" s="46"/>
      <c r="F102" s="92" t="s">
        <v>588</v>
      </c>
      <c r="G102" s="92" t="s">
        <v>589</v>
      </c>
      <c r="H102" s="112">
        <v>11.0</v>
      </c>
      <c r="I102" s="114">
        <v>3.0</v>
      </c>
      <c r="J102" s="92" t="s">
        <v>349</v>
      </c>
      <c r="K102" s="50"/>
      <c r="L102" s="50"/>
      <c r="M102" s="48"/>
      <c r="N102" s="43"/>
      <c r="O102" s="43"/>
      <c r="P102" s="43"/>
      <c r="Q102" s="43"/>
      <c r="R102" s="43"/>
      <c r="S102" s="54"/>
      <c r="T102" s="43"/>
      <c r="U102" s="43"/>
      <c r="V102" s="56"/>
      <c r="W102" s="56"/>
      <c r="X102" s="56"/>
    </row>
    <row r="103" ht="15.75" customHeight="1">
      <c r="A103" s="43"/>
      <c r="B103" s="44"/>
      <c r="C103" s="45"/>
      <c r="D103" s="46"/>
      <c r="E103" s="46"/>
      <c r="F103" s="92" t="s">
        <v>593</v>
      </c>
      <c r="G103" s="92" t="s">
        <v>594</v>
      </c>
      <c r="H103" s="112">
        <v>22.0</v>
      </c>
      <c r="I103" s="114">
        <v>4.0</v>
      </c>
      <c r="J103" s="92" t="s">
        <v>536</v>
      </c>
      <c r="K103" s="50"/>
      <c r="L103" s="50"/>
      <c r="M103" s="48"/>
      <c r="N103" s="43"/>
      <c r="O103" s="43"/>
      <c r="P103" s="43"/>
      <c r="Q103" s="43"/>
      <c r="R103" s="43"/>
      <c r="S103" s="54"/>
      <c r="T103" s="43"/>
      <c r="U103" s="43"/>
      <c r="V103" s="56"/>
      <c r="W103" s="56"/>
      <c r="X103" s="56"/>
    </row>
    <row r="104" ht="15.75" customHeight="1">
      <c r="A104" s="43"/>
      <c r="B104" s="44"/>
      <c r="C104" s="45"/>
      <c r="D104" s="46"/>
      <c r="E104" s="46"/>
      <c r="F104" s="92" t="s">
        <v>597</v>
      </c>
      <c r="G104" s="92" t="s">
        <v>598</v>
      </c>
      <c r="H104" s="112">
        <v>11.0</v>
      </c>
      <c r="I104" s="114">
        <v>2.0</v>
      </c>
      <c r="J104" s="92" t="s">
        <v>322</v>
      </c>
      <c r="K104" s="50"/>
      <c r="L104" s="50"/>
      <c r="M104" s="48"/>
      <c r="N104" s="43"/>
      <c r="O104" s="43"/>
      <c r="P104" s="43"/>
      <c r="Q104" s="43"/>
      <c r="R104" s="43"/>
      <c r="S104" s="54"/>
      <c r="T104" s="43"/>
      <c r="U104" s="43"/>
      <c r="V104" s="56"/>
      <c r="W104" s="56"/>
      <c r="X104" s="56"/>
    </row>
    <row r="105" ht="15.75" customHeight="1">
      <c r="A105" s="43"/>
      <c r="B105" s="44"/>
      <c r="C105" s="45"/>
      <c r="D105" s="46"/>
      <c r="E105" s="46"/>
      <c r="F105" s="92" t="s">
        <v>603</v>
      </c>
      <c r="G105" s="92" t="s">
        <v>604</v>
      </c>
      <c r="H105" s="112">
        <v>16.5</v>
      </c>
      <c r="I105" s="114">
        <v>2.0</v>
      </c>
      <c r="J105" s="92" t="s">
        <v>349</v>
      </c>
      <c r="K105" s="50"/>
      <c r="L105" s="50"/>
      <c r="M105" s="48"/>
      <c r="N105" s="43"/>
      <c r="O105" s="43"/>
      <c r="P105" s="43"/>
      <c r="Q105" s="43"/>
      <c r="R105" s="43"/>
      <c r="S105" s="54"/>
      <c r="T105" s="43"/>
      <c r="U105" s="43"/>
      <c r="V105" s="56"/>
      <c r="W105" s="56"/>
      <c r="X105" s="56"/>
    </row>
    <row r="106" ht="15.75" customHeight="1">
      <c r="A106" s="43"/>
      <c r="B106" s="44"/>
      <c r="C106" s="45"/>
      <c r="D106" s="46"/>
      <c r="E106" s="46"/>
      <c r="F106" s="92" t="s">
        <v>422</v>
      </c>
      <c r="G106" s="92" t="s">
        <v>608</v>
      </c>
      <c r="H106" s="112">
        <v>11.0</v>
      </c>
      <c r="I106" s="114">
        <v>3.0</v>
      </c>
      <c r="J106" s="92" t="s">
        <v>196</v>
      </c>
      <c r="K106" s="50"/>
      <c r="L106" s="50"/>
      <c r="M106" s="48"/>
      <c r="N106" s="43"/>
      <c r="O106" s="43"/>
      <c r="P106" s="43"/>
      <c r="Q106" s="43"/>
      <c r="R106" s="43"/>
      <c r="S106" s="54"/>
      <c r="T106" s="43"/>
      <c r="U106" s="43"/>
      <c r="V106" s="56"/>
      <c r="W106" s="56"/>
      <c r="X106" s="56"/>
    </row>
    <row r="107" ht="15.75" customHeight="1">
      <c r="A107" s="57" t="s">
        <v>54</v>
      </c>
      <c r="B107" s="58" t="s">
        <v>17</v>
      </c>
      <c r="C107" s="59" t="s">
        <v>110</v>
      </c>
      <c r="D107" s="60" t="s">
        <v>485</v>
      </c>
      <c r="E107" s="60" t="s">
        <v>681</v>
      </c>
      <c r="F107" s="62" t="s">
        <v>294</v>
      </c>
      <c r="G107" s="62" t="s">
        <v>613</v>
      </c>
      <c r="H107" s="63">
        <v>5.5</v>
      </c>
      <c r="I107" s="113">
        <v>46.0</v>
      </c>
      <c r="J107" s="62" t="s">
        <v>322</v>
      </c>
      <c r="K107" s="67"/>
      <c r="L107" s="67"/>
      <c r="M107" s="68"/>
      <c r="N107" s="57"/>
      <c r="O107" s="57"/>
      <c r="P107" s="57"/>
      <c r="Q107" s="57"/>
      <c r="R107" s="57"/>
      <c r="S107" s="69" t="str">
        <f>IFERROR(Q107/R107,"-")</f>
        <v>-</v>
      </c>
      <c r="T107" s="57" t="str">
        <f>'Kertas Kerja'!$I275</f>
        <v/>
      </c>
      <c r="U107" s="57" t="str">
        <f>IFERROR(S107*T107,)</f>
        <v/>
      </c>
      <c r="V107" s="70">
        <f>+U107/5.5</f>
        <v>0</v>
      </c>
      <c r="W107" s="70">
        <f>U107/1250</f>
        <v>0</v>
      </c>
      <c r="X107" s="70"/>
    </row>
    <row r="108" ht="15.75" customHeight="1">
      <c r="A108" s="57"/>
      <c r="B108" s="58"/>
      <c r="C108" s="59"/>
      <c r="D108" s="60"/>
      <c r="E108" s="60"/>
      <c r="F108" s="62" t="s">
        <v>623</v>
      </c>
      <c r="G108" s="62" t="s">
        <v>624</v>
      </c>
      <c r="H108" s="63">
        <v>11.0</v>
      </c>
      <c r="I108" s="113">
        <v>46.0</v>
      </c>
      <c r="J108" s="62" t="s">
        <v>322</v>
      </c>
      <c r="K108" s="67"/>
      <c r="L108" s="67"/>
      <c r="M108" s="68"/>
      <c r="N108" s="57"/>
      <c r="O108" s="57"/>
      <c r="P108" s="57"/>
      <c r="Q108" s="57"/>
      <c r="R108" s="57"/>
      <c r="S108" s="69"/>
      <c r="T108" s="57"/>
      <c r="U108" s="57"/>
      <c r="V108" s="70"/>
      <c r="W108" s="70"/>
      <c r="X108" s="70"/>
    </row>
    <row r="109" ht="15.75" customHeight="1">
      <c r="A109" s="57"/>
      <c r="B109" s="58"/>
      <c r="C109" s="59"/>
      <c r="D109" s="60"/>
      <c r="E109" s="60"/>
      <c r="F109" s="62" t="s">
        <v>98</v>
      </c>
      <c r="G109" s="62" t="s">
        <v>527</v>
      </c>
      <c r="H109" s="63">
        <v>5.5</v>
      </c>
      <c r="I109" s="113">
        <v>6.0</v>
      </c>
      <c r="J109" s="62" t="s">
        <v>322</v>
      </c>
      <c r="K109" s="67"/>
      <c r="L109" s="67"/>
      <c r="M109" s="68"/>
      <c r="N109" s="57"/>
      <c r="O109" s="57"/>
      <c r="P109" s="57"/>
      <c r="Q109" s="57"/>
      <c r="R109" s="57"/>
      <c r="S109" s="69"/>
      <c r="T109" s="57"/>
      <c r="U109" s="57"/>
      <c r="V109" s="70"/>
      <c r="W109" s="70"/>
      <c r="X109" s="70"/>
    </row>
    <row r="110" ht="15.75" customHeight="1">
      <c r="A110" s="57"/>
      <c r="B110" s="58"/>
      <c r="C110" s="59"/>
      <c r="D110" s="60"/>
      <c r="E110" s="60"/>
      <c r="F110" s="62" t="s">
        <v>628</v>
      </c>
      <c r="G110" s="62" t="s">
        <v>534</v>
      </c>
      <c r="H110" s="63">
        <v>5.5</v>
      </c>
      <c r="I110" s="113">
        <v>6.0</v>
      </c>
      <c r="J110" s="62" t="s">
        <v>536</v>
      </c>
      <c r="K110" s="67"/>
      <c r="L110" s="67"/>
      <c r="M110" s="68"/>
      <c r="N110" s="57"/>
      <c r="O110" s="57"/>
      <c r="P110" s="57"/>
      <c r="Q110" s="57"/>
      <c r="R110" s="57"/>
      <c r="S110" s="69"/>
      <c r="T110" s="57"/>
      <c r="U110" s="57"/>
      <c r="V110" s="70"/>
      <c r="W110" s="70"/>
      <c r="X110" s="70"/>
    </row>
    <row r="111" ht="15.75" customHeight="1">
      <c r="A111" s="57"/>
      <c r="B111" s="58"/>
      <c r="C111" s="59"/>
      <c r="D111" s="60"/>
      <c r="E111" s="60"/>
      <c r="F111" s="62" t="s">
        <v>311</v>
      </c>
      <c r="G111" s="62" t="s">
        <v>540</v>
      </c>
      <c r="H111" s="63">
        <v>5.5</v>
      </c>
      <c r="I111" s="113">
        <v>6.0</v>
      </c>
      <c r="J111" s="62" t="s">
        <v>322</v>
      </c>
      <c r="K111" s="67"/>
      <c r="L111" s="67"/>
      <c r="M111" s="68"/>
      <c r="N111" s="57"/>
      <c r="O111" s="57"/>
      <c r="P111" s="57"/>
      <c r="Q111" s="57"/>
      <c r="R111" s="57"/>
      <c r="S111" s="69"/>
      <c r="T111" s="57"/>
      <c r="U111" s="57"/>
      <c r="V111" s="70"/>
      <c r="W111" s="70"/>
      <c r="X111" s="70"/>
    </row>
    <row r="112" ht="15.75" customHeight="1">
      <c r="A112" s="57"/>
      <c r="B112" s="58"/>
      <c r="C112" s="59"/>
      <c r="D112" s="60"/>
      <c r="E112" s="60"/>
      <c r="F112" s="62" t="s">
        <v>542</v>
      </c>
      <c r="G112" s="62" t="s">
        <v>543</v>
      </c>
      <c r="H112" s="63">
        <v>5.5</v>
      </c>
      <c r="I112" s="113">
        <v>1.0</v>
      </c>
      <c r="J112" s="62" t="s">
        <v>322</v>
      </c>
      <c r="K112" s="67"/>
      <c r="L112" s="67"/>
      <c r="M112" s="68"/>
      <c r="N112" s="57"/>
      <c r="O112" s="57"/>
      <c r="P112" s="57"/>
      <c r="Q112" s="57"/>
      <c r="R112" s="57"/>
      <c r="S112" s="69"/>
      <c r="T112" s="57"/>
      <c r="U112" s="57"/>
      <c r="V112" s="70"/>
      <c r="W112" s="70"/>
      <c r="X112" s="70"/>
    </row>
    <row r="113" ht="15.75" customHeight="1">
      <c r="A113" s="57"/>
      <c r="B113" s="58"/>
      <c r="C113" s="59"/>
      <c r="D113" s="60"/>
      <c r="E113" s="60"/>
      <c r="F113" s="62" t="s">
        <v>136</v>
      </c>
      <c r="G113" s="62" t="s">
        <v>546</v>
      </c>
      <c r="H113" s="63">
        <v>11.0</v>
      </c>
      <c r="I113" s="113">
        <v>1.0</v>
      </c>
      <c r="J113" s="62" t="s">
        <v>151</v>
      </c>
      <c r="K113" s="67"/>
      <c r="L113" s="67"/>
      <c r="M113" s="68"/>
      <c r="N113" s="57"/>
      <c r="O113" s="57"/>
      <c r="P113" s="57"/>
      <c r="Q113" s="57"/>
      <c r="R113" s="57"/>
      <c r="S113" s="69"/>
      <c r="T113" s="57"/>
      <c r="U113" s="57"/>
      <c r="V113" s="70"/>
      <c r="W113" s="70"/>
      <c r="X113" s="70"/>
    </row>
    <row r="114" ht="15.75" customHeight="1">
      <c r="A114" s="57"/>
      <c r="B114" s="58"/>
      <c r="C114" s="59"/>
      <c r="D114" s="60"/>
      <c r="E114" s="60"/>
      <c r="F114" s="62" t="s">
        <v>549</v>
      </c>
      <c r="G114" s="62" t="s">
        <v>550</v>
      </c>
      <c r="H114" s="63">
        <v>5.5</v>
      </c>
      <c r="I114" s="113">
        <v>6.0</v>
      </c>
      <c r="J114" s="62" t="s">
        <v>536</v>
      </c>
      <c r="K114" s="67"/>
      <c r="L114" s="67"/>
      <c r="M114" s="68"/>
      <c r="N114" s="57"/>
      <c r="O114" s="57"/>
      <c r="P114" s="57"/>
      <c r="Q114" s="57"/>
      <c r="R114" s="57"/>
      <c r="S114" s="69"/>
      <c r="T114" s="57"/>
      <c r="U114" s="57"/>
      <c r="V114" s="70"/>
      <c r="W114" s="70"/>
      <c r="X114" s="70"/>
    </row>
    <row r="115" ht="15.75" customHeight="1">
      <c r="A115" s="57"/>
      <c r="B115" s="58"/>
      <c r="C115" s="59"/>
      <c r="D115" s="60"/>
      <c r="E115" s="60"/>
      <c r="F115" s="62" t="s">
        <v>364</v>
      </c>
      <c r="G115" s="62" t="s">
        <v>554</v>
      </c>
      <c r="H115" s="63">
        <v>5.5</v>
      </c>
      <c r="I115" s="113">
        <v>1.0</v>
      </c>
      <c r="J115" s="62" t="s">
        <v>322</v>
      </c>
      <c r="K115" s="67"/>
      <c r="L115" s="67"/>
      <c r="M115" s="68"/>
      <c r="N115" s="57"/>
      <c r="O115" s="57"/>
      <c r="P115" s="57"/>
      <c r="Q115" s="57"/>
      <c r="R115" s="57"/>
      <c r="S115" s="69"/>
      <c r="T115" s="57"/>
      <c r="U115" s="57"/>
      <c r="V115" s="70"/>
      <c r="W115" s="70"/>
      <c r="X115" s="70"/>
    </row>
    <row r="116" ht="15.75" customHeight="1">
      <c r="A116" s="57"/>
      <c r="B116" s="58"/>
      <c r="C116" s="59"/>
      <c r="D116" s="60"/>
      <c r="E116" s="60"/>
      <c r="F116" s="62" t="s">
        <v>648</v>
      </c>
      <c r="G116" s="62" t="s">
        <v>560</v>
      </c>
      <c r="H116" s="63">
        <v>5.5</v>
      </c>
      <c r="I116" s="113">
        <v>2.0</v>
      </c>
      <c r="J116" s="62" t="s">
        <v>322</v>
      </c>
      <c r="K116" s="67"/>
      <c r="L116" s="67"/>
      <c r="M116" s="68"/>
      <c r="N116" s="57"/>
      <c r="O116" s="57"/>
      <c r="P116" s="57"/>
      <c r="Q116" s="57"/>
      <c r="R116" s="57"/>
      <c r="S116" s="69"/>
      <c r="T116" s="57"/>
      <c r="U116" s="57"/>
      <c r="V116" s="70"/>
      <c r="W116" s="70"/>
      <c r="X116" s="70"/>
    </row>
    <row r="117" ht="15.75" customHeight="1">
      <c r="A117" s="57"/>
      <c r="B117" s="58"/>
      <c r="C117" s="59"/>
      <c r="D117" s="60"/>
      <c r="E117" s="60"/>
      <c r="F117" s="62" t="s">
        <v>379</v>
      </c>
      <c r="G117" s="62" t="s">
        <v>563</v>
      </c>
      <c r="H117" s="63">
        <v>5.5</v>
      </c>
      <c r="I117" s="113">
        <v>1.0</v>
      </c>
      <c r="J117" s="62" t="s">
        <v>322</v>
      </c>
      <c r="K117" s="67"/>
      <c r="L117" s="67"/>
      <c r="M117" s="68"/>
      <c r="N117" s="57"/>
      <c r="O117" s="57"/>
      <c r="P117" s="57"/>
      <c r="Q117" s="57"/>
      <c r="R117" s="57"/>
      <c r="S117" s="69"/>
      <c r="T117" s="57"/>
      <c r="U117" s="57"/>
      <c r="V117" s="70"/>
      <c r="W117" s="70"/>
      <c r="X117" s="70"/>
    </row>
    <row r="118" ht="15.75" customHeight="1">
      <c r="A118" s="57"/>
      <c r="B118" s="58"/>
      <c r="C118" s="59"/>
      <c r="D118" s="60"/>
      <c r="E118" s="60"/>
      <c r="F118" s="62" t="s">
        <v>385</v>
      </c>
      <c r="G118" s="62" t="s">
        <v>567</v>
      </c>
      <c r="H118" s="63">
        <v>5.5</v>
      </c>
      <c r="I118" s="113">
        <v>1.0</v>
      </c>
      <c r="J118" s="62" t="s">
        <v>322</v>
      </c>
      <c r="K118" s="67"/>
      <c r="L118" s="67"/>
      <c r="M118" s="68"/>
      <c r="N118" s="57"/>
      <c r="O118" s="57"/>
      <c r="P118" s="57"/>
      <c r="Q118" s="57"/>
      <c r="R118" s="57"/>
      <c r="S118" s="69"/>
      <c r="T118" s="57"/>
      <c r="U118" s="57"/>
      <c r="V118" s="70"/>
      <c r="W118" s="70"/>
      <c r="X118" s="70"/>
    </row>
    <row r="119" ht="15.75" customHeight="1">
      <c r="A119" s="57"/>
      <c r="B119" s="58"/>
      <c r="C119" s="59"/>
      <c r="D119" s="60"/>
      <c r="E119" s="60"/>
      <c r="F119" s="62" t="s">
        <v>573</v>
      </c>
      <c r="G119" s="62" t="s">
        <v>574</v>
      </c>
      <c r="H119" s="63">
        <v>5.5</v>
      </c>
      <c r="I119" s="113">
        <v>1.0</v>
      </c>
      <c r="J119" s="62" t="s">
        <v>322</v>
      </c>
      <c r="K119" s="67"/>
      <c r="L119" s="67"/>
      <c r="M119" s="68"/>
      <c r="N119" s="57"/>
      <c r="O119" s="57"/>
      <c r="P119" s="57"/>
      <c r="Q119" s="57"/>
      <c r="R119" s="57"/>
      <c r="S119" s="69"/>
      <c r="T119" s="57"/>
      <c r="U119" s="57"/>
      <c r="V119" s="70"/>
      <c r="W119" s="70"/>
      <c r="X119" s="70"/>
    </row>
    <row r="120" ht="15.75" customHeight="1">
      <c r="A120" s="57"/>
      <c r="B120" s="58"/>
      <c r="C120" s="59"/>
      <c r="D120" s="60"/>
      <c r="E120" s="60"/>
      <c r="F120" s="62" t="s">
        <v>579</v>
      </c>
      <c r="G120" s="62" t="s">
        <v>580</v>
      </c>
      <c r="H120" s="63">
        <v>5.5</v>
      </c>
      <c r="I120" s="113">
        <v>1.0</v>
      </c>
      <c r="J120" s="62" t="s">
        <v>322</v>
      </c>
      <c r="K120" s="67"/>
      <c r="L120" s="67"/>
      <c r="M120" s="68"/>
      <c r="N120" s="57"/>
      <c r="O120" s="57"/>
      <c r="P120" s="57"/>
      <c r="Q120" s="57"/>
      <c r="R120" s="57"/>
      <c r="S120" s="69"/>
      <c r="T120" s="57"/>
      <c r="U120" s="57"/>
      <c r="V120" s="70"/>
      <c r="W120" s="70"/>
      <c r="X120" s="70"/>
    </row>
    <row r="121" ht="15.75" customHeight="1">
      <c r="A121" s="57"/>
      <c r="B121" s="58"/>
      <c r="C121" s="59"/>
      <c r="D121" s="60"/>
      <c r="E121" s="60"/>
      <c r="F121" s="62" t="s">
        <v>403</v>
      </c>
      <c r="G121" s="62" t="s">
        <v>583</v>
      </c>
      <c r="H121" s="63">
        <v>5.5</v>
      </c>
      <c r="I121" s="113">
        <v>1.0</v>
      </c>
      <c r="J121" s="62" t="s">
        <v>322</v>
      </c>
      <c r="K121" s="67"/>
      <c r="L121" s="67"/>
      <c r="M121" s="68"/>
      <c r="N121" s="57"/>
      <c r="O121" s="57"/>
      <c r="P121" s="57"/>
      <c r="Q121" s="57"/>
      <c r="R121" s="57"/>
      <c r="S121" s="69"/>
      <c r="T121" s="57"/>
      <c r="U121" s="57"/>
      <c r="V121" s="70"/>
      <c r="W121" s="70"/>
      <c r="X121" s="70"/>
    </row>
    <row r="122" ht="15.75" customHeight="1">
      <c r="A122" s="57"/>
      <c r="B122" s="58"/>
      <c r="C122" s="59"/>
      <c r="D122" s="60"/>
      <c r="E122" s="60"/>
      <c r="F122" s="62" t="s">
        <v>588</v>
      </c>
      <c r="G122" s="62" t="s">
        <v>589</v>
      </c>
      <c r="H122" s="63">
        <v>11.0</v>
      </c>
      <c r="I122" s="113">
        <v>2.0</v>
      </c>
      <c r="J122" s="62" t="s">
        <v>349</v>
      </c>
      <c r="K122" s="67"/>
      <c r="L122" s="67"/>
      <c r="M122" s="68"/>
      <c r="N122" s="57"/>
      <c r="O122" s="57"/>
      <c r="P122" s="57"/>
      <c r="Q122" s="57"/>
      <c r="R122" s="57"/>
      <c r="S122" s="69"/>
      <c r="T122" s="57"/>
      <c r="U122" s="57"/>
      <c r="V122" s="70"/>
      <c r="W122" s="70"/>
      <c r="X122" s="70"/>
    </row>
    <row r="123" ht="15.75" customHeight="1">
      <c r="A123" s="57"/>
      <c r="B123" s="58"/>
      <c r="C123" s="59"/>
      <c r="D123" s="60"/>
      <c r="E123" s="60"/>
      <c r="F123" s="62" t="s">
        <v>593</v>
      </c>
      <c r="G123" s="62" t="s">
        <v>594</v>
      </c>
      <c r="H123" s="63">
        <v>22.0</v>
      </c>
      <c r="I123" s="113">
        <v>2.0</v>
      </c>
      <c r="J123" s="62" t="s">
        <v>536</v>
      </c>
      <c r="K123" s="67"/>
      <c r="L123" s="67"/>
      <c r="M123" s="68"/>
      <c r="N123" s="57"/>
      <c r="O123" s="57"/>
      <c r="P123" s="57"/>
      <c r="Q123" s="57"/>
      <c r="R123" s="57"/>
      <c r="S123" s="69"/>
      <c r="T123" s="57"/>
      <c r="U123" s="57"/>
      <c r="V123" s="70"/>
      <c r="W123" s="70"/>
      <c r="X123" s="70"/>
    </row>
    <row r="124" ht="15.75" customHeight="1">
      <c r="A124" s="57"/>
      <c r="B124" s="58"/>
      <c r="C124" s="59"/>
      <c r="D124" s="60"/>
      <c r="E124" s="60"/>
      <c r="F124" s="62" t="s">
        <v>597</v>
      </c>
      <c r="G124" s="62" t="s">
        <v>598</v>
      </c>
      <c r="H124" s="63">
        <v>11.0</v>
      </c>
      <c r="I124" s="113">
        <v>2.0</v>
      </c>
      <c r="J124" s="62" t="s">
        <v>322</v>
      </c>
      <c r="K124" s="67"/>
      <c r="L124" s="67"/>
      <c r="M124" s="68"/>
      <c r="N124" s="57"/>
      <c r="O124" s="57"/>
      <c r="P124" s="57"/>
      <c r="Q124" s="57"/>
      <c r="R124" s="57"/>
      <c r="S124" s="69"/>
      <c r="T124" s="57"/>
      <c r="U124" s="57"/>
      <c r="V124" s="70"/>
      <c r="W124" s="70"/>
      <c r="X124" s="70"/>
    </row>
    <row r="125" ht="15.75" customHeight="1">
      <c r="A125" s="57"/>
      <c r="B125" s="58"/>
      <c r="C125" s="59"/>
      <c r="D125" s="60"/>
      <c r="E125" s="60"/>
      <c r="F125" s="62" t="s">
        <v>603</v>
      </c>
      <c r="G125" s="62" t="s">
        <v>604</v>
      </c>
      <c r="H125" s="63">
        <v>11.0</v>
      </c>
      <c r="I125" s="113">
        <v>2.0</v>
      </c>
      <c r="J125" s="62" t="s">
        <v>349</v>
      </c>
      <c r="K125" s="67"/>
      <c r="L125" s="67"/>
      <c r="M125" s="68"/>
      <c r="N125" s="57"/>
      <c r="O125" s="57"/>
      <c r="P125" s="57"/>
      <c r="Q125" s="57"/>
      <c r="R125" s="57"/>
      <c r="S125" s="69"/>
      <c r="T125" s="57"/>
      <c r="U125" s="57"/>
      <c r="V125" s="70"/>
      <c r="W125" s="70"/>
      <c r="X125" s="70"/>
    </row>
    <row r="126" ht="15.75" customHeight="1">
      <c r="A126" s="57"/>
      <c r="B126" s="58"/>
      <c r="C126" s="59"/>
      <c r="D126" s="60"/>
      <c r="E126" s="60"/>
      <c r="F126" s="62" t="s">
        <v>422</v>
      </c>
      <c r="G126" s="62" t="s">
        <v>608</v>
      </c>
      <c r="H126" s="63">
        <v>11.0</v>
      </c>
      <c r="I126" s="113">
        <v>2.0</v>
      </c>
      <c r="J126" s="62" t="s">
        <v>196</v>
      </c>
      <c r="K126" s="67"/>
      <c r="L126" s="67"/>
      <c r="M126" s="68"/>
      <c r="N126" s="57"/>
      <c r="O126" s="57"/>
      <c r="P126" s="57"/>
      <c r="Q126" s="57"/>
      <c r="R126" s="57"/>
      <c r="S126" s="69"/>
      <c r="T126" s="57"/>
      <c r="U126" s="57"/>
      <c r="V126" s="70"/>
      <c r="W126" s="70"/>
      <c r="X126" s="70"/>
    </row>
    <row r="127" ht="15.75" customHeight="1">
      <c r="A127" s="117" t="s">
        <v>54</v>
      </c>
      <c r="B127" s="118" t="s">
        <v>17</v>
      </c>
      <c r="C127" s="119" t="s">
        <v>110</v>
      </c>
      <c r="D127" s="120" t="s">
        <v>472</v>
      </c>
      <c r="E127" s="120" t="s">
        <v>698</v>
      </c>
      <c r="F127" s="121" t="s">
        <v>114</v>
      </c>
      <c r="G127" s="122"/>
      <c r="H127" s="123"/>
      <c r="I127" s="123"/>
      <c r="J127" s="122"/>
      <c r="K127" s="124"/>
      <c r="L127" s="124"/>
      <c r="M127" s="122"/>
      <c r="N127" s="117"/>
      <c r="O127" s="117"/>
      <c r="P127" s="117"/>
      <c r="Q127" s="117"/>
      <c r="R127" s="117"/>
      <c r="S127" s="125" t="str">
        <f t="shared" ref="S127:S135" si="13">IFERROR(Q127/R127,"-")</f>
        <v>-</v>
      </c>
      <c r="T127" s="117" t="str">
        <f>'Kertas Kerja'!$I276</f>
        <v/>
      </c>
      <c r="U127" s="117" t="str">
        <f t="shared" ref="U127:U135" si="14">IFERROR(S127*T127,)</f>
        <v/>
      </c>
      <c r="V127" s="126">
        <f t="shared" ref="V127:V135" si="15">+U127/5.5</f>
        <v>0</v>
      </c>
      <c r="W127" s="126">
        <f t="shared" ref="W127:W135" si="16">U127/1250</f>
        <v>0</v>
      </c>
      <c r="X127" s="126"/>
      <c r="Y127" s="127"/>
      <c r="Z127" s="127"/>
    </row>
    <row r="128" ht="15.75" customHeight="1">
      <c r="A128" s="117" t="s">
        <v>54</v>
      </c>
      <c r="B128" s="118" t="s">
        <v>17</v>
      </c>
      <c r="C128" s="119" t="s">
        <v>110</v>
      </c>
      <c r="D128" s="120" t="s">
        <v>472</v>
      </c>
      <c r="E128" s="120" t="s">
        <v>700</v>
      </c>
      <c r="F128" s="121" t="s">
        <v>114</v>
      </c>
      <c r="G128" s="122"/>
      <c r="H128" s="123"/>
      <c r="I128" s="123"/>
      <c r="J128" s="122"/>
      <c r="K128" s="124"/>
      <c r="L128" s="124"/>
      <c r="M128" s="122"/>
      <c r="N128" s="117"/>
      <c r="O128" s="117"/>
      <c r="P128" s="117"/>
      <c r="Q128" s="117"/>
      <c r="R128" s="117"/>
      <c r="S128" s="125" t="str">
        <f t="shared" si="13"/>
        <v>-</v>
      </c>
      <c r="T128" s="117" t="str">
        <f>'Kertas Kerja'!$I277</f>
        <v/>
      </c>
      <c r="U128" s="117" t="str">
        <f t="shared" si="14"/>
        <v/>
      </c>
      <c r="V128" s="126">
        <f t="shared" si="15"/>
        <v>0</v>
      </c>
      <c r="W128" s="126">
        <f t="shared" si="16"/>
        <v>0</v>
      </c>
      <c r="X128" s="126"/>
      <c r="Y128" s="127"/>
      <c r="Z128" s="127"/>
    </row>
    <row r="129" ht="15.75" customHeight="1">
      <c r="A129" s="117" t="s">
        <v>54</v>
      </c>
      <c r="B129" s="118" t="s">
        <v>17</v>
      </c>
      <c r="C129" s="119" t="s">
        <v>110</v>
      </c>
      <c r="D129" s="120" t="s">
        <v>111</v>
      </c>
      <c r="E129" s="120" t="s">
        <v>703</v>
      </c>
      <c r="F129" s="121" t="s">
        <v>704</v>
      </c>
      <c r="G129" s="122"/>
      <c r="H129" s="123"/>
      <c r="I129" s="123"/>
      <c r="J129" s="122"/>
      <c r="K129" s="124"/>
      <c r="L129" s="124"/>
      <c r="M129" s="122"/>
      <c r="N129" s="117"/>
      <c r="O129" s="117"/>
      <c r="P129" s="117"/>
      <c r="Q129" s="117"/>
      <c r="R129" s="117"/>
      <c r="S129" s="125" t="str">
        <f t="shared" si="13"/>
        <v>-</v>
      </c>
      <c r="T129" s="117" t="str">
        <f>'Kertas Kerja'!$I279</f>
        <v/>
      </c>
      <c r="U129" s="117" t="str">
        <f t="shared" si="14"/>
        <v/>
      </c>
      <c r="V129" s="126">
        <f t="shared" si="15"/>
        <v>0</v>
      </c>
      <c r="W129" s="126">
        <f t="shared" si="16"/>
        <v>0</v>
      </c>
      <c r="X129" s="126"/>
      <c r="Y129" s="127"/>
      <c r="Z129" s="127"/>
    </row>
    <row r="130" ht="15.75" customHeight="1">
      <c r="A130" s="117" t="s">
        <v>54</v>
      </c>
      <c r="B130" s="118" t="s">
        <v>17</v>
      </c>
      <c r="C130" s="119" t="s">
        <v>110</v>
      </c>
      <c r="D130" s="120" t="s">
        <v>706</v>
      </c>
      <c r="E130" s="120" t="s">
        <v>706</v>
      </c>
      <c r="F130" s="121" t="s">
        <v>704</v>
      </c>
      <c r="G130" s="122"/>
      <c r="H130" s="123"/>
      <c r="I130" s="123"/>
      <c r="J130" s="122"/>
      <c r="K130" s="124"/>
      <c r="L130" s="124"/>
      <c r="M130" s="122"/>
      <c r="N130" s="117"/>
      <c r="O130" s="117"/>
      <c r="P130" s="117"/>
      <c r="Q130" s="117"/>
      <c r="R130" s="117"/>
      <c r="S130" s="125" t="str">
        <f t="shared" si="13"/>
        <v>-</v>
      </c>
      <c r="T130" s="117" t="str">
        <f>'Kertas Kerja'!$I280</f>
        <v/>
      </c>
      <c r="U130" s="117" t="str">
        <f t="shared" si="14"/>
        <v/>
      </c>
      <c r="V130" s="126">
        <f t="shared" si="15"/>
        <v>0</v>
      </c>
      <c r="W130" s="126">
        <f t="shared" si="16"/>
        <v>0</v>
      </c>
      <c r="X130" s="126"/>
      <c r="Y130" s="127"/>
      <c r="Z130" s="127"/>
    </row>
    <row r="131" ht="15.75" customHeight="1">
      <c r="A131" s="117" t="s">
        <v>54</v>
      </c>
      <c r="B131" s="118" t="s">
        <v>17</v>
      </c>
      <c r="C131" s="119" t="s">
        <v>110</v>
      </c>
      <c r="D131" s="120" t="s">
        <v>709</v>
      </c>
      <c r="E131" s="120" t="s">
        <v>709</v>
      </c>
      <c r="F131" s="121" t="s">
        <v>704</v>
      </c>
      <c r="G131" s="122"/>
      <c r="H131" s="123"/>
      <c r="I131" s="123"/>
      <c r="J131" s="122"/>
      <c r="K131" s="124"/>
      <c r="L131" s="124"/>
      <c r="M131" s="122"/>
      <c r="N131" s="117"/>
      <c r="O131" s="117"/>
      <c r="P131" s="117"/>
      <c r="Q131" s="117"/>
      <c r="R131" s="117"/>
      <c r="S131" s="125" t="str">
        <f t="shared" si="13"/>
        <v>-</v>
      </c>
      <c r="T131" s="117" t="str">
        <f>'Kertas Kerja'!$I281</f>
        <v/>
      </c>
      <c r="U131" s="117" t="str">
        <f t="shared" si="14"/>
        <v/>
      </c>
      <c r="V131" s="126">
        <f t="shared" si="15"/>
        <v>0</v>
      </c>
      <c r="W131" s="126">
        <f t="shared" si="16"/>
        <v>0</v>
      </c>
      <c r="X131" s="126"/>
      <c r="Y131" s="127"/>
      <c r="Z131" s="127"/>
    </row>
    <row r="132" ht="15.75" customHeight="1">
      <c r="A132" s="117" t="s">
        <v>54</v>
      </c>
      <c r="B132" s="118" t="s">
        <v>17</v>
      </c>
      <c r="C132" s="119" t="s">
        <v>110</v>
      </c>
      <c r="D132" s="120" t="s">
        <v>709</v>
      </c>
      <c r="E132" s="120" t="s">
        <v>709</v>
      </c>
      <c r="F132" s="121" t="s">
        <v>704</v>
      </c>
      <c r="G132" s="122"/>
      <c r="H132" s="123"/>
      <c r="I132" s="123"/>
      <c r="J132" s="122"/>
      <c r="K132" s="124"/>
      <c r="L132" s="124"/>
      <c r="M132" s="122"/>
      <c r="N132" s="117"/>
      <c r="O132" s="117"/>
      <c r="P132" s="117"/>
      <c r="Q132" s="117"/>
      <c r="R132" s="117"/>
      <c r="S132" s="125" t="str">
        <f t="shared" si="13"/>
        <v>-</v>
      </c>
      <c r="T132" s="117" t="str">
        <f>'Kertas Kerja'!$I282</f>
        <v/>
      </c>
      <c r="U132" s="117" t="str">
        <f t="shared" si="14"/>
        <v/>
      </c>
      <c r="V132" s="126">
        <f t="shared" si="15"/>
        <v>0</v>
      </c>
      <c r="W132" s="126">
        <f t="shared" si="16"/>
        <v>0</v>
      </c>
      <c r="X132" s="126"/>
      <c r="Y132" s="127"/>
      <c r="Z132" s="127"/>
    </row>
    <row r="133" ht="15.75" customHeight="1">
      <c r="A133" s="117" t="s">
        <v>54</v>
      </c>
      <c r="B133" s="118" t="s">
        <v>17</v>
      </c>
      <c r="C133" s="119" t="s">
        <v>110</v>
      </c>
      <c r="D133" s="120" t="s">
        <v>111</v>
      </c>
      <c r="E133" s="120" t="s">
        <v>711</v>
      </c>
      <c r="F133" s="121" t="s">
        <v>704</v>
      </c>
      <c r="G133" s="122"/>
      <c r="H133" s="123"/>
      <c r="I133" s="123"/>
      <c r="J133" s="122"/>
      <c r="K133" s="124"/>
      <c r="L133" s="124"/>
      <c r="M133" s="122"/>
      <c r="N133" s="117"/>
      <c r="O133" s="117"/>
      <c r="P133" s="117"/>
      <c r="Q133" s="117"/>
      <c r="R133" s="117"/>
      <c r="S133" s="125" t="str">
        <f t="shared" si="13"/>
        <v>-</v>
      </c>
      <c r="T133" s="117" t="str">
        <f>'Kertas Kerja'!$I283</f>
        <v/>
      </c>
      <c r="U133" s="117" t="str">
        <f t="shared" si="14"/>
        <v/>
      </c>
      <c r="V133" s="126">
        <f t="shared" si="15"/>
        <v>0</v>
      </c>
      <c r="W133" s="126">
        <f t="shared" si="16"/>
        <v>0</v>
      </c>
      <c r="X133" s="126"/>
      <c r="Y133" s="127"/>
      <c r="Z133" s="127"/>
    </row>
    <row r="134" ht="15.75" customHeight="1">
      <c r="A134" s="117" t="s">
        <v>54</v>
      </c>
      <c r="B134" s="118" t="s">
        <v>17</v>
      </c>
      <c r="C134" s="119" t="s">
        <v>110</v>
      </c>
      <c r="D134" s="120" t="s">
        <v>111</v>
      </c>
      <c r="E134" s="120" t="s">
        <v>714</v>
      </c>
      <c r="F134" s="121" t="s">
        <v>704</v>
      </c>
      <c r="G134" s="122"/>
      <c r="H134" s="123"/>
      <c r="I134" s="123"/>
      <c r="J134" s="122"/>
      <c r="K134" s="124"/>
      <c r="L134" s="124"/>
      <c r="M134" s="122"/>
      <c r="N134" s="117"/>
      <c r="O134" s="117"/>
      <c r="P134" s="117"/>
      <c r="Q134" s="117"/>
      <c r="R134" s="117"/>
      <c r="S134" s="125" t="str">
        <f t="shared" si="13"/>
        <v>-</v>
      </c>
      <c r="T134" s="117" t="str">
        <f>'Kertas Kerja'!$I284</f>
        <v/>
      </c>
      <c r="U134" s="117" t="str">
        <f t="shared" si="14"/>
        <v/>
      </c>
      <c r="V134" s="126">
        <f t="shared" si="15"/>
        <v>0</v>
      </c>
      <c r="W134" s="126">
        <f t="shared" si="16"/>
        <v>0</v>
      </c>
      <c r="X134" s="126"/>
      <c r="Y134" s="127"/>
      <c r="Z134" s="127"/>
    </row>
    <row r="135" ht="15.75" customHeight="1">
      <c r="A135" s="117" t="s">
        <v>54</v>
      </c>
      <c r="B135" s="118" t="s">
        <v>17</v>
      </c>
      <c r="C135" s="119" t="s">
        <v>110</v>
      </c>
      <c r="D135" s="120" t="s">
        <v>485</v>
      </c>
      <c r="E135" s="120" t="s">
        <v>717</v>
      </c>
      <c r="F135" s="121" t="s">
        <v>704</v>
      </c>
      <c r="G135" s="122"/>
      <c r="H135" s="123"/>
      <c r="I135" s="123"/>
      <c r="J135" s="122"/>
      <c r="K135" s="124"/>
      <c r="L135" s="124"/>
      <c r="M135" s="122"/>
      <c r="N135" s="117"/>
      <c r="O135" s="117"/>
      <c r="P135" s="117"/>
      <c r="Q135" s="117"/>
      <c r="R135" s="117"/>
      <c r="S135" s="125" t="str">
        <f t="shared" si="13"/>
        <v>-</v>
      </c>
      <c r="T135" s="117" t="str">
        <f>'Kertas Kerja'!$I288</f>
        <v/>
      </c>
      <c r="U135" s="117" t="str">
        <f t="shared" si="14"/>
        <v/>
      </c>
      <c r="V135" s="126">
        <f t="shared" si="15"/>
        <v>0</v>
      </c>
      <c r="W135" s="126">
        <f t="shared" si="16"/>
        <v>0</v>
      </c>
      <c r="X135" s="126"/>
      <c r="Y135" s="127"/>
      <c r="Z135" s="127"/>
    </row>
    <row r="136" ht="15.75" customHeight="1">
      <c r="A136" s="95"/>
      <c r="B136" s="96"/>
      <c r="C136" s="130" t="s">
        <v>110</v>
      </c>
      <c r="D136" s="130" t="s">
        <v>485</v>
      </c>
      <c r="E136" s="131" t="s">
        <v>720</v>
      </c>
      <c r="F136" s="130" t="s">
        <v>721</v>
      </c>
      <c r="G136" s="130" t="s">
        <v>502</v>
      </c>
      <c r="H136" s="132">
        <v>5.5</v>
      </c>
      <c r="I136" s="132">
        <v>4.0</v>
      </c>
      <c r="J136" s="130" t="s">
        <v>151</v>
      </c>
      <c r="K136" s="103"/>
      <c r="L136" s="103"/>
      <c r="M136" s="101"/>
      <c r="N136" s="95"/>
      <c r="O136" s="95"/>
      <c r="P136" s="95"/>
      <c r="Q136" s="95"/>
      <c r="R136" s="95"/>
      <c r="S136" s="104"/>
      <c r="T136" s="95"/>
      <c r="U136" s="95"/>
      <c r="V136" s="105"/>
      <c r="W136" s="105"/>
      <c r="X136" s="105"/>
      <c r="Y136" s="106"/>
      <c r="Z136" s="106"/>
    </row>
    <row r="137" ht="15.75" customHeight="1">
      <c r="A137" s="95"/>
      <c r="B137" s="96"/>
      <c r="C137" s="133"/>
      <c r="D137" s="130" t="s">
        <v>485</v>
      </c>
      <c r="E137" s="131"/>
      <c r="F137" s="130" t="s">
        <v>513</v>
      </c>
      <c r="G137" s="130" t="s">
        <v>515</v>
      </c>
      <c r="H137" s="132">
        <v>5.5</v>
      </c>
      <c r="I137" s="132">
        <v>4.0</v>
      </c>
      <c r="J137" s="130" t="s">
        <v>322</v>
      </c>
      <c r="K137" s="103"/>
      <c r="L137" s="103"/>
      <c r="M137" s="101"/>
      <c r="N137" s="95"/>
      <c r="O137" s="95"/>
      <c r="P137" s="95"/>
      <c r="Q137" s="95"/>
      <c r="R137" s="95"/>
      <c r="S137" s="104"/>
      <c r="T137" s="95"/>
      <c r="U137" s="95"/>
      <c r="V137" s="105"/>
      <c r="W137" s="105"/>
      <c r="X137" s="105"/>
      <c r="Y137" s="106"/>
      <c r="Z137" s="106"/>
    </row>
    <row r="138" ht="15.75" customHeight="1">
      <c r="A138" s="95"/>
      <c r="B138" s="96"/>
      <c r="C138" s="133"/>
      <c r="D138" s="130" t="s">
        <v>485</v>
      </c>
      <c r="E138" s="131"/>
      <c r="F138" s="130" t="s">
        <v>723</v>
      </c>
      <c r="G138" s="130" t="s">
        <v>724</v>
      </c>
      <c r="H138" s="132">
        <v>11.0</v>
      </c>
      <c r="I138" s="132">
        <v>4.0</v>
      </c>
      <c r="J138" s="130" t="s">
        <v>322</v>
      </c>
      <c r="K138" s="103"/>
      <c r="L138" s="103"/>
      <c r="M138" s="101"/>
      <c r="N138" s="95"/>
      <c r="O138" s="95"/>
      <c r="P138" s="95"/>
      <c r="Q138" s="95"/>
      <c r="R138" s="95"/>
      <c r="S138" s="104"/>
      <c r="T138" s="95"/>
      <c r="U138" s="95"/>
      <c r="V138" s="105"/>
      <c r="W138" s="105"/>
      <c r="X138" s="105"/>
      <c r="Y138" s="106"/>
      <c r="Z138" s="106"/>
    </row>
    <row r="139" ht="15.75" customHeight="1">
      <c r="A139" s="95"/>
      <c r="B139" s="96"/>
      <c r="C139" s="133"/>
      <c r="D139" s="130" t="s">
        <v>485</v>
      </c>
      <c r="E139" s="131"/>
      <c r="F139" s="130" t="s">
        <v>98</v>
      </c>
      <c r="G139" s="130" t="s">
        <v>527</v>
      </c>
      <c r="H139" s="132">
        <v>5.5</v>
      </c>
      <c r="I139" s="134">
        <v>2.0</v>
      </c>
      <c r="J139" s="130" t="s">
        <v>322</v>
      </c>
      <c r="K139" s="103"/>
      <c r="L139" s="103"/>
      <c r="M139" s="101"/>
      <c r="N139" s="95"/>
      <c r="O139" s="95"/>
      <c r="P139" s="95"/>
      <c r="Q139" s="95"/>
      <c r="R139" s="95"/>
      <c r="S139" s="104"/>
      <c r="T139" s="95"/>
      <c r="U139" s="95"/>
      <c r="V139" s="105"/>
      <c r="W139" s="105"/>
      <c r="X139" s="105"/>
      <c r="Y139" s="106"/>
      <c r="Z139" s="106"/>
    </row>
    <row r="140" ht="15.75" customHeight="1">
      <c r="A140" s="95"/>
      <c r="B140" s="96"/>
      <c r="C140" s="133"/>
      <c r="D140" s="130" t="s">
        <v>485</v>
      </c>
      <c r="E140" s="131"/>
      <c r="F140" s="130" t="s">
        <v>727</v>
      </c>
      <c r="G140" s="130" t="s">
        <v>728</v>
      </c>
      <c r="H140" s="132">
        <v>11.0</v>
      </c>
      <c r="I140" s="134">
        <v>2.0</v>
      </c>
      <c r="J140" s="130" t="s">
        <v>151</v>
      </c>
      <c r="K140" s="103"/>
      <c r="L140" s="103"/>
      <c r="M140" s="101"/>
      <c r="N140" s="95"/>
      <c r="O140" s="95"/>
      <c r="P140" s="95"/>
      <c r="Q140" s="95"/>
      <c r="R140" s="95"/>
      <c r="S140" s="104"/>
      <c r="T140" s="95"/>
      <c r="U140" s="95"/>
      <c r="V140" s="105"/>
      <c r="W140" s="105"/>
      <c r="X140" s="105"/>
      <c r="Y140" s="106"/>
      <c r="Z140" s="106"/>
    </row>
    <row r="141" ht="15.75" customHeight="1">
      <c r="A141" s="95"/>
      <c r="B141" s="96"/>
      <c r="C141" s="133"/>
      <c r="D141" s="130" t="s">
        <v>485</v>
      </c>
      <c r="E141" s="131"/>
      <c r="F141" s="130" t="s">
        <v>311</v>
      </c>
      <c r="G141" s="130" t="s">
        <v>540</v>
      </c>
      <c r="H141" s="132">
        <v>5.5</v>
      </c>
      <c r="I141" s="134">
        <v>2.0</v>
      </c>
      <c r="J141" s="130" t="s">
        <v>322</v>
      </c>
      <c r="K141" s="103"/>
      <c r="L141" s="103"/>
      <c r="M141" s="101"/>
      <c r="N141" s="95"/>
      <c r="O141" s="95"/>
      <c r="P141" s="95"/>
      <c r="Q141" s="95"/>
      <c r="R141" s="95"/>
      <c r="S141" s="104"/>
      <c r="T141" s="95"/>
      <c r="U141" s="95"/>
      <c r="V141" s="105"/>
      <c r="W141" s="105"/>
      <c r="X141" s="105"/>
      <c r="Y141" s="106"/>
      <c r="Z141" s="106"/>
    </row>
    <row r="142" ht="15.75" customHeight="1">
      <c r="A142" s="95"/>
      <c r="B142" s="96"/>
      <c r="C142" s="133"/>
      <c r="D142" s="130" t="s">
        <v>485</v>
      </c>
      <c r="E142" s="131"/>
      <c r="F142" s="130" t="s">
        <v>542</v>
      </c>
      <c r="G142" s="130" t="s">
        <v>543</v>
      </c>
      <c r="H142" s="132">
        <v>5.5</v>
      </c>
      <c r="I142" s="134">
        <v>2.0</v>
      </c>
      <c r="J142" s="130" t="s">
        <v>322</v>
      </c>
      <c r="K142" s="103"/>
      <c r="L142" s="103"/>
      <c r="M142" s="101"/>
      <c r="N142" s="95"/>
      <c r="O142" s="95"/>
      <c r="P142" s="95"/>
      <c r="Q142" s="95"/>
      <c r="R142" s="95"/>
      <c r="S142" s="104"/>
      <c r="T142" s="95"/>
      <c r="U142" s="95"/>
      <c r="V142" s="105"/>
      <c r="W142" s="105"/>
      <c r="X142" s="105"/>
      <c r="Y142" s="106"/>
      <c r="Z142" s="106"/>
    </row>
    <row r="143" ht="15.75" customHeight="1">
      <c r="A143" s="95"/>
      <c r="B143" s="96"/>
      <c r="C143" s="133"/>
      <c r="D143" s="130" t="s">
        <v>485</v>
      </c>
      <c r="E143" s="131"/>
      <c r="F143" s="130" t="s">
        <v>136</v>
      </c>
      <c r="G143" s="130" t="s">
        <v>546</v>
      </c>
      <c r="H143" s="132">
        <v>11.0</v>
      </c>
      <c r="I143" s="134">
        <v>1.0</v>
      </c>
      <c r="J143" s="130" t="s">
        <v>151</v>
      </c>
      <c r="K143" s="103"/>
      <c r="L143" s="103"/>
      <c r="M143" s="101"/>
      <c r="N143" s="95"/>
      <c r="O143" s="95"/>
      <c r="P143" s="95"/>
      <c r="Q143" s="95"/>
      <c r="R143" s="95"/>
      <c r="S143" s="104"/>
      <c r="T143" s="95"/>
      <c r="U143" s="95"/>
      <c r="V143" s="105"/>
      <c r="W143" s="105"/>
      <c r="X143" s="105"/>
      <c r="Y143" s="106"/>
      <c r="Z143" s="106"/>
    </row>
    <row r="144" ht="15.75" customHeight="1">
      <c r="A144" s="95"/>
      <c r="B144" s="96"/>
      <c r="C144" s="133"/>
      <c r="D144" s="130" t="s">
        <v>485</v>
      </c>
      <c r="E144" s="131"/>
      <c r="F144" s="130" t="s">
        <v>549</v>
      </c>
      <c r="G144" s="130" t="s">
        <v>550</v>
      </c>
      <c r="H144" s="132">
        <v>5.5</v>
      </c>
      <c r="I144" s="134">
        <v>2.0</v>
      </c>
      <c r="J144" s="130" t="s">
        <v>536</v>
      </c>
      <c r="K144" s="103"/>
      <c r="L144" s="103"/>
      <c r="M144" s="101"/>
      <c r="N144" s="95"/>
      <c r="O144" s="95"/>
      <c r="P144" s="95"/>
      <c r="Q144" s="95"/>
      <c r="R144" s="95"/>
      <c r="S144" s="104"/>
      <c r="T144" s="95"/>
      <c r="U144" s="95"/>
      <c r="V144" s="105"/>
      <c r="W144" s="105"/>
      <c r="X144" s="105"/>
      <c r="Y144" s="106"/>
      <c r="Z144" s="106"/>
    </row>
    <row r="145" ht="15.75" customHeight="1">
      <c r="A145" s="95"/>
      <c r="B145" s="96"/>
      <c r="C145" s="133"/>
      <c r="D145" s="130" t="s">
        <v>485</v>
      </c>
      <c r="E145" s="131"/>
      <c r="F145" s="130" t="s">
        <v>364</v>
      </c>
      <c r="G145" s="130" t="s">
        <v>554</v>
      </c>
      <c r="H145" s="132">
        <v>5.5</v>
      </c>
      <c r="I145" s="134">
        <v>1.0</v>
      </c>
      <c r="J145" s="130" t="s">
        <v>322</v>
      </c>
      <c r="K145" s="103"/>
      <c r="L145" s="103"/>
      <c r="M145" s="101"/>
      <c r="N145" s="95"/>
      <c r="O145" s="95"/>
      <c r="P145" s="95"/>
      <c r="Q145" s="95"/>
      <c r="R145" s="95"/>
      <c r="S145" s="104"/>
      <c r="T145" s="95"/>
      <c r="U145" s="95"/>
      <c r="V145" s="105"/>
      <c r="W145" s="105"/>
      <c r="X145" s="105"/>
      <c r="Y145" s="106"/>
      <c r="Z145" s="106"/>
    </row>
    <row r="146" ht="15.75" customHeight="1">
      <c r="A146" s="95"/>
      <c r="B146" s="96"/>
      <c r="C146" s="133"/>
      <c r="D146" s="130" t="s">
        <v>485</v>
      </c>
      <c r="E146" s="131"/>
      <c r="F146" s="130" t="s">
        <v>559</v>
      </c>
      <c r="G146" s="130" t="s">
        <v>560</v>
      </c>
      <c r="H146" s="132">
        <v>5.5</v>
      </c>
      <c r="I146" s="134">
        <v>1.0</v>
      </c>
      <c r="J146" s="130" t="s">
        <v>322</v>
      </c>
      <c r="K146" s="103"/>
      <c r="L146" s="103"/>
      <c r="M146" s="101"/>
      <c r="N146" s="95"/>
      <c r="O146" s="95"/>
      <c r="P146" s="95"/>
      <c r="Q146" s="95"/>
      <c r="R146" s="95"/>
      <c r="S146" s="104"/>
      <c r="T146" s="95"/>
      <c r="U146" s="95"/>
      <c r="V146" s="105"/>
      <c r="W146" s="105"/>
      <c r="X146" s="105"/>
      <c r="Y146" s="106"/>
      <c r="Z146" s="106"/>
    </row>
    <row r="147" ht="15.75" customHeight="1">
      <c r="A147" s="95"/>
      <c r="B147" s="96"/>
      <c r="C147" s="133"/>
      <c r="D147" s="130" t="s">
        <v>485</v>
      </c>
      <c r="E147" s="131"/>
      <c r="F147" s="130" t="s">
        <v>379</v>
      </c>
      <c r="G147" s="130" t="s">
        <v>563</v>
      </c>
      <c r="H147" s="132">
        <v>5.5</v>
      </c>
      <c r="I147" s="134">
        <v>1.0</v>
      </c>
      <c r="J147" s="130" t="s">
        <v>322</v>
      </c>
      <c r="K147" s="103"/>
      <c r="L147" s="103"/>
      <c r="M147" s="101"/>
      <c r="N147" s="95"/>
      <c r="O147" s="95"/>
      <c r="P147" s="95"/>
      <c r="Q147" s="95"/>
      <c r="R147" s="95"/>
      <c r="S147" s="104"/>
      <c r="T147" s="95"/>
      <c r="U147" s="95"/>
      <c r="V147" s="105"/>
      <c r="W147" s="105"/>
      <c r="X147" s="105"/>
      <c r="Y147" s="106"/>
      <c r="Z147" s="106"/>
    </row>
    <row r="148" ht="15.75" customHeight="1">
      <c r="A148" s="95"/>
      <c r="B148" s="96"/>
      <c r="C148" s="133"/>
      <c r="D148" s="130" t="s">
        <v>485</v>
      </c>
      <c r="E148" s="131"/>
      <c r="F148" s="130" t="s">
        <v>385</v>
      </c>
      <c r="G148" s="130" t="s">
        <v>567</v>
      </c>
      <c r="H148" s="132">
        <v>5.5</v>
      </c>
      <c r="I148" s="134">
        <v>1.0</v>
      </c>
      <c r="J148" s="130" t="s">
        <v>322</v>
      </c>
      <c r="K148" s="103"/>
      <c r="L148" s="103"/>
      <c r="M148" s="101"/>
      <c r="N148" s="95"/>
      <c r="O148" s="95"/>
      <c r="P148" s="95"/>
      <c r="Q148" s="95"/>
      <c r="R148" s="95"/>
      <c r="S148" s="104"/>
      <c r="T148" s="95"/>
      <c r="U148" s="95"/>
      <c r="V148" s="105"/>
      <c r="W148" s="105"/>
      <c r="X148" s="105"/>
      <c r="Y148" s="106"/>
      <c r="Z148" s="106"/>
    </row>
    <row r="149" ht="15.75" customHeight="1">
      <c r="A149" s="95"/>
      <c r="B149" s="96"/>
      <c r="C149" s="133"/>
      <c r="D149" s="130" t="s">
        <v>485</v>
      </c>
      <c r="E149" s="131"/>
      <c r="F149" s="130" t="s">
        <v>735</v>
      </c>
      <c r="G149" s="130" t="s">
        <v>736</v>
      </c>
      <c r="H149" s="132">
        <v>5.5</v>
      </c>
      <c r="I149" s="134">
        <v>1.0</v>
      </c>
      <c r="J149" s="130" t="s">
        <v>322</v>
      </c>
      <c r="K149" s="103"/>
      <c r="L149" s="103"/>
      <c r="M149" s="101"/>
      <c r="N149" s="95"/>
      <c r="O149" s="95"/>
      <c r="P149" s="95"/>
      <c r="Q149" s="95"/>
      <c r="R149" s="95"/>
      <c r="S149" s="104"/>
      <c r="T149" s="95"/>
      <c r="U149" s="95"/>
      <c r="V149" s="105"/>
      <c r="W149" s="105"/>
      <c r="X149" s="105"/>
      <c r="Y149" s="106"/>
      <c r="Z149" s="106"/>
    </row>
    <row r="150" ht="15.75" customHeight="1">
      <c r="A150" s="95"/>
      <c r="B150" s="96"/>
      <c r="C150" s="133"/>
      <c r="D150" s="130" t="s">
        <v>485</v>
      </c>
      <c r="E150" s="131"/>
      <c r="F150" s="130" t="s">
        <v>738</v>
      </c>
      <c r="G150" s="130" t="s">
        <v>739</v>
      </c>
      <c r="H150" s="132">
        <v>5.5</v>
      </c>
      <c r="I150" s="134">
        <v>1.0</v>
      </c>
      <c r="J150" s="130" t="s">
        <v>322</v>
      </c>
      <c r="K150" s="103"/>
      <c r="L150" s="103"/>
      <c r="M150" s="101"/>
      <c r="N150" s="95"/>
      <c r="O150" s="95"/>
      <c r="P150" s="95"/>
      <c r="Q150" s="95"/>
      <c r="R150" s="95"/>
      <c r="S150" s="104"/>
      <c r="T150" s="95"/>
      <c r="U150" s="95"/>
      <c r="V150" s="105"/>
      <c r="W150" s="105"/>
      <c r="X150" s="105"/>
      <c r="Y150" s="106"/>
      <c r="Z150" s="106"/>
    </row>
    <row r="151" ht="15.75" customHeight="1">
      <c r="A151" s="95"/>
      <c r="B151" s="96"/>
      <c r="C151" s="133"/>
      <c r="D151" s="130" t="s">
        <v>485</v>
      </c>
      <c r="E151" s="131"/>
      <c r="F151" s="130" t="s">
        <v>403</v>
      </c>
      <c r="G151" s="130" t="s">
        <v>583</v>
      </c>
      <c r="H151" s="132">
        <v>5.5</v>
      </c>
      <c r="I151" s="134">
        <v>1.0</v>
      </c>
      <c r="J151" s="130" t="s">
        <v>322</v>
      </c>
      <c r="K151" s="103"/>
      <c r="L151" s="103"/>
      <c r="M151" s="101"/>
      <c r="N151" s="95"/>
      <c r="O151" s="95"/>
      <c r="P151" s="95"/>
      <c r="Q151" s="95"/>
      <c r="R151" s="95"/>
      <c r="S151" s="104"/>
      <c r="T151" s="95"/>
      <c r="U151" s="95"/>
      <c r="V151" s="105"/>
      <c r="W151" s="105"/>
      <c r="X151" s="105"/>
      <c r="Y151" s="106"/>
      <c r="Z151" s="106"/>
    </row>
    <row r="152" ht="15.75" customHeight="1">
      <c r="A152" s="95"/>
      <c r="B152" s="96"/>
      <c r="C152" s="133"/>
      <c r="D152" s="130" t="s">
        <v>485</v>
      </c>
      <c r="E152" s="131"/>
      <c r="F152" s="130" t="s">
        <v>588</v>
      </c>
      <c r="G152" s="130" t="s">
        <v>589</v>
      </c>
      <c r="H152" s="132">
        <v>11.0</v>
      </c>
      <c r="I152" s="134">
        <v>1.0</v>
      </c>
      <c r="J152" s="130" t="s">
        <v>349</v>
      </c>
      <c r="K152" s="103"/>
      <c r="L152" s="103"/>
      <c r="M152" s="101"/>
      <c r="N152" s="95"/>
      <c r="O152" s="95"/>
      <c r="P152" s="95"/>
      <c r="Q152" s="95"/>
      <c r="R152" s="95"/>
      <c r="S152" s="104"/>
      <c r="T152" s="95"/>
      <c r="U152" s="95"/>
      <c r="V152" s="105"/>
      <c r="W152" s="105"/>
      <c r="X152" s="105"/>
      <c r="Y152" s="106"/>
      <c r="Z152" s="106"/>
    </row>
    <row r="153" ht="15.75" customHeight="1">
      <c r="A153" s="95"/>
      <c r="B153" s="96"/>
      <c r="C153" s="133"/>
      <c r="D153" s="130" t="s">
        <v>485</v>
      </c>
      <c r="E153" s="131"/>
      <c r="F153" s="130" t="s">
        <v>593</v>
      </c>
      <c r="G153" s="130" t="s">
        <v>594</v>
      </c>
      <c r="H153" s="132">
        <v>11.0</v>
      </c>
      <c r="I153" s="134">
        <v>2.0</v>
      </c>
      <c r="J153" s="130" t="s">
        <v>536</v>
      </c>
      <c r="K153" s="103"/>
      <c r="L153" s="103"/>
      <c r="M153" s="101"/>
      <c r="N153" s="95"/>
      <c r="O153" s="95"/>
      <c r="P153" s="95"/>
      <c r="Q153" s="95"/>
      <c r="R153" s="95"/>
      <c r="S153" s="104"/>
      <c r="T153" s="95"/>
      <c r="U153" s="95"/>
      <c r="V153" s="105"/>
      <c r="W153" s="105"/>
      <c r="X153" s="105"/>
      <c r="Y153" s="106"/>
      <c r="Z153" s="106"/>
    </row>
    <row r="154" ht="15.75" customHeight="1">
      <c r="A154" s="95"/>
      <c r="B154" s="96"/>
      <c r="C154" s="133"/>
      <c r="D154" s="130" t="s">
        <v>485</v>
      </c>
      <c r="E154" s="131"/>
      <c r="F154" s="130" t="s">
        <v>597</v>
      </c>
      <c r="G154" s="130" t="s">
        <v>598</v>
      </c>
      <c r="H154" s="132">
        <v>11.0</v>
      </c>
      <c r="I154" s="134">
        <v>1.0</v>
      </c>
      <c r="J154" s="130" t="s">
        <v>322</v>
      </c>
      <c r="K154" s="103"/>
      <c r="L154" s="103"/>
      <c r="M154" s="101"/>
      <c r="N154" s="95"/>
      <c r="O154" s="95"/>
      <c r="P154" s="95"/>
      <c r="Q154" s="95"/>
      <c r="R154" s="95"/>
      <c r="S154" s="104"/>
      <c r="T154" s="95"/>
      <c r="U154" s="95"/>
      <c r="V154" s="105"/>
      <c r="W154" s="105"/>
      <c r="X154" s="105"/>
      <c r="Y154" s="106"/>
      <c r="Z154" s="106"/>
    </row>
    <row r="155" ht="15.75" customHeight="1">
      <c r="A155" s="95"/>
      <c r="B155" s="96"/>
      <c r="C155" s="133"/>
      <c r="D155" s="130" t="s">
        <v>485</v>
      </c>
      <c r="E155" s="131"/>
      <c r="F155" s="130" t="s">
        <v>603</v>
      </c>
      <c r="G155" s="130" t="s">
        <v>604</v>
      </c>
      <c r="H155" s="132">
        <v>11.0</v>
      </c>
      <c r="I155" s="134">
        <v>2.0</v>
      </c>
      <c r="J155" s="130" t="s">
        <v>349</v>
      </c>
      <c r="K155" s="103"/>
      <c r="L155" s="103"/>
      <c r="M155" s="101"/>
      <c r="N155" s="95"/>
      <c r="O155" s="95"/>
      <c r="P155" s="95"/>
      <c r="Q155" s="95"/>
      <c r="R155" s="95"/>
      <c r="S155" s="104"/>
      <c r="T155" s="95"/>
      <c r="U155" s="95"/>
      <c r="V155" s="105"/>
      <c r="W155" s="105"/>
      <c r="X155" s="105"/>
      <c r="Y155" s="106"/>
      <c r="Z155" s="106"/>
    </row>
    <row r="156" ht="15.75" customHeight="1">
      <c r="A156" s="95"/>
      <c r="B156" s="96"/>
      <c r="C156" s="133"/>
      <c r="D156" s="130" t="s">
        <v>485</v>
      </c>
      <c r="E156" s="131"/>
      <c r="F156" s="130" t="s">
        <v>422</v>
      </c>
      <c r="G156" s="130" t="s">
        <v>608</v>
      </c>
      <c r="H156" s="132">
        <v>11.0</v>
      </c>
      <c r="I156" s="134">
        <v>1.0</v>
      </c>
      <c r="J156" s="130" t="s">
        <v>196</v>
      </c>
      <c r="K156" s="103"/>
      <c r="L156" s="103"/>
      <c r="M156" s="101"/>
      <c r="N156" s="95"/>
      <c r="O156" s="95"/>
      <c r="P156" s="95"/>
      <c r="Q156" s="95"/>
      <c r="R156" s="95"/>
      <c r="S156" s="104"/>
      <c r="T156" s="95"/>
      <c r="U156" s="95"/>
      <c r="V156" s="105"/>
      <c r="W156" s="105"/>
      <c r="X156" s="105"/>
      <c r="Y156" s="106"/>
      <c r="Z156" s="106"/>
    </row>
    <row r="157" ht="15.75" customHeight="1">
      <c r="A157" s="95" t="s">
        <v>54</v>
      </c>
      <c r="B157" s="96" t="s">
        <v>17</v>
      </c>
      <c r="C157" s="98" t="s">
        <v>110</v>
      </c>
      <c r="D157" s="99" t="s">
        <v>485</v>
      </c>
      <c r="E157" s="110" t="s">
        <v>745</v>
      </c>
      <c r="F157" s="135" t="s">
        <v>746</v>
      </c>
      <c r="G157" s="135" t="s">
        <v>502</v>
      </c>
      <c r="H157" s="136">
        <v>5.5</v>
      </c>
      <c r="I157" s="137">
        <v>3.0</v>
      </c>
      <c r="J157" s="135" t="s">
        <v>151</v>
      </c>
      <c r="K157" s="103"/>
      <c r="L157" s="103"/>
      <c r="M157" s="101"/>
      <c r="N157" s="95"/>
      <c r="O157" s="95"/>
      <c r="P157" s="95"/>
      <c r="Q157" s="95"/>
      <c r="R157" s="95"/>
      <c r="S157" s="104" t="str">
        <f>IFERROR(Q157/R157,"-")</f>
        <v>-</v>
      </c>
      <c r="T157" s="95" t="str">
        <f>'Kertas Kerja'!$I290</f>
        <v/>
      </c>
      <c r="U157" s="95" t="str">
        <f>IFERROR(S157*T157,)</f>
        <v/>
      </c>
      <c r="V157" s="105">
        <f>+U157/5.5</f>
        <v>0</v>
      </c>
      <c r="W157" s="105">
        <f>U157/1250</f>
        <v>0</v>
      </c>
      <c r="X157" s="105"/>
      <c r="Y157" s="106"/>
      <c r="Z157" s="106"/>
    </row>
    <row r="158" ht="15.75" customHeight="1">
      <c r="A158" s="95"/>
      <c r="B158" s="96"/>
      <c r="C158" s="98"/>
      <c r="D158" s="99"/>
      <c r="E158" s="99"/>
      <c r="F158" s="135" t="s">
        <v>513</v>
      </c>
      <c r="G158" s="135" t="s">
        <v>515</v>
      </c>
      <c r="H158" s="136">
        <v>5.5</v>
      </c>
      <c r="I158" s="137">
        <v>19.0</v>
      </c>
      <c r="J158" s="135" t="s">
        <v>166</v>
      </c>
      <c r="K158" s="103"/>
      <c r="L158" s="103"/>
      <c r="M158" s="101"/>
      <c r="N158" s="95"/>
      <c r="O158" s="95"/>
      <c r="P158" s="95"/>
      <c r="Q158" s="95"/>
      <c r="R158" s="95"/>
      <c r="S158" s="104"/>
      <c r="T158" s="95"/>
      <c r="U158" s="95"/>
      <c r="V158" s="105"/>
      <c r="W158" s="105"/>
      <c r="X158" s="105"/>
      <c r="Y158" s="106"/>
      <c r="Z158" s="106"/>
    </row>
    <row r="159" ht="15.75" customHeight="1">
      <c r="A159" s="95"/>
      <c r="B159" s="96"/>
      <c r="C159" s="98"/>
      <c r="D159" s="99"/>
      <c r="E159" s="99"/>
      <c r="F159" s="135" t="s">
        <v>723</v>
      </c>
      <c r="G159" s="135" t="s">
        <v>724</v>
      </c>
      <c r="H159" s="136">
        <v>11.0</v>
      </c>
      <c r="I159" s="137">
        <v>19.0</v>
      </c>
      <c r="J159" s="135" t="s">
        <v>166</v>
      </c>
      <c r="K159" s="103"/>
      <c r="L159" s="103"/>
      <c r="M159" s="101"/>
      <c r="N159" s="95"/>
      <c r="O159" s="95"/>
      <c r="P159" s="95"/>
      <c r="Q159" s="95"/>
      <c r="R159" s="95"/>
      <c r="S159" s="104"/>
      <c r="T159" s="95"/>
      <c r="U159" s="95"/>
      <c r="V159" s="105"/>
      <c r="W159" s="105"/>
      <c r="X159" s="105"/>
      <c r="Y159" s="106"/>
      <c r="Z159" s="106"/>
    </row>
    <row r="160" ht="15.75" customHeight="1">
      <c r="A160" s="95"/>
      <c r="B160" s="96"/>
      <c r="C160" s="98"/>
      <c r="D160" s="99"/>
      <c r="E160" s="99"/>
      <c r="F160" s="135" t="s">
        <v>98</v>
      </c>
      <c r="G160" s="135" t="s">
        <v>527</v>
      </c>
      <c r="H160" s="136">
        <v>5.5</v>
      </c>
      <c r="I160" s="137">
        <v>7.0</v>
      </c>
      <c r="J160" s="135" t="s">
        <v>166</v>
      </c>
      <c r="K160" s="103"/>
      <c r="L160" s="103"/>
      <c r="M160" s="101"/>
      <c r="N160" s="95"/>
      <c r="O160" s="95"/>
      <c r="P160" s="95"/>
      <c r="Q160" s="95"/>
      <c r="R160" s="95"/>
      <c r="S160" s="104"/>
      <c r="T160" s="95"/>
      <c r="U160" s="95"/>
      <c r="V160" s="105"/>
      <c r="W160" s="105"/>
      <c r="X160" s="105"/>
      <c r="Y160" s="106"/>
      <c r="Z160" s="106"/>
    </row>
    <row r="161" ht="15.75" customHeight="1">
      <c r="A161" s="95"/>
      <c r="B161" s="96"/>
      <c r="C161" s="98"/>
      <c r="D161" s="99"/>
      <c r="E161" s="99"/>
      <c r="F161" s="135" t="s">
        <v>727</v>
      </c>
      <c r="G161" s="135" t="s">
        <v>728</v>
      </c>
      <c r="H161" s="136">
        <v>11.0</v>
      </c>
      <c r="I161" s="137">
        <v>1.0</v>
      </c>
      <c r="J161" s="135" t="s">
        <v>536</v>
      </c>
      <c r="K161" s="103"/>
      <c r="L161" s="103"/>
      <c r="M161" s="101"/>
      <c r="N161" s="95"/>
      <c r="O161" s="95"/>
      <c r="P161" s="95"/>
      <c r="Q161" s="95"/>
      <c r="R161" s="95"/>
      <c r="S161" s="104"/>
      <c r="T161" s="95"/>
      <c r="U161" s="95"/>
      <c r="V161" s="105"/>
      <c r="W161" s="105"/>
      <c r="X161" s="105"/>
      <c r="Y161" s="106"/>
      <c r="Z161" s="106"/>
    </row>
    <row r="162" ht="15.75" customHeight="1">
      <c r="A162" s="95"/>
      <c r="B162" s="96"/>
      <c r="C162" s="98"/>
      <c r="D162" s="99"/>
      <c r="E162" s="99"/>
      <c r="F162" s="135" t="s">
        <v>311</v>
      </c>
      <c r="G162" s="135" t="s">
        <v>540</v>
      </c>
      <c r="H162" s="136">
        <v>5.5</v>
      </c>
      <c r="I162" s="137">
        <v>1.0</v>
      </c>
      <c r="J162" s="135" t="s">
        <v>166</v>
      </c>
      <c r="K162" s="103"/>
      <c r="L162" s="103"/>
      <c r="M162" s="101"/>
      <c r="N162" s="95"/>
      <c r="O162" s="95"/>
      <c r="P162" s="95"/>
      <c r="Q162" s="95"/>
      <c r="R162" s="95"/>
      <c r="S162" s="104"/>
      <c r="T162" s="95"/>
      <c r="U162" s="95"/>
      <c r="V162" s="105"/>
      <c r="W162" s="105"/>
      <c r="X162" s="105"/>
      <c r="Y162" s="106"/>
      <c r="Z162" s="106"/>
    </row>
    <row r="163" ht="15.75" customHeight="1">
      <c r="A163" s="95"/>
      <c r="B163" s="96"/>
      <c r="C163" s="98"/>
      <c r="D163" s="99"/>
      <c r="E163" s="99"/>
      <c r="F163" s="135" t="s">
        <v>542</v>
      </c>
      <c r="G163" s="135" t="s">
        <v>543</v>
      </c>
      <c r="H163" s="136">
        <v>5.5</v>
      </c>
      <c r="I163" s="137">
        <v>1.0</v>
      </c>
      <c r="J163" s="135" t="s">
        <v>166</v>
      </c>
      <c r="K163" s="103"/>
      <c r="L163" s="103"/>
      <c r="M163" s="101"/>
      <c r="N163" s="95"/>
      <c r="O163" s="95"/>
      <c r="P163" s="95"/>
      <c r="Q163" s="95"/>
      <c r="R163" s="95"/>
      <c r="S163" s="104"/>
      <c r="T163" s="95"/>
      <c r="U163" s="95"/>
      <c r="V163" s="105"/>
      <c r="W163" s="105"/>
      <c r="X163" s="105"/>
      <c r="Y163" s="106"/>
      <c r="Z163" s="106"/>
    </row>
    <row r="164" ht="15.75" customHeight="1">
      <c r="A164" s="95"/>
      <c r="B164" s="96"/>
      <c r="C164" s="98"/>
      <c r="D164" s="99"/>
      <c r="E164" s="99"/>
      <c r="F164" s="135" t="s">
        <v>136</v>
      </c>
      <c r="G164" s="135" t="s">
        <v>546</v>
      </c>
      <c r="H164" s="136">
        <v>11.0</v>
      </c>
      <c r="I164" s="137">
        <v>1.0</v>
      </c>
      <c r="J164" s="135" t="s">
        <v>166</v>
      </c>
      <c r="K164" s="103"/>
      <c r="L164" s="103"/>
      <c r="M164" s="101"/>
      <c r="N164" s="95"/>
      <c r="O164" s="95"/>
      <c r="P164" s="95"/>
      <c r="Q164" s="95"/>
      <c r="R164" s="95"/>
      <c r="S164" s="104"/>
      <c r="T164" s="95"/>
      <c r="U164" s="95"/>
      <c r="V164" s="105"/>
      <c r="W164" s="105"/>
      <c r="X164" s="105"/>
      <c r="Y164" s="106"/>
      <c r="Z164" s="106"/>
    </row>
    <row r="165" ht="15.75" customHeight="1">
      <c r="A165" s="95"/>
      <c r="B165" s="96"/>
      <c r="C165" s="98"/>
      <c r="D165" s="99"/>
      <c r="E165" s="99"/>
      <c r="F165" s="135" t="s">
        <v>549</v>
      </c>
      <c r="G165" s="135" t="s">
        <v>550</v>
      </c>
      <c r="H165" s="136">
        <v>5.5</v>
      </c>
      <c r="I165" s="137">
        <v>1.0</v>
      </c>
      <c r="J165" s="135" t="s">
        <v>536</v>
      </c>
      <c r="K165" s="103"/>
      <c r="L165" s="103"/>
      <c r="M165" s="101"/>
      <c r="N165" s="95"/>
      <c r="O165" s="95"/>
      <c r="P165" s="95"/>
      <c r="Q165" s="95"/>
      <c r="R165" s="95"/>
      <c r="S165" s="104"/>
      <c r="T165" s="95"/>
      <c r="U165" s="95"/>
      <c r="V165" s="105"/>
      <c r="W165" s="105"/>
      <c r="X165" s="105"/>
      <c r="Y165" s="106"/>
      <c r="Z165" s="106"/>
    </row>
    <row r="166" ht="15.75" customHeight="1">
      <c r="A166" s="95"/>
      <c r="B166" s="96"/>
      <c r="C166" s="98"/>
      <c r="D166" s="99"/>
      <c r="E166" s="99"/>
      <c r="F166" s="135" t="s">
        <v>364</v>
      </c>
      <c r="G166" s="135" t="s">
        <v>554</v>
      </c>
      <c r="H166" s="136">
        <v>5.5</v>
      </c>
      <c r="I166" s="136">
        <v>1.0</v>
      </c>
      <c r="J166" s="135" t="s">
        <v>536</v>
      </c>
      <c r="K166" s="103"/>
      <c r="L166" s="103"/>
      <c r="M166" s="101"/>
      <c r="N166" s="95"/>
      <c r="O166" s="95"/>
      <c r="P166" s="95"/>
      <c r="Q166" s="95"/>
      <c r="R166" s="95"/>
      <c r="S166" s="104"/>
      <c r="T166" s="95"/>
      <c r="U166" s="95"/>
      <c r="V166" s="105"/>
      <c r="W166" s="105"/>
      <c r="X166" s="105"/>
      <c r="Y166" s="106"/>
      <c r="Z166" s="106"/>
    </row>
    <row r="167" ht="15.75" customHeight="1">
      <c r="A167" s="95"/>
      <c r="B167" s="96"/>
      <c r="C167" s="98"/>
      <c r="D167" s="99"/>
      <c r="E167" s="99"/>
      <c r="F167" s="135" t="s">
        <v>559</v>
      </c>
      <c r="G167" s="135" t="s">
        <v>560</v>
      </c>
      <c r="H167" s="136">
        <v>5.5</v>
      </c>
      <c r="I167" s="136">
        <v>1.0</v>
      </c>
      <c r="J167" s="135" t="s">
        <v>166</v>
      </c>
      <c r="K167" s="103"/>
      <c r="L167" s="103"/>
      <c r="M167" s="101"/>
      <c r="N167" s="95"/>
      <c r="O167" s="95"/>
      <c r="P167" s="95"/>
      <c r="Q167" s="95"/>
      <c r="R167" s="95"/>
      <c r="S167" s="104"/>
      <c r="T167" s="95"/>
      <c r="U167" s="95"/>
      <c r="V167" s="105"/>
      <c r="W167" s="105"/>
      <c r="X167" s="105"/>
      <c r="Y167" s="106"/>
      <c r="Z167" s="106"/>
    </row>
    <row r="168" ht="15.75" customHeight="1">
      <c r="A168" s="95"/>
      <c r="B168" s="96"/>
      <c r="C168" s="98"/>
      <c r="D168" s="99"/>
      <c r="E168" s="99"/>
      <c r="F168" s="135" t="s">
        <v>379</v>
      </c>
      <c r="G168" s="135" t="s">
        <v>563</v>
      </c>
      <c r="H168" s="136">
        <v>5.5</v>
      </c>
      <c r="I168" s="136">
        <v>1.0</v>
      </c>
      <c r="J168" s="135" t="s">
        <v>166</v>
      </c>
      <c r="K168" s="103"/>
      <c r="L168" s="103"/>
      <c r="M168" s="101"/>
      <c r="N168" s="95"/>
      <c r="O168" s="95"/>
      <c r="P168" s="95"/>
      <c r="Q168" s="95"/>
      <c r="R168" s="95"/>
      <c r="S168" s="104"/>
      <c r="T168" s="95"/>
      <c r="U168" s="95"/>
      <c r="V168" s="105"/>
      <c r="W168" s="105"/>
      <c r="X168" s="105"/>
      <c r="Y168" s="106"/>
      <c r="Z168" s="106"/>
    </row>
    <row r="169" ht="15.75" customHeight="1">
      <c r="A169" s="95"/>
      <c r="B169" s="96"/>
      <c r="C169" s="98"/>
      <c r="D169" s="99"/>
      <c r="E169" s="99"/>
      <c r="F169" s="135" t="s">
        <v>385</v>
      </c>
      <c r="G169" s="135" t="s">
        <v>567</v>
      </c>
      <c r="H169" s="136">
        <v>5.5</v>
      </c>
      <c r="I169" s="136">
        <v>1.0</v>
      </c>
      <c r="J169" s="135" t="s">
        <v>166</v>
      </c>
      <c r="K169" s="103"/>
      <c r="L169" s="103"/>
      <c r="M169" s="101"/>
      <c r="N169" s="95"/>
      <c r="O169" s="95"/>
      <c r="P169" s="95"/>
      <c r="Q169" s="95"/>
      <c r="R169" s="95"/>
      <c r="S169" s="104"/>
      <c r="T169" s="95"/>
      <c r="U169" s="95"/>
      <c r="V169" s="105"/>
      <c r="W169" s="105"/>
      <c r="X169" s="105"/>
      <c r="Y169" s="106"/>
      <c r="Z169" s="106"/>
    </row>
    <row r="170" ht="15.75" customHeight="1">
      <c r="A170" s="95"/>
      <c r="B170" s="96"/>
      <c r="C170" s="98"/>
      <c r="D170" s="99"/>
      <c r="E170" s="99"/>
      <c r="F170" s="135" t="s">
        <v>735</v>
      </c>
      <c r="G170" s="135" t="s">
        <v>736</v>
      </c>
      <c r="H170" s="136">
        <v>5.5</v>
      </c>
      <c r="I170" s="137">
        <v>3.0</v>
      </c>
      <c r="J170" s="135" t="s">
        <v>166</v>
      </c>
      <c r="K170" s="103"/>
      <c r="L170" s="103"/>
      <c r="M170" s="101"/>
      <c r="N170" s="95"/>
      <c r="O170" s="95"/>
      <c r="P170" s="95"/>
      <c r="Q170" s="95"/>
      <c r="R170" s="95"/>
      <c r="S170" s="104"/>
      <c r="T170" s="95"/>
      <c r="U170" s="95"/>
      <c r="V170" s="105"/>
      <c r="W170" s="105"/>
      <c r="X170" s="105"/>
      <c r="Y170" s="106"/>
      <c r="Z170" s="106"/>
    </row>
    <row r="171" ht="15.75" customHeight="1">
      <c r="A171" s="95"/>
      <c r="B171" s="96"/>
      <c r="C171" s="98"/>
      <c r="D171" s="99"/>
      <c r="E171" s="99"/>
      <c r="F171" s="135" t="s">
        <v>738</v>
      </c>
      <c r="G171" s="135" t="s">
        <v>739</v>
      </c>
      <c r="H171" s="136">
        <v>5.5</v>
      </c>
      <c r="I171" s="136">
        <v>1.0</v>
      </c>
      <c r="J171" s="135" t="s">
        <v>166</v>
      </c>
      <c r="K171" s="103"/>
      <c r="L171" s="103"/>
      <c r="M171" s="101"/>
      <c r="N171" s="95"/>
      <c r="O171" s="95"/>
      <c r="P171" s="95"/>
      <c r="Q171" s="95"/>
      <c r="R171" s="95"/>
      <c r="S171" s="104"/>
      <c r="T171" s="95"/>
      <c r="U171" s="95"/>
      <c r="V171" s="105"/>
      <c r="W171" s="105"/>
      <c r="X171" s="105"/>
      <c r="Y171" s="106"/>
      <c r="Z171" s="106"/>
    </row>
    <row r="172" ht="15.75" customHeight="1">
      <c r="A172" s="95"/>
      <c r="B172" s="96"/>
      <c r="C172" s="98"/>
      <c r="D172" s="99"/>
      <c r="E172" s="99"/>
      <c r="F172" s="135" t="s">
        <v>403</v>
      </c>
      <c r="G172" s="135" t="s">
        <v>583</v>
      </c>
      <c r="H172" s="136">
        <v>5.5</v>
      </c>
      <c r="I172" s="136">
        <v>1.0</v>
      </c>
      <c r="J172" s="135" t="s">
        <v>166</v>
      </c>
      <c r="K172" s="103"/>
      <c r="L172" s="103"/>
      <c r="M172" s="101"/>
      <c r="N172" s="95"/>
      <c r="O172" s="95"/>
      <c r="P172" s="95"/>
      <c r="Q172" s="95"/>
      <c r="R172" s="95"/>
      <c r="S172" s="104"/>
      <c r="T172" s="95"/>
      <c r="U172" s="95"/>
      <c r="V172" s="105"/>
      <c r="W172" s="105"/>
      <c r="X172" s="105"/>
      <c r="Y172" s="106"/>
      <c r="Z172" s="106"/>
    </row>
    <row r="173" ht="15.75" customHeight="1">
      <c r="A173" s="95"/>
      <c r="B173" s="96"/>
      <c r="C173" s="98"/>
      <c r="D173" s="99"/>
      <c r="E173" s="99"/>
      <c r="F173" s="135" t="s">
        <v>588</v>
      </c>
      <c r="G173" s="135" t="s">
        <v>589</v>
      </c>
      <c r="H173" s="136">
        <v>11.0</v>
      </c>
      <c r="I173" s="137">
        <v>3.0</v>
      </c>
      <c r="J173" s="135" t="s">
        <v>308</v>
      </c>
      <c r="K173" s="103"/>
      <c r="L173" s="103"/>
      <c r="M173" s="101"/>
      <c r="N173" s="95"/>
      <c r="O173" s="95"/>
      <c r="P173" s="95"/>
      <c r="Q173" s="95"/>
      <c r="R173" s="95"/>
      <c r="S173" s="104"/>
      <c r="T173" s="95"/>
      <c r="U173" s="95"/>
      <c r="V173" s="105"/>
      <c r="W173" s="105"/>
      <c r="X173" s="105"/>
      <c r="Y173" s="106"/>
      <c r="Z173" s="106"/>
    </row>
    <row r="174" ht="15.75" customHeight="1">
      <c r="A174" s="95"/>
      <c r="B174" s="96"/>
      <c r="C174" s="98"/>
      <c r="D174" s="99"/>
      <c r="E174" s="99"/>
      <c r="F174" s="135" t="s">
        <v>593</v>
      </c>
      <c r="G174" s="135" t="s">
        <v>594</v>
      </c>
      <c r="H174" s="136">
        <v>11.0</v>
      </c>
      <c r="I174" s="137">
        <v>2.0</v>
      </c>
      <c r="J174" s="135" t="s">
        <v>308</v>
      </c>
      <c r="K174" s="103"/>
      <c r="L174" s="103"/>
      <c r="M174" s="101"/>
      <c r="N174" s="95"/>
      <c r="O174" s="95"/>
      <c r="P174" s="95"/>
      <c r="Q174" s="95"/>
      <c r="R174" s="95"/>
      <c r="S174" s="104"/>
      <c r="T174" s="95"/>
      <c r="U174" s="95"/>
      <c r="V174" s="105"/>
      <c r="W174" s="105"/>
      <c r="X174" s="105"/>
      <c r="Y174" s="106"/>
      <c r="Z174" s="106"/>
    </row>
    <row r="175" ht="15.75" customHeight="1">
      <c r="A175" s="95"/>
      <c r="B175" s="96"/>
      <c r="C175" s="98"/>
      <c r="D175" s="99"/>
      <c r="E175" s="99"/>
      <c r="F175" s="135" t="s">
        <v>597</v>
      </c>
      <c r="G175" s="135" t="s">
        <v>598</v>
      </c>
      <c r="H175" s="136">
        <v>11.0</v>
      </c>
      <c r="I175" s="137">
        <v>2.0</v>
      </c>
      <c r="J175" s="135" t="s">
        <v>308</v>
      </c>
      <c r="K175" s="103"/>
      <c r="L175" s="103"/>
      <c r="M175" s="101"/>
      <c r="N175" s="95"/>
      <c r="O175" s="95"/>
      <c r="P175" s="95"/>
      <c r="Q175" s="95"/>
      <c r="R175" s="95"/>
      <c r="S175" s="104"/>
      <c r="T175" s="95"/>
      <c r="U175" s="95"/>
      <c r="V175" s="105"/>
      <c r="W175" s="105"/>
      <c r="X175" s="105"/>
      <c r="Y175" s="106"/>
      <c r="Z175" s="106"/>
    </row>
    <row r="176" ht="15.75" customHeight="1">
      <c r="A176" s="95"/>
      <c r="B176" s="96"/>
      <c r="C176" s="98"/>
      <c r="D176" s="99"/>
      <c r="E176" s="99"/>
      <c r="F176" s="135" t="s">
        <v>603</v>
      </c>
      <c r="G176" s="135" t="s">
        <v>604</v>
      </c>
      <c r="H176" s="136">
        <v>11.0</v>
      </c>
      <c r="I176" s="137">
        <v>2.0</v>
      </c>
      <c r="J176" s="135" t="s">
        <v>166</v>
      </c>
      <c r="K176" s="103"/>
      <c r="L176" s="103"/>
      <c r="M176" s="101"/>
      <c r="N176" s="95"/>
      <c r="O176" s="95"/>
      <c r="P176" s="95"/>
      <c r="Q176" s="95"/>
      <c r="R176" s="95"/>
      <c r="S176" s="104"/>
      <c r="T176" s="95"/>
      <c r="U176" s="95"/>
      <c r="V176" s="105"/>
      <c r="W176" s="105"/>
      <c r="X176" s="105"/>
      <c r="Y176" s="106"/>
      <c r="Z176" s="106"/>
    </row>
    <row r="177" ht="15.75" customHeight="1">
      <c r="A177" s="95"/>
      <c r="B177" s="96"/>
      <c r="C177" s="98"/>
      <c r="D177" s="99"/>
      <c r="E177" s="99"/>
      <c r="F177" s="135" t="s">
        <v>422</v>
      </c>
      <c r="G177" s="135" t="s">
        <v>608</v>
      </c>
      <c r="H177" s="136">
        <v>11.0</v>
      </c>
      <c r="I177" s="137">
        <v>2.0</v>
      </c>
      <c r="J177" s="135" t="s">
        <v>166</v>
      </c>
      <c r="K177" s="103"/>
      <c r="L177" s="103"/>
      <c r="M177" s="101"/>
      <c r="N177" s="95"/>
      <c r="O177" s="95"/>
      <c r="P177" s="95"/>
      <c r="Q177" s="95"/>
      <c r="R177" s="95"/>
      <c r="S177" s="104"/>
      <c r="T177" s="95"/>
      <c r="U177" s="95"/>
      <c r="V177" s="105"/>
      <c r="W177" s="105"/>
      <c r="X177" s="105"/>
      <c r="Y177" s="106"/>
      <c r="Z177" s="106"/>
    </row>
    <row r="178" ht="15.75" customHeight="1">
      <c r="A178" s="138" t="s">
        <v>54</v>
      </c>
      <c r="B178" s="139" t="s">
        <v>17</v>
      </c>
      <c r="C178" s="140" t="s">
        <v>110</v>
      </c>
      <c r="D178" s="141" t="s">
        <v>485</v>
      </c>
      <c r="E178" s="141" t="s">
        <v>761</v>
      </c>
      <c r="F178" s="142" t="s">
        <v>287</v>
      </c>
      <c r="G178" s="142" t="s">
        <v>762</v>
      </c>
      <c r="H178" s="143">
        <v>16.5</v>
      </c>
      <c r="I178" s="143">
        <v>1.0</v>
      </c>
      <c r="J178" s="142" t="s">
        <v>151</v>
      </c>
      <c r="K178" s="144"/>
      <c r="L178" s="144"/>
      <c r="M178" s="145"/>
      <c r="N178" s="138"/>
      <c r="O178" s="138"/>
      <c r="P178" s="138"/>
      <c r="Q178" s="138"/>
      <c r="R178" s="138"/>
      <c r="S178" s="146" t="str">
        <f>IFERROR(Q178/R178,"-")</f>
        <v>-</v>
      </c>
      <c r="T178" s="138" t="str">
        <f>'Kertas Kerja'!$I291</f>
        <v/>
      </c>
      <c r="U178" s="138" t="str">
        <f>IFERROR(S178*T178,)</f>
        <v/>
      </c>
      <c r="V178" s="147">
        <f>+U178/5.5</f>
        <v>0</v>
      </c>
      <c r="W178" s="147">
        <f>U178/1250</f>
        <v>0</v>
      </c>
      <c r="X178" s="147"/>
      <c r="Y178" s="148"/>
      <c r="Z178" s="148"/>
    </row>
    <row r="179" ht="15.75" customHeight="1">
      <c r="A179" s="138"/>
      <c r="B179" s="139"/>
      <c r="C179" s="140"/>
      <c r="D179" s="141"/>
      <c r="E179" s="141"/>
      <c r="F179" s="142" t="s">
        <v>765</v>
      </c>
      <c r="G179" s="142" t="s">
        <v>613</v>
      </c>
      <c r="H179" s="143">
        <v>5.5</v>
      </c>
      <c r="I179" s="143">
        <v>1.0</v>
      </c>
      <c r="J179" s="142" t="s">
        <v>166</v>
      </c>
      <c r="K179" s="144"/>
      <c r="L179" s="144"/>
      <c r="M179" s="145"/>
      <c r="N179" s="138"/>
      <c r="O179" s="138"/>
      <c r="P179" s="138"/>
      <c r="Q179" s="138"/>
      <c r="R179" s="138"/>
      <c r="S179" s="146"/>
      <c r="T179" s="138"/>
      <c r="U179" s="138"/>
      <c r="V179" s="147"/>
      <c r="W179" s="147"/>
      <c r="X179" s="147"/>
      <c r="Y179" s="148"/>
      <c r="Z179" s="148"/>
    </row>
    <row r="180" ht="15.75" customHeight="1">
      <c r="A180" s="138"/>
      <c r="B180" s="139"/>
      <c r="C180" s="140"/>
      <c r="D180" s="141"/>
      <c r="E180" s="141"/>
      <c r="F180" s="142" t="s">
        <v>767</v>
      </c>
      <c r="G180" s="142" t="s">
        <v>522</v>
      </c>
      <c r="H180" s="143">
        <v>11.0</v>
      </c>
      <c r="I180" s="149">
        <v>2.0</v>
      </c>
      <c r="J180" s="142" t="s">
        <v>166</v>
      </c>
      <c r="K180" s="144"/>
      <c r="L180" s="144"/>
      <c r="M180" s="145"/>
      <c r="N180" s="138"/>
      <c r="O180" s="138"/>
      <c r="P180" s="138"/>
      <c r="Q180" s="138"/>
      <c r="R180" s="138"/>
      <c r="S180" s="146"/>
      <c r="T180" s="138"/>
      <c r="U180" s="138"/>
      <c r="V180" s="147"/>
      <c r="W180" s="147"/>
      <c r="X180" s="147"/>
      <c r="Y180" s="148"/>
      <c r="Z180" s="148"/>
    </row>
    <row r="181" ht="15.75" customHeight="1">
      <c r="A181" s="138"/>
      <c r="B181" s="139"/>
      <c r="C181" s="140"/>
      <c r="D181" s="141"/>
      <c r="E181" s="141"/>
      <c r="F181" s="142" t="s">
        <v>98</v>
      </c>
      <c r="G181" s="142" t="s">
        <v>768</v>
      </c>
      <c r="H181" s="143">
        <v>5.5</v>
      </c>
      <c r="I181" s="143">
        <v>1.0</v>
      </c>
      <c r="J181" s="142" t="s">
        <v>166</v>
      </c>
      <c r="K181" s="144"/>
      <c r="L181" s="144"/>
      <c r="M181" s="145"/>
      <c r="N181" s="138"/>
      <c r="O181" s="138"/>
      <c r="P181" s="138"/>
      <c r="Q181" s="138"/>
      <c r="R181" s="138"/>
      <c r="S181" s="146"/>
      <c r="T181" s="138"/>
      <c r="U181" s="138"/>
      <c r="V181" s="147"/>
      <c r="W181" s="147"/>
      <c r="X181" s="147"/>
      <c r="Y181" s="148"/>
      <c r="Z181" s="148"/>
    </row>
    <row r="182" ht="15.75" customHeight="1">
      <c r="A182" s="138"/>
      <c r="B182" s="139"/>
      <c r="C182" s="140"/>
      <c r="D182" s="141"/>
      <c r="E182" s="141"/>
      <c r="F182" s="142" t="s">
        <v>628</v>
      </c>
      <c r="G182" s="142" t="s">
        <v>770</v>
      </c>
      <c r="H182" s="143">
        <v>11.0</v>
      </c>
      <c r="I182" s="143">
        <v>1.0</v>
      </c>
      <c r="J182" s="142" t="s">
        <v>151</v>
      </c>
      <c r="K182" s="144"/>
      <c r="L182" s="144"/>
      <c r="M182" s="145"/>
      <c r="N182" s="138"/>
      <c r="O182" s="138"/>
      <c r="P182" s="138"/>
      <c r="Q182" s="138"/>
      <c r="R182" s="138"/>
      <c r="S182" s="146"/>
      <c r="T182" s="138"/>
      <c r="U182" s="138"/>
      <c r="V182" s="147"/>
      <c r="W182" s="147"/>
      <c r="X182" s="147"/>
      <c r="Y182" s="148"/>
      <c r="Z182" s="148"/>
    </row>
    <row r="183" ht="15.75" customHeight="1">
      <c r="A183" s="138"/>
      <c r="B183" s="139"/>
      <c r="C183" s="140"/>
      <c r="D183" s="141"/>
      <c r="E183" s="141"/>
      <c r="F183" s="142" t="s">
        <v>311</v>
      </c>
      <c r="G183" s="142" t="s">
        <v>771</v>
      </c>
      <c r="H183" s="143">
        <v>5.5</v>
      </c>
      <c r="I183" s="143">
        <v>1.0</v>
      </c>
      <c r="J183" s="142" t="s">
        <v>166</v>
      </c>
      <c r="K183" s="144"/>
      <c r="L183" s="144"/>
      <c r="M183" s="145"/>
      <c r="N183" s="138"/>
      <c r="O183" s="138"/>
      <c r="P183" s="138"/>
      <c r="Q183" s="138"/>
      <c r="R183" s="138"/>
      <c r="S183" s="146"/>
      <c r="T183" s="138"/>
      <c r="U183" s="138"/>
      <c r="V183" s="147"/>
      <c r="W183" s="147"/>
      <c r="X183" s="147"/>
      <c r="Y183" s="148"/>
      <c r="Z183" s="148"/>
    </row>
    <row r="184" ht="15.75" customHeight="1">
      <c r="A184" s="138"/>
      <c r="B184" s="139"/>
      <c r="C184" s="140"/>
      <c r="D184" s="141"/>
      <c r="E184" s="141"/>
      <c r="F184" s="142" t="s">
        <v>323</v>
      </c>
      <c r="G184" s="142" t="s">
        <v>772</v>
      </c>
      <c r="H184" s="143">
        <v>11.0</v>
      </c>
      <c r="I184" s="143">
        <v>1.0</v>
      </c>
      <c r="J184" s="142" t="s">
        <v>196</v>
      </c>
      <c r="K184" s="144"/>
      <c r="L184" s="144"/>
      <c r="M184" s="145"/>
      <c r="N184" s="138"/>
      <c r="O184" s="138"/>
      <c r="P184" s="138"/>
      <c r="Q184" s="138"/>
      <c r="R184" s="138"/>
      <c r="S184" s="146"/>
      <c r="T184" s="138"/>
      <c r="U184" s="138"/>
      <c r="V184" s="147"/>
      <c r="W184" s="147"/>
      <c r="X184" s="147"/>
      <c r="Y184" s="148"/>
      <c r="Z184" s="148"/>
    </row>
    <row r="185" ht="15.75" customHeight="1">
      <c r="A185" s="138"/>
      <c r="B185" s="139"/>
      <c r="C185" s="140"/>
      <c r="D185" s="141"/>
      <c r="E185" s="141"/>
      <c r="F185" s="142" t="s">
        <v>136</v>
      </c>
      <c r="G185" s="142" t="s">
        <v>546</v>
      </c>
      <c r="H185" s="143">
        <v>11.0</v>
      </c>
      <c r="I185" s="143">
        <v>1.0</v>
      </c>
      <c r="J185" s="142" t="s">
        <v>151</v>
      </c>
      <c r="K185" s="144"/>
      <c r="L185" s="144"/>
      <c r="M185" s="145"/>
      <c r="N185" s="138"/>
      <c r="O185" s="138"/>
      <c r="P185" s="138"/>
      <c r="Q185" s="138"/>
      <c r="R185" s="138"/>
      <c r="S185" s="146"/>
      <c r="T185" s="138"/>
      <c r="U185" s="138"/>
      <c r="V185" s="147"/>
      <c r="W185" s="147"/>
      <c r="X185" s="147"/>
      <c r="Y185" s="148"/>
      <c r="Z185" s="148"/>
    </row>
    <row r="186" ht="15.75" customHeight="1">
      <c r="A186" s="138"/>
      <c r="B186" s="139"/>
      <c r="C186" s="140"/>
      <c r="D186" s="141"/>
      <c r="E186" s="141"/>
      <c r="F186" s="142" t="s">
        <v>774</v>
      </c>
      <c r="G186" s="142" t="s">
        <v>775</v>
      </c>
      <c r="H186" s="143">
        <v>5.5</v>
      </c>
      <c r="I186" s="143">
        <v>1.0</v>
      </c>
      <c r="J186" s="142" t="s">
        <v>151</v>
      </c>
      <c r="K186" s="144"/>
      <c r="L186" s="144"/>
      <c r="M186" s="145"/>
      <c r="N186" s="138"/>
      <c r="O186" s="138"/>
      <c r="P186" s="138"/>
      <c r="Q186" s="138"/>
      <c r="R186" s="138"/>
      <c r="S186" s="146"/>
      <c r="T186" s="138"/>
      <c r="U186" s="138"/>
      <c r="V186" s="147"/>
      <c r="W186" s="147"/>
      <c r="X186" s="147"/>
      <c r="Y186" s="148"/>
      <c r="Z186" s="148"/>
    </row>
    <row r="187" ht="15.75" customHeight="1">
      <c r="A187" s="138"/>
      <c r="B187" s="139"/>
      <c r="C187" s="140"/>
      <c r="D187" s="141"/>
      <c r="E187" s="141"/>
      <c r="F187" s="142" t="s">
        <v>364</v>
      </c>
      <c r="G187" s="142" t="s">
        <v>554</v>
      </c>
      <c r="H187" s="143">
        <v>5.5</v>
      </c>
      <c r="I187" s="143">
        <v>1.0</v>
      </c>
      <c r="J187" s="142" t="s">
        <v>196</v>
      </c>
      <c r="K187" s="144"/>
      <c r="L187" s="144"/>
      <c r="M187" s="145"/>
      <c r="N187" s="138"/>
      <c r="O187" s="138"/>
      <c r="P187" s="138"/>
      <c r="Q187" s="138"/>
      <c r="R187" s="138"/>
      <c r="S187" s="146"/>
      <c r="T187" s="138"/>
      <c r="U187" s="138"/>
      <c r="V187" s="147"/>
      <c r="W187" s="147"/>
      <c r="X187" s="147"/>
      <c r="Y187" s="148"/>
      <c r="Z187" s="148"/>
    </row>
    <row r="188" ht="15.75" customHeight="1">
      <c r="A188" s="138"/>
      <c r="B188" s="139"/>
      <c r="C188" s="140"/>
      <c r="D188" s="141"/>
      <c r="E188" s="141"/>
      <c r="F188" s="142" t="s">
        <v>777</v>
      </c>
      <c r="G188" s="142" t="s">
        <v>207</v>
      </c>
      <c r="H188" s="143">
        <v>5.5</v>
      </c>
      <c r="I188" s="143">
        <v>1.0</v>
      </c>
      <c r="J188" s="142" t="s">
        <v>166</v>
      </c>
      <c r="K188" s="144"/>
      <c r="L188" s="144"/>
      <c r="M188" s="145"/>
      <c r="N188" s="138"/>
      <c r="O188" s="138"/>
      <c r="P188" s="138"/>
      <c r="Q188" s="138"/>
      <c r="R188" s="138"/>
      <c r="S188" s="146"/>
      <c r="T188" s="138"/>
      <c r="U188" s="138"/>
      <c r="V188" s="147"/>
      <c r="W188" s="147"/>
      <c r="X188" s="147"/>
      <c r="Y188" s="148"/>
      <c r="Z188" s="148"/>
    </row>
    <row r="189" ht="15.75" customHeight="1">
      <c r="A189" s="138"/>
      <c r="B189" s="139"/>
      <c r="C189" s="140"/>
      <c r="D189" s="141"/>
      <c r="E189" s="141"/>
      <c r="F189" s="142" t="s">
        <v>379</v>
      </c>
      <c r="G189" s="142" t="s">
        <v>220</v>
      </c>
      <c r="H189" s="143">
        <v>5.5</v>
      </c>
      <c r="I189" s="143">
        <v>1.0</v>
      </c>
      <c r="J189" s="142" t="s">
        <v>166</v>
      </c>
      <c r="K189" s="144"/>
      <c r="L189" s="144"/>
      <c r="M189" s="145"/>
      <c r="N189" s="138"/>
      <c r="O189" s="138"/>
      <c r="P189" s="138"/>
      <c r="Q189" s="138"/>
      <c r="R189" s="138"/>
      <c r="S189" s="146"/>
      <c r="T189" s="138"/>
      <c r="U189" s="138"/>
      <c r="V189" s="147"/>
      <c r="W189" s="147"/>
      <c r="X189" s="147"/>
      <c r="Y189" s="148"/>
      <c r="Z189" s="148"/>
    </row>
    <row r="190" ht="15.75" customHeight="1">
      <c r="A190" s="138"/>
      <c r="B190" s="139"/>
      <c r="C190" s="140"/>
      <c r="D190" s="141"/>
      <c r="E190" s="141"/>
      <c r="F190" s="142" t="s">
        <v>385</v>
      </c>
      <c r="G190" s="142" t="s">
        <v>567</v>
      </c>
      <c r="H190" s="143">
        <v>5.5</v>
      </c>
      <c r="I190" s="143">
        <v>1.0</v>
      </c>
      <c r="J190" s="142" t="s">
        <v>166</v>
      </c>
      <c r="K190" s="144"/>
      <c r="L190" s="144"/>
      <c r="M190" s="145"/>
      <c r="N190" s="138"/>
      <c r="O190" s="138"/>
      <c r="P190" s="138"/>
      <c r="Q190" s="138"/>
      <c r="R190" s="138"/>
      <c r="S190" s="146"/>
      <c r="T190" s="138"/>
      <c r="U190" s="138"/>
      <c r="V190" s="147"/>
      <c r="W190" s="147"/>
      <c r="X190" s="147"/>
      <c r="Y190" s="148"/>
      <c r="Z190" s="148"/>
    </row>
    <row r="191" ht="15.75" customHeight="1">
      <c r="A191" s="138"/>
      <c r="B191" s="139"/>
      <c r="C191" s="140"/>
      <c r="D191" s="141"/>
      <c r="E191" s="141"/>
      <c r="F191" s="142" t="s">
        <v>393</v>
      </c>
      <c r="G191" s="142" t="s">
        <v>780</v>
      </c>
      <c r="H191" s="143">
        <v>5.5</v>
      </c>
      <c r="I191" s="143">
        <v>1.0</v>
      </c>
      <c r="J191" s="142" t="s">
        <v>166</v>
      </c>
      <c r="K191" s="144"/>
      <c r="L191" s="144"/>
      <c r="M191" s="145"/>
      <c r="N191" s="138"/>
      <c r="O191" s="138"/>
      <c r="P191" s="138"/>
      <c r="Q191" s="138"/>
      <c r="R191" s="138"/>
      <c r="S191" s="146"/>
      <c r="T191" s="138"/>
      <c r="U191" s="138"/>
      <c r="V191" s="147"/>
      <c r="W191" s="147"/>
      <c r="X191" s="147"/>
      <c r="Y191" s="148"/>
      <c r="Z191" s="148"/>
    </row>
    <row r="192" ht="15.75" customHeight="1">
      <c r="A192" s="138"/>
      <c r="B192" s="139"/>
      <c r="C192" s="140"/>
      <c r="D192" s="141"/>
      <c r="E192" s="141"/>
      <c r="F192" s="142" t="s">
        <v>781</v>
      </c>
      <c r="G192" s="142" t="s">
        <v>220</v>
      </c>
      <c r="H192" s="143">
        <v>5.5</v>
      </c>
      <c r="I192" s="143">
        <v>1.0</v>
      </c>
      <c r="J192" s="142" t="s">
        <v>166</v>
      </c>
      <c r="K192" s="144"/>
      <c r="L192" s="144"/>
      <c r="M192" s="145"/>
      <c r="N192" s="138"/>
      <c r="O192" s="138"/>
      <c r="P192" s="138"/>
      <c r="Q192" s="138"/>
      <c r="R192" s="138"/>
      <c r="S192" s="146"/>
      <c r="T192" s="138"/>
      <c r="U192" s="138"/>
      <c r="V192" s="147"/>
      <c r="W192" s="147"/>
      <c r="X192" s="147"/>
      <c r="Y192" s="148"/>
      <c r="Z192" s="148"/>
    </row>
    <row r="193" ht="15.75" customHeight="1">
      <c r="A193" s="138"/>
      <c r="B193" s="139"/>
      <c r="C193" s="140"/>
      <c r="D193" s="141"/>
      <c r="E193" s="141"/>
      <c r="F193" s="142" t="s">
        <v>403</v>
      </c>
      <c r="G193" s="142" t="s">
        <v>583</v>
      </c>
      <c r="H193" s="143">
        <v>5.5</v>
      </c>
      <c r="I193" s="143">
        <v>1.0</v>
      </c>
      <c r="J193" s="142" t="s">
        <v>166</v>
      </c>
      <c r="K193" s="144"/>
      <c r="L193" s="144"/>
      <c r="M193" s="145"/>
      <c r="N193" s="138"/>
      <c r="O193" s="138"/>
      <c r="P193" s="138"/>
      <c r="Q193" s="138"/>
      <c r="R193" s="138"/>
      <c r="S193" s="146"/>
      <c r="T193" s="138"/>
      <c r="U193" s="138"/>
      <c r="V193" s="147"/>
      <c r="W193" s="147"/>
      <c r="X193" s="147"/>
      <c r="Y193" s="148"/>
      <c r="Z193" s="148"/>
    </row>
    <row r="194" ht="15.75" customHeight="1">
      <c r="A194" s="138"/>
      <c r="B194" s="139"/>
      <c r="C194" s="140"/>
      <c r="D194" s="141"/>
      <c r="E194" s="141"/>
      <c r="F194" s="142" t="s">
        <v>410</v>
      </c>
      <c r="G194" s="142" t="s">
        <v>783</v>
      </c>
      <c r="H194" s="143">
        <v>11.0</v>
      </c>
      <c r="I194" s="143">
        <v>1.0</v>
      </c>
      <c r="J194" s="142" t="s">
        <v>269</v>
      </c>
      <c r="K194" s="144"/>
      <c r="L194" s="144"/>
      <c r="M194" s="145"/>
      <c r="N194" s="138"/>
      <c r="O194" s="138"/>
      <c r="P194" s="138"/>
      <c r="Q194" s="138"/>
      <c r="R194" s="138"/>
      <c r="S194" s="146"/>
      <c r="T194" s="138"/>
      <c r="U194" s="138"/>
      <c r="V194" s="147"/>
      <c r="W194" s="147"/>
      <c r="X194" s="147"/>
      <c r="Y194" s="148"/>
      <c r="Z194" s="148"/>
    </row>
    <row r="195" ht="15.75" customHeight="1">
      <c r="A195" s="138"/>
      <c r="B195" s="139"/>
      <c r="C195" s="140"/>
      <c r="D195" s="141"/>
      <c r="E195" s="141"/>
      <c r="F195" s="142" t="s">
        <v>785</v>
      </c>
      <c r="G195" s="142" t="s">
        <v>594</v>
      </c>
      <c r="H195" s="143">
        <v>16.5</v>
      </c>
      <c r="I195" s="149">
        <v>2.0</v>
      </c>
      <c r="J195" s="142" t="s">
        <v>536</v>
      </c>
      <c r="K195" s="144"/>
      <c r="L195" s="144"/>
      <c r="M195" s="145"/>
      <c r="N195" s="138"/>
      <c r="O195" s="138"/>
      <c r="P195" s="138"/>
      <c r="Q195" s="138"/>
      <c r="R195" s="138"/>
      <c r="S195" s="146"/>
      <c r="T195" s="138"/>
      <c r="U195" s="138"/>
      <c r="V195" s="147"/>
      <c r="W195" s="147"/>
      <c r="X195" s="147"/>
      <c r="Y195" s="148"/>
      <c r="Z195" s="148"/>
    </row>
    <row r="196" ht="15.75" customHeight="1">
      <c r="A196" s="138"/>
      <c r="B196" s="139"/>
      <c r="C196" s="140"/>
      <c r="D196" s="141"/>
      <c r="E196" s="141"/>
      <c r="F196" s="142" t="s">
        <v>786</v>
      </c>
      <c r="G196" s="142" t="s">
        <v>604</v>
      </c>
      <c r="H196" s="143">
        <v>5.5</v>
      </c>
      <c r="I196" s="143">
        <v>1.0</v>
      </c>
      <c r="J196" s="142" t="s">
        <v>166</v>
      </c>
      <c r="K196" s="144"/>
      <c r="L196" s="144"/>
      <c r="M196" s="145"/>
      <c r="N196" s="138"/>
      <c r="O196" s="138"/>
      <c r="P196" s="138"/>
      <c r="Q196" s="138"/>
      <c r="R196" s="138"/>
      <c r="S196" s="146"/>
      <c r="T196" s="138"/>
      <c r="U196" s="138"/>
      <c r="V196" s="147"/>
      <c r="W196" s="147"/>
      <c r="X196" s="147"/>
      <c r="Y196" s="148"/>
      <c r="Z196" s="148"/>
    </row>
    <row r="197" ht="15.75" customHeight="1">
      <c r="A197" s="138"/>
      <c r="B197" s="139"/>
      <c r="C197" s="140"/>
      <c r="D197" s="141"/>
      <c r="E197" s="141"/>
      <c r="F197" s="142" t="s">
        <v>422</v>
      </c>
      <c r="G197" s="142" t="s">
        <v>788</v>
      </c>
      <c r="H197" s="143">
        <v>11.0</v>
      </c>
      <c r="I197" s="143">
        <v>1.0</v>
      </c>
      <c r="J197" s="142" t="s">
        <v>196</v>
      </c>
      <c r="K197" s="144"/>
      <c r="L197" s="144"/>
      <c r="M197" s="145"/>
      <c r="N197" s="138"/>
      <c r="O197" s="138"/>
      <c r="P197" s="138"/>
      <c r="Q197" s="138"/>
      <c r="R197" s="138"/>
      <c r="S197" s="146"/>
      <c r="T197" s="138"/>
      <c r="U197" s="138"/>
      <c r="V197" s="147"/>
      <c r="W197" s="147"/>
      <c r="X197" s="147"/>
      <c r="Y197" s="148"/>
      <c r="Z197" s="148"/>
    </row>
    <row r="198" ht="15.75" customHeight="1">
      <c r="A198" s="43" t="s">
        <v>54</v>
      </c>
      <c r="B198" s="44" t="s">
        <v>17</v>
      </c>
      <c r="C198" s="45" t="s">
        <v>110</v>
      </c>
      <c r="D198" s="46" t="s">
        <v>789</v>
      </c>
      <c r="E198" s="150" t="s">
        <v>790</v>
      </c>
      <c r="F198" s="47" t="s">
        <v>791</v>
      </c>
      <c r="G198" s="47" t="s">
        <v>792</v>
      </c>
      <c r="H198" s="151" t="s">
        <v>793</v>
      </c>
      <c r="I198" s="151">
        <v>6.0</v>
      </c>
      <c r="J198" s="47" t="s">
        <v>322</v>
      </c>
      <c r="K198" s="50"/>
      <c r="L198" s="50"/>
      <c r="M198" s="48"/>
      <c r="N198" s="43"/>
      <c r="O198" s="43"/>
      <c r="P198" s="43"/>
      <c r="Q198" s="43"/>
      <c r="R198" s="43"/>
      <c r="S198" s="54" t="str">
        <f>IFERROR(Q198/R198,"-")</f>
        <v>-</v>
      </c>
      <c r="T198" s="43" t="str">
        <f>'Kertas Kerja'!$I278</f>
        <v/>
      </c>
      <c r="U198" s="43" t="str">
        <f>IFERROR(S198*T198,)</f>
        <v/>
      </c>
      <c r="V198" s="56">
        <f>+U198/5.5</f>
        <v>0</v>
      </c>
      <c r="W198" s="56">
        <f>U198/1250</f>
        <v>0</v>
      </c>
      <c r="X198" s="56"/>
      <c r="Y198" s="80"/>
      <c r="Z198" s="80"/>
    </row>
    <row r="199" ht="15.75" customHeight="1">
      <c r="A199" s="43"/>
      <c r="B199" s="44"/>
      <c r="C199" s="45"/>
      <c r="D199" s="46" t="s">
        <v>789</v>
      </c>
      <c r="E199" s="150" t="s">
        <v>790</v>
      </c>
      <c r="F199" s="47" t="s">
        <v>796</v>
      </c>
      <c r="G199" s="47" t="s">
        <v>797</v>
      </c>
      <c r="H199" s="151" t="s">
        <v>798</v>
      </c>
      <c r="I199" s="151">
        <v>2.0</v>
      </c>
      <c r="J199" s="47" t="s">
        <v>799</v>
      </c>
      <c r="K199" s="50"/>
      <c r="L199" s="50"/>
      <c r="M199" s="48"/>
      <c r="N199" s="43"/>
      <c r="O199" s="43"/>
      <c r="P199" s="43"/>
      <c r="Q199" s="43"/>
      <c r="R199" s="43"/>
      <c r="S199" s="54"/>
      <c r="T199" s="43"/>
      <c r="U199" s="43"/>
      <c r="V199" s="56"/>
      <c r="W199" s="56"/>
      <c r="X199" s="56"/>
      <c r="Y199" s="80"/>
      <c r="Z199" s="80"/>
    </row>
    <row r="200" ht="15.75" customHeight="1">
      <c r="A200" s="43"/>
      <c r="B200" s="44"/>
      <c r="C200" s="45"/>
      <c r="D200" s="46" t="s">
        <v>789</v>
      </c>
      <c r="E200" s="150" t="s">
        <v>790</v>
      </c>
      <c r="F200" s="47" t="s">
        <v>800</v>
      </c>
      <c r="G200" s="47" t="s">
        <v>801</v>
      </c>
      <c r="H200" s="151" t="s">
        <v>802</v>
      </c>
      <c r="I200" s="151">
        <v>17.0</v>
      </c>
      <c r="J200" s="47" t="s">
        <v>803</v>
      </c>
      <c r="K200" s="50"/>
      <c r="L200" s="50"/>
      <c r="M200" s="48"/>
      <c r="N200" s="43"/>
      <c r="O200" s="43"/>
      <c r="P200" s="43"/>
      <c r="Q200" s="43"/>
      <c r="R200" s="43"/>
      <c r="S200" s="54"/>
      <c r="T200" s="43"/>
      <c r="U200" s="43"/>
      <c r="V200" s="56"/>
      <c r="W200" s="56"/>
      <c r="X200" s="56"/>
      <c r="Y200" s="80"/>
      <c r="Z200" s="80"/>
    </row>
    <row r="201" ht="15.75" customHeight="1">
      <c r="A201" s="43"/>
      <c r="B201" s="44"/>
      <c r="C201" s="45"/>
      <c r="D201" s="46" t="s">
        <v>789</v>
      </c>
      <c r="E201" s="150" t="s">
        <v>790</v>
      </c>
      <c r="F201" s="47" t="s">
        <v>804</v>
      </c>
      <c r="G201" s="47" t="s">
        <v>805</v>
      </c>
      <c r="H201" s="151" t="s">
        <v>806</v>
      </c>
      <c r="I201" s="151">
        <v>2.0</v>
      </c>
      <c r="J201" s="47" t="s">
        <v>803</v>
      </c>
      <c r="K201" s="50"/>
      <c r="L201" s="50"/>
      <c r="M201" s="48"/>
      <c r="N201" s="43"/>
      <c r="O201" s="43"/>
      <c r="P201" s="43"/>
      <c r="Q201" s="43"/>
      <c r="R201" s="43"/>
      <c r="S201" s="54"/>
      <c r="T201" s="43"/>
      <c r="U201" s="43"/>
      <c r="V201" s="56"/>
      <c r="W201" s="56"/>
      <c r="X201" s="56"/>
      <c r="Y201" s="80"/>
      <c r="Z201" s="80"/>
    </row>
    <row r="202" ht="15.75" customHeight="1">
      <c r="A202" s="43"/>
      <c r="B202" s="44"/>
      <c r="C202" s="45"/>
      <c r="D202" s="46" t="s">
        <v>789</v>
      </c>
      <c r="E202" s="150" t="s">
        <v>790</v>
      </c>
      <c r="F202" s="47" t="s">
        <v>808</v>
      </c>
      <c r="G202" s="47" t="s">
        <v>809</v>
      </c>
      <c r="H202" s="151" t="s">
        <v>810</v>
      </c>
      <c r="I202" s="151">
        <v>1.0</v>
      </c>
      <c r="J202" s="47" t="s">
        <v>151</v>
      </c>
      <c r="K202" s="50"/>
      <c r="L202" s="50"/>
      <c r="M202" s="48"/>
      <c r="N202" s="43"/>
      <c r="O202" s="43"/>
      <c r="P202" s="43"/>
      <c r="Q202" s="43"/>
      <c r="R202" s="43"/>
      <c r="S202" s="54"/>
      <c r="T202" s="43"/>
      <c r="U202" s="43"/>
      <c r="V202" s="56"/>
      <c r="W202" s="56"/>
      <c r="X202" s="56"/>
      <c r="Y202" s="80"/>
      <c r="Z202" s="80"/>
    </row>
    <row r="203" ht="15.75" customHeight="1">
      <c r="A203" s="43"/>
      <c r="B203" s="44"/>
      <c r="C203" s="45"/>
      <c r="D203" s="46" t="s">
        <v>789</v>
      </c>
      <c r="E203" s="150" t="s">
        <v>790</v>
      </c>
      <c r="F203" s="47" t="s">
        <v>811</v>
      </c>
      <c r="G203" s="47" t="s">
        <v>812</v>
      </c>
      <c r="H203" s="151" t="s">
        <v>813</v>
      </c>
      <c r="I203" s="151">
        <v>1.0</v>
      </c>
      <c r="J203" s="47" t="s">
        <v>196</v>
      </c>
      <c r="K203" s="50"/>
      <c r="L203" s="50"/>
      <c r="M203" s="48"/>
      <c r="N203" s="43"/>
      <c r="O203" s="43"/>
      <c r="P203" s="43"/>
      <c r="Q203" s="43"/>
      <c r="R203" s="43"/>
      <c r="S203" s="54"/>
      <c r="T203" s="43"/>
      <c r="U203" s="43"/>
      <c r="V203" s="56"/>
      <c r="W203" s="56"/>
      <c r="X203" s="56"/>
      <c r="Y203" s="80"/>
      <c r="Z203" s="80"/>
    </row>
    <row r="204" ht="15.75" customHeight="1">
      <c r="A204" s="43"/>
      <c r="B204" s="44"/>
      <c r="C204" s="45"/>
      <c r="D204" s="46" t="s">
        <v>789</v>
      </c>
      <c r="E204" s="150" t="s">
        <v>790</v>
      </c>
      <c r="F204" s="47" t="s">
        <v>815</v>
      </c>
      <c r="G204" s="47" t="s">
        <v>816</v>
      </c>
      <c r="H204" s="151" t="s">
        <v>806</v>
      </c>
      <c r="I204" s="151">
        <f>84+60</f>
        <v>144</v>
      </c>
      <c r="J204" s="47" t="s">
        <v>817</v>
      </c>
      <c r="K204" s="50"/>
      <c r="L204" s="50"/>
      <c r="M204" s="48"/>
      <c r="N204" s="43"/>
      <c r="O204" s="43"/>
      <c r="P204" s="43"/>
      <c r="Q204" s="43"/>
      <c r="R204" s="43"/>
      <c r="S204" s="54"/>
      <c r="T204" s="43"/>
      <c r="U204" s="43"/>
      <c r="V204" s="56"/>
      <c r="W204" s="56"/>
      <c r="X204" s="56"/>
      <c r="Y204" s="80"/>
      <c r="Z204" s="80"/>
    </row>
    <row r="205" ht="15.75" customHeight="1">
      <c r="A205" s="43"/>
      <c r="B205" s="44"/>
      <c r="C205" s="45"/>
      <c r="D205" s="46" t="s">
        <v>789</v>
      </c>
      <c r="E205" s="150" t="s">
        <v>790</v>
      </c>
      <c r="F205" s="47" t="s">
        <v>819</v>
      </c>
      <c r="G205" s="47" t="s">
        <v>820</v>
      </c>
      <c r="H205" s="151" t="s">
        <v>813</v>
      </c>
      <c r="I205" s="151">
        <v>1.0</v>
      </c>
      <c r="J205" s="47" t="s">
        <v>821</v>
      </c>
      <c r="K205" s="50"/>
      <c r="L205" s="50"/>
      <c r="M205" s="48"/>
      <c r="N205" s="43"/>
      <c r="O205" s="43"/>
      <c r="P205" s="43"/>
      <c r="Q205" s="43"/>
      <c r="R205" s="43"/>
      <c r="S205" s="54"/>
      <c r="T205" s="43"/>
      <c r="U205" s="43"/>
      <c r="V205" s="56"/>
      <c r="W205" s="56"/>
      <c r="X205" s="56"/>
      <c r="Y205" s="80"/>
      <c r="Z205" s="80"/>
    </row>
    <row r="206" ht="15.75" customHeight="1">
      <c r="A206" s="43"/>
      <c r="B206" s="44"/>
      <c r="C206" s="45"/>
      <c r="D206" s="46" t="s">
        <v>789</v>
      </c>
      <c r="E206" s="150" t="s">
        <v>790</v>
      </c>
      <c r="F206" s="47" t="s">
        <v>822</v>
      </c>
      <c r="G206" s="47" t="s">
        <v>823</v>
      </c>
      <c r="H206" s="151" t="s">
        <v>824</v>
      </c>
      <c r="I206" s="49">
        <f t="shared" ref="I206:I209" si="17">756+240</f>
        <v>996</v>
      </c>
      <c r="J206" s="47" t="s">
        <v>825</v>
      </c>
      <c r="K206" s="50"/>
      <c r="L206" s="50"/>
      <c r="M206" s="48"/>
      <c r="N206" s="43"/>
      <c r="O206" s="43"/>
      <c r="P206" s="43"/>
      <c r="Q206" s="43"/>
      <c r="R206" s="43"/>
      <c r="S206" s="54"/>
      <c r="T206" s="43"/>
      <c r="U206" s="43"/>
      <c r="V206" s="56"/>
      <c r="W206" s="56"/>
      <c r="X206" s="56"/>
      <c r="Y206" s="80"/>
      <c r="Z206" s="80"/>
    </row>
    <row r="207" ht="15.75" customHeight="1">
      <c r="A207" s="43"/>
      <c r="B207" s="44"/>
      <c r="C207" s="45"/>
      <c r="D207" s="46" t="s">
        <v>789</v>
      </c>
      <c r="E207" s="150" t="s">
        <v>790</v>
      </c>
      <c r="F207" s="47" t="s">
        <v>827</v>
      </c>
      <c r="G207" s="47" t="s">
        <v>828</v>
      </c>
      <c r="H207" s="151" t="s">
        <v>829</v>
      </c>
      <c r="I207" s="49">
        <f t="shared" si="17"/>
        <v>996</v>
      </c>
      <c r="J207" s="47" t="s">
        <v>825</v>
      </c>
      <c r="K207" s="50"/>
      <c r="L207" s="50"/>
      <c r="M207" s="48"/>
      <c r="N207" s="43"/>
      <c r="O207" s="43"/>
      <c r="P207" s="43"/>
      <c r="Q207" s="43"/>
      <c r="R207" s="43"/>
      <c r="S207" s="54"/>
      <c r="T207" s="43"/>
      <c r="U207" s="43"/>
      <c r="V207" s="56"/>
      <c r="W207" s="56"/>
      <c r="X207" s="56"/>
      <c r="Y207" s="80"/>
      <c r="Z207" s="80"/>
    </row>
    <row r="208" ht="15.75" customHeight="1">
      <c r="A208" s="43"/>
      <c r="B208" s="44"/>
      <c r="C208" s="45"/>
      <c r="D208" s="46" t="s">
        <v>789</v>
      </c>
      <c r="E208" s="150" t="s">
        <v>790</v>
      </c>
      <c r="F208" s="47" t="s">
        <v>830</v>
      </c>
      <c r="G208" s="47" t="s">
        <v>832</v>
      </c>
      <c r="H208" s="151" t="s">
        <v>829</v>
      </c>
      <c r="I208" s="49">
        <f t="shared" si="17"/>
        <v>996</v>
      </c>
      <c r="J208" s="47" t="s">
        <v>825</v>
      </c>
      <c r="K208" s="50"/>
      <c r="L208" s="50"/>
      <c r="M208" s="48"/>
      <c r="N208" s="43"/>
      <c r="O208" s="43"/>
      <c r="P208" s="43"/>
      <c r="Q208" s="43"/>
      <c r="R208" s="43"/>
      <c r="S208" s="54"/>
      <c r="T208" s="43"/>
      <c r="U208" s="43"/>
      <c r="V208" s="56"/>
      <c r="W208" s="56"/>
      <c r="X208" s="56"/>
      <c r="Y208" s="80"/>
      <c r="Z208" s="80"/>
    </row>
    <row r="209" ht="15.75" customHeight="1">
      <c r="A209" s="43"/>
      <c r="B209" s="44"/>
      <c r="C209" s="45"/>
      <c r="D209" s="46" t="s">
        <v>789</v>
      </c>
      <c r="E209" s="150" t="s">
        <v>790</v>
      </c>
      <c r="F209" s="47" t="s">
        <v>833</v>
      </c>
      <c r="G209" s="47" t="s">
        <v>834</v>
      </c>
      <c r="H209" s="151" t="s">
        <v>829</v>
      </c>
      <c r="I209" s="49">
        <f t="shared" si="17"/>
        <v>996</v>
      </c>
      <c r="J209" s="47" t="s">
        <v>825</v>
      </c>
      <c r="K209" s="50"/>
      <c r="L209" s="50"/>
      <c r="M209" s="48"/>
      <c r="N209" s="43"/>
      <c r="O209" s="43"/>
      <c r="P209" s="43"/>
      <c r="Q209" s="43"/>
      <c r="R209" s="43"/>
      <c r="S209" s="54"/>
      <c r="T209" s="43"/>
      <c r="U209" s="43"/>
      <c r="V209" s="56"/>
      <c r="W209" s="56"/>
      <c r="X209" s="56"/>
      <c r="Y209" s="80"/>
      <c r="Z209" s="80"/>
    </row>
    <row r="210" ht="15.75" customHeight="1">
      <c r="A210" s="43"/>
      <c r="B210" s="44"/>
      <c r="C210" s="45"/>
      <c r="D210" s="46" t="s">
        <v>789</v>
      </c>
      <c r="E210" s="150" t="s">
        <v>790</v>
      </c>
      <c r="F210" s="47" t="s">
        <v>836</v>
      </c>
      <c r="G210" s="47" t="s">
        <v>837</v>
      </c>
      <c r="H210" s="151" t="s">
        <v>810</v>
      </c>
      <c r="I210" s="151">
        <v>1.0</v>
      </c>
      <c r="J210" s="47" t="s">
        <v>322</v>
      </c>
      <c r="K210" s="50"/>
      <c r="L210" s="50"/>
      <c r="M210" s="48"/>
      <c r="N210" s="43"/>
      <c r="O210" s="43"/>
      <c r="P210" s="43"/>
      <c r="Q210" s="43"/>
      <c r="R210" s="43"/>
      <c r="S210" s="54"/>
      <c r="T210" s="43"/>
      <c r="U210" s="43"/>
      <c r="V210" s="56"/>
      <c r="W210" s="56"/>
      <c r="X210" s="56"/>
      <c r="Y210" s="80"/>
      <c r="Z210" s="80"/>
    </row>
    <row r="211" ht="15.75" customHeight="1">
      <c r="A211" s="43"/>
      <c r="B211" s="44"/>
      <c r="C211" s="45"/>
      <c r="D211" s="46" t="s">
        <v>789</v>
      </c>
      <c r="E211" s="150" t="s">
        <v>790</v>
      </c>
      <c r="F211" s="47" t="s">
        <v>838</v>
      </c>
      <c r="G211" s="47" t="s">
        <v>839</v>
      </c>
      <c r="H211" s="151" t="s">
        <v>829</v>
      </c>
      <c r="I211" s="151">
        <v>1.0</v>
      </c>
      <c r="J211" s="47" t="s">
        <v>841</v>
      </c>
      <c r="K211" s="50"/>
      <c r="L211" s="50"/>
      <c r="M211" s="48"/>
      <c r="N211" s="43"/>
      <c r="O211" s="43"/>
      <c r="P211" s="43"/>
      <c r="Q211" s="43"/>
      <c r="R211" s="43"/>
      <c r="S211" s="54"/>
      <c r="T211" s="43"/>
      <c r="U211" s="43"/>
      <c r="V211" s="56"/>
      <c r="W211" s="56"/>
      <c r="X211" s="56"/>
      <c r="Y211" s="80"/>
      <c r="Z211" s="80"/>
    </row>
    <row r="212" ht="15.75" customHeight="1">
      <c r="A212" s="43"/>
      <c r="B212" s="44"/>
      <c r="C212" s="45"/>
      <c r="D212" s="46" t="s">
        <v>789</v>
      </c>
      <c r="E212" s="150" t="s">
        <v>790</v>
      </c>
      <c r="F212" s="47" t="s">
        <v>843</v>
      </c>
      <c r="G212" s="47" t="s">
        <v>844</v>
      </c>
      <c r="H212" s="151" t="s">
        <v>845</v>
      </c>
      <c r="I212" s="151">
        <v>1.0</v>
      </c>
      <c r="J212" s="47" t="s">
        <v>151</v>
      </c>
      <c r="K212" s="50"/>
      <c r="L212" s="50"/>
      <c r="M212" s="48"/>
      <c r="N212" s="43"/>
      <c r="O212" s="43"/>
      <c r="P212" s="43"/>
      <c r="Q212" s="43"/>
      <c r="R212" s="43"/>
      <c r="S212" s="54"/>
      <c r="T212" s="43"/>
      <c r="U212" s="43"/>
      <c r="V212" s="56"/>
      <c r="W212" s="56"/>
      <c r="X212" s="56"/>
      <c r="Y212" s="80"/>
      <c r="Z212" s="80"/>
    </row>
    <row r="213" ht="15.75" customHeight="1">
      <c r="A213" s="43"/>
      <c r="B213" s="44"/>
      <c r="C213" s="45"/>
      <c r="D213" s="46" t="s">
        <v>789</v>
      </c>
      <c r="E213" s="150" t="s">
        <v>790</v>
      </c>
      <c r="F213" s="47" t="s">
        <v>848</v>
      </c>
      <c r="G213" s="47" t="s">
        <v>849</v>
      </c>
      <c r="H213" s="151" t="s">
        <v>810</v>
      </c>
      <c r="I213" s="49"/>
      <c r="J213" s="47" t="s">
        <v>850</v>
      </c>
      <c r="K213" s="50"/>
      <c r="L213" s="50"/>
      <c r="M213" s="48"/>
      <c r="N213" s="43"/>
      <c r="O213" s="43"/>
      <c r="P213" s="43"/>
      <c r="Q213" s="43"/>
      <c r="R213" s="43"/>
      <c r="S213" s="54"/>
      <c r="T213" s="43"/>
      <c r="U213" s="43"/>
      <c r="V213" s="56"/>
      <c r="W213" s="56"/>
      <c r="X213" s="56"/>
      <c r="Y213" s="80"/>
      <c r="Z213" s="80"/>
    </row>
    <row r="214" ht="15.75" customHeight="1">
      <c r="A214" s="43"/>
      <c r="B214" s="44"/>
      <c r="C214" s="45"/>
      <c r="D214" s="46" t="s">
        <v>789</v>
      </c>
      <c r="E214" s="150" t="s">
        <v>790</v>
      </c>
      <c r="F214" s="47" t="s">
        <v>851</v>
      </c>
      <c r="G214" s="47" t="s">
        <v>852</v>
      </c>
      <c r="H214" s="151" t="s">
        <v>810</v>
      </c>
      <c r="I214" s="151">
        <v>1.0</v>
      </c>
      <c r="J214" s="47" t="s">
        <v>344</v>
      </c>
      <c r="K214" s="50"/>
      <c r="L214" s="50"/>
      <c r="M214" s="48"/>
      <c r="N214" s="43"/>
      <c r="O214" s="43"/>
      <c r="P214" s="43"/>
      <c r="Q214" s="43"/>
      <c r="R214" s="43"/>
      <c r="S214" s="54"/>
      <c r="T214" s="43"/>
      <c r="U214" s="43"/>
      <c r="V214" s="56"/>
      <c r="W214" s="56"/>
      <c r="X214" s="56"/>
      <c r="Y214" s="80"/>
      <c r="Z214" s="80"/>
    </row>
    <row r="215" ht="15.75" customHeight="1">
      <c r="A215" s="43"/>
      <c r="B215" s="44"/>
      <c r="C215" s="45"/>
      <c r="D215" s="46" t="s">
        <v>789</v>
      </c>
      <c r="E215" s="150" t="s">
        <v>790</v>
      </c>
      <c r="F215" s="47" t="s">
        <v>854</v>
      </c>
      <c r="G215" s="47" t="s">
        <v>855</v>
      </c>
      <c r="H215" s="151" t="s">
        <v>845</v>
      </c>
      <c r="I215" s="151">
        <v>1.0</v>
      </c>
      <c r="J215" s="47" t="s">
        <v>349</v>
      </c>
      <c r="K215" s="50"/>
      <c r="L215" s="50"/>
      <c r="M215" s="48"/>
      <c r="N215" s="43"/>
      <c r="O215" s="43"/>
      <c r="P215" s="43"/>
      <c r="Q215" s="43"/>
      <c r="R215" s="43"/>
      <c r="S215" s="54"/>
      <c r="T215" s="43"/>
      <c r="U215" s="43"/>
      <c r="V215" s="56"/>
      <c r="W215" s="56"/>
      <c r="X215" s="56"/>
      <c r="Y215" s="80"/>
      <c r="Z215" s="80"/>
    </row>
    <row r="216" ht="15.75" customHeight="1">
      <c r="A216" s="43"/>
      <c r="B216" s="44"/>
      <c r="C216" s="45"/>
      <c r="D216" s="46" t="s">
        <v>789</v>
      </c>
      <c r="E216" s="150" t="s">
        <v>790</v>
      </c>
      <c r="F216" s="47" t="s">
        <v>857</v>
      </c>
      <c r="G216" s="47" t="s">
        <v>858</v>
      </c>
      <c r="H216" s="151" t="s">
        <v>829</v>
      </c>
      <c r="I216" s="151">
        <v>1.0</v>
      </c>
      <c r="J216" s="47" t="s">
        <v>859</v>
      </c>
      <c r="K216" s="50"/>
      <c r="L216" s="50"/>
      <c r="M216" s="48"/>
      <c r="N216" s="43"/>
      <c r="O216" s="43"/>
      <c r="P216" s="43"/>
      <c r="Q216" s="43"/>
      <c r="R216" s="43"/>
      <c r="S216" s="54"/>
      <c r="T216" s="43"/>
      <c r="U216" s="43"/>
      <c r="V216" s="56"/>
      <c r="W216" s="56"/>
      <c r="X216" s="56"/>
      <c r="Y216" s="80"/>
      <c r="Z216" s="80"/>
    </row>
    <row r="217" ht="15.75" customHeight="1">
      <c r="A217" s="43"/>
      <c r="B217" s="44"/>
      <c r="C217" s="45"/>
      <c r="D217" s="46" t="s">
        <v>789</v>
      </c>
      <c r="E217" s="150" t="s">
        <v>790</v>
      </c>
      <c r="F217" s="47" t="s">
        <v>860</v>
      </c>
      <c r="G217" s="47" t="s">
        <v>861</v>
      </c>
      <c r="H217" s="151" t="s">
        <v>862</v>
      </c>
      <c r="I217" s="151">
        <v>1.0</v>
      </c>
      <c r="J217" s="47" t="s">
        <v>864</v>
      </c>
      <c r="K217" s="50"/>
      <c r="L217" s="50"/>
      <c r="M217" s="48"/>
      <c r="N217" s="43"/>
      <c r="O217" s="43"/>
      <c r="P217" s="43"/>
      <c r="Q217" s="43"/>
      <c r="R217" s="43"/>
      <c r="S217" s="54"/>
      <c r="T217" s="43"/>
      <c r="U217" s="43"/>
      <c r="V217" s="56"/>
      <c r="W217" s="56"/>
      <c r="X217" s="56"/>
      <c r="Y217" s="80"/>
      <c r="Z217" s="80"/>
    </row>
    <row r="218" ht="15.75" customHeight="1">
      <c r="A218" s="43"/>
      <c r="B218" s="44"/>
      <c r="C218" s="45"/>
      <c r="D218" s="46" t="s">
        <v>789</v>
      </c>
      <c r="E218" s="150" t="s">
        <v>790</v>
      </c>
      <c r="F218" s="47" t="s">
        <v>865</v>
      </c>
      <c r="G218" s="47" t="s">
        <v>866</v>
      </c>
      <c r="H218" s="151" t="s">
        <v>867</v>
      </c>
      <c r="I218" s="151">
        <v>2.0</v>
      </c>
      <c r="J218" s="47" t="s">
        <v>322</v>
      </c>
      <c r="K218" s="50"/>
      <c r="L218" s="50"/>
      <c r="M218" s="48"/>
      <c r="N218" s="43"/>
      <c r="O218" s="43"/>
      <c r="P218" s="43"/>
      <c r="Q218" s="43"/>
      <c r="R218" s="43"/>
      <c r="S218" s="54"/>
      <c r="T218" s="43"/>
      <c r="U218" s="43"/>
      <c r="V218" s="56"/>
      <c r="W218" s="56"/>
      <c r="X218" s="56"/>
      <c r="Y218" s="80"/>
      <c r="Z218" s="80"/>
    </row>
    <row r="219" ht="15.75" customHeight="1">
      <c r="A219" s="43"/>
      <c r="B219" s="44"/>
      <c r="C219" s="45"/>
      <c r="D219" s="46" t="s">
        <v>789</v>
      </c>
      <c r="E219" s="150" t="s">
        <v>790</v>
      </c>
      <c r="F219" s="47" t="s">
        <v>869</v>
      </c>
      <c r="G219" s="47" t="s">
        <v>870</v>
      </c>
      <c r="H219" s="151" t="s">
        <v>845</v>
      </c>
      <c r="I219" s="49"/>
      <c r="J219" s="47" t="s">
        <v>349</v>
      </c>
      <c r="K219" s="50"/>
      <c r="L219" s="50"/>
      <c r="M219" s="48"/>
      <c r="N219" s="43"/>
      <c r="O219" s="43"/>
      <c r="P219" s="43"/>
      <c r="Q219" s="43"/>
      <c r="R219" s="43"/>
      <c r="S219" s="54"/>
      <c r="T219" s="43"/>
      <c r="U219" s="43"/>
      <c r="V219" s="56"/>
      <c r="W219" s="56"/>
      <c r="X219" s="56"/>
      <c r="Y219" s="80"/>
      <c r="Z219" s="80"/>
    </row>
    <row r="220" ht="15.75" customHeight="1">
      <c r="A220" s="43"/>
      <c r="B220" s="44"/>
      <c r="C220" s="45"/>
      <c r="D220" s="46" t="s">
        <v>789</v>
      </c>
      <c r="E220" s="150" t="s">
        <v>790</v>
      </c>
      <c r="F220" s="47" t="s">
        <v>871</v>
      </c>
      <c r="G220" s="47" t="s">
        <v>872</v>
      </c>
      <c r="H220" s="151" t="s">
        <v>810</v>
      </c>
      <c r="I220" s="151">
        <v>1.0</v>
      </c>
      <c r="J220" s="47" t="s">
        <v>349</v>
      </c>
      <c r="K220" s="50"/>
      <c r="L220" s="50"/>
      <c r="M220" s="48"/>
      <c r="N220" s="43"/>
      <c r="O220" s="43"/>
      <c r="P220" s="43"/>
      <c r="Q220" s="43"/>
      <c r="R220" s="43"/>
      <c r="S220" s="54"/>
      <c r="T220" s="43"/>
      <c r="U220" s="43"/>
      <c r="V220" s="56"/>
      <c r="W220" s="56"/>
      <c r="X220" s="56"/>
      <c r="Y220" s="80"/>
      <c r="Z220" s="80"/>
    </row>
    <row r="221" ht="15.75" customHeight="1">
      <c r="A221" s="57" t="s">
        <v>54</v>
      </c>
      <c r="B221" s="58" t="s">
        <v>17</v>
      </c>
      <c r="C221" s="59" t="s">
        <v>110</v>
      </c>
      <c r="D221" s="60" t="s">
        <v>874</v>
      </c>
      <c r="E221" s="60" t="s">
        <v>875</v>
      </c>
      <c r="F221" s="152" t="s">
        <v>876</v>
      </c>
      <c r="G221" s="152" t="s">
        <v>877</v>
      </c>
      <c r="H221" s="153" t="s">
        <v>813</v>
      </c>
      <c r="I221" s="153">
        <v>5.0</v>
      </c>
      <c r="J221" s="152" t="s">
        <v>322</v>
      </c>
      <c r="K221" s="67"/>
      <c r="L221" s="67"/>
      <c r="M221" s="68"/>
      <c r="N221" s="57"/>
      <c r="O221" s="57"/>
      <c r="P221" s="57"/>
      <c r="Q221" s="57"/>
      <c r="R221" s="57"/>
      <c r="S221" s="69" t="str">
        <f>IFERROR(Q221/R221,"-")</f>
        <v>-</v>
      </c>
      <c r="T221" s="57" t="str">
        <f>'Kertas Kerja'!$I292</f>
        <v/>
      </c>
      <c r="U221" s="57" t="str">
        <f>IFERROR(S221*T221,)</f>
        <v/>
      </c>
      <c r="V221" s="70">
        <f>+U221/5.5</f>
        <v>0</v>
      </c>
      <c r="W221" s="70">
        <f>U221/1250</f>
        <v>0</v>
      </c>
      <c r="X221" s="70"/>
      <c r="Y221" s="71"/>
      <c r="Z221" s="71"/>
    </row>
    <row r="222" ht="15.75" customHeight="1">
      <c r="A222" s="57"/>
      <c r="B222" s="58"/>
      <c r="C222" s="59"/>
      <c r="D222" s="60" t="s">
        <v>874</v>
      </c>
      <c r="E222" s="60" t="s">
        <v>875</v>
      </c>
      <c r="F222" s="152" t="s">
        <v>880</v>
      </c>
      <c r="G222" s="152" t="s">
        <v>881</v>
      </c>
      <c r="H222" s="153" t="s">
        <v>813</v>
      </c>
      <c r="I222" s="153">
        <v>2.0</v>
      </c>
      <c r="J222" s="152" t="s">
        <v>882</v>
      </c>
      <c r="K222" s="67"/>
      <c r="L222" s="67"/>
      <c r="M222" s="68"/>
      <c r="N222" s="57"/>
      <c r="O222" s="57"/>
      <c r="P222" s="57"/>
      <c r="Q222" s="57"/>
      <c r="R222" s="57"/>
      <c r="S222" s="69"/>
      <c r="T222" s="57"/>
      <c r="U222" s="57"/>
      <c r="V222" s="70"/>
      <c r="W222" s="70"/>
      <c r="X222" s="70"/>
      <c r="Y222" s="71"/>
      <c r="Z222" s="71"/>
    </row>
    <row r="223" ht="15.75" customHeight="1">
      <c r="A223" s="57"/>
      <c r="B223" s="58"/>
      <c r="C223" s="59"/>
      <c r="D223" s="60" t="s">
        <v>874</v>
      </c>
      <c r="E223" s="60" t="s">
        <v>875</v>
      </c>
      <c r="F223" s="152" t="s">
        <v>883</v>
      </c>
      <c r="G223" s="152" t="s">
        <v>884</v>
      </c>
      <c r="H223" s="153" t="s">
        <v>885</v>
      </c>
      <c r="I223" s="153">
        <v>20.0</v>
      </c>
      <c r="J223" s="152" t="s">
        <v>886</v>
      </c>
      <c r="K223" s="67"/>
      <c r="L223" s="67"/>
      <c r="M223" s="68"/>
      <c r="N223" s="57"/>
      <c r="O223" s="57"/>
      <c r="P223" s="57"/>
      <c r="Q223" s="57"/>
      <c r="R223" s="57"/>
      <c r="S223" s="69"/>
      <c r="T223" s="57"/>
      <c r="U223" s="57"/>
      <c r="V223" s="70"/>
      <c r="W223" s="70"/>
      <c r="X223" s="70"/>
      <c r="Y223" s="71"/>
      <c r="Z223" s="71"/>
    </row>
    <row r="224" ht="15.75" customHeight="1">
      <c r="A224" s="57"/>
      <c r="B224" s="58"/>
      <c r="C224" s="59"/>
      <c r="D224" s="60" t="s">
        <v>874</v>
      </c>
      <c r="E224" s="60" t="s">
        <v>875</v>
      </c>
      <c r="F224" s="152" t="s">
        <v>888</v>
      </c>
      <c r="G224" s="152" t="s">
        <v>889</v>
      </c>
      <c r="H224" s="153" t="s">
        <v>798</v>
      </c>
      <c r="I224" s="153">
        <v>2.0</v>
      </c>
      <c r="J224" s="152" t="s">
        <v>799</v>
      </c>
      <c r="K224" s="67"/>
      <c r="L224" s="67"/>
      <c r="M224" s="68"/>
      <c r="N224" s="57"/>
      <c r="O224" s="57"/>
      <c r="P224" s="57"/>
      <c r="Q224" s="57"/>
      <c r="R224" s="57"/>
      <c r="S224" s="69"/>
      <c r="T224" s="57"/>
      <c r="U224" s="57"/>
      <c r="V224" s="70"/>
      <c r="W224" s="70"/>
      <c r="X224" s="70"/>
      <c r="Y224" s="71"/>
      <c r="Z224" s="71"/>
    </row>
    <row r="225" ht="15.75" customHeight="1">
      <c r="A225" s="57"/>
      <c r="B225" s="58"/>
      <c r="C225" s="59"/>
      <c r="D225" s="60" t="s">
        <v>874</v>
      </c>
      <c r="E225" s="60" t="s">
        <v>875</v>
      </c>
      <c r="F225" s="152" t="s">
        <v>890</v>
      </c>
      <c r="G225" s="152" t="s">
        <v>801</v>
      </c>
      <c r="H225" s="153" t="s">
        <v>802</v>
      </c>
      <c r="I225" s="153">
        <v>7.0</v>
      </c>
      <c r="J225" s="152" t="s">
        <v>803</v>
      </c>
      <c r="K225" s="67"/>
      <c r="L225" s="67"/>
      <c r="M225" s="68"/>
      <c r="N225" s="57"/>
      <c r="O225" s="57"/>
      <c r="P225" s="57"/>
      <c r="Q225" s="57"/>
      <c r="R225" s="57"/>
      <c r="S225" s="69"/>
      <c r="T225" s="57"/>
      <c r="U225" s="57"/>
      <c r="V225" s="70"/>
      <c r="W225" s="70"/>
      <c r="X225" s="70"/>
      <c r="Y225" s="71"/>
      <c r="Z225" s="71"/>
    </row>
    <row r="226" ht="15.75" customHeight="1">
      <c r="A226" s="57"/>
      <c r="B226" s="58"/>
      <c r="C226" s="59"/>
      <c r="D226" s="60" t="s">
        <v>874</v>
      </c>
      <c r="E226" s="60" t="s">
        <v>875</v>
      </c>
      <c r="F226" s="152" t="s">
        <v>892</v>
      </c>
      <c r="G226" s="152" t="s">
        <v>805</v>
      </c>
      <c r="H226" s="153" t="s">
        <v>806</v>
      </c>
      <c r="I226" s="153">
        <v>2.0</v>
      </c>
      <c r="J226" s="152" t="s">
        <v>803</v>
      </c>
      <c r="K226" s="67"/>
      <c r="L226" s="67"/>
      <c r="M226" s="68"/>
      <c r="N226" s="57"/>
      <c r="O226" s="57"/>
      <c r="P226" s="57"/>
      <c r="Q226" s="57"/>
      <c r="R226" s="57"/>
      <c r="S226" s="69"/>
      <c r="T226" s="57"/>
      <c r="U226" s="57"/>
      <c r="V226" s="70"/>
      <c r="W226" s="70"/>
      <c r="X226" s="70"/>
      <c r="Y226" s="71"/>
      <c r="Z226" s="71"/>
    </row>
    <row r="227" ht="15.75" customHeight="1">
      <c r="A227" s="57"/>
      <c r="B227" s="58"/>
      <c r="C227" s="59"/>
      <c r="D227" s="60" t="s">
        <v>874</v>
      </c>
      <c r="E227" s="60" t="s">
        <v>875</v>
      </c>
      <c r="F227" s="152" t="s">
        <v>894</v>
      </c>
      <c r="G227" s="152" t="s">
        <v>895</v>
      </c>
      <c r="H227" s="153" t="s">
        <v>896</v>
      </c>
      <c r="I227" s="153">
        <v>108.0</v>
      </c>
      <c r="J227" s="152" t="s">
        <v>897</v>
      </c>
      <c r="K227" s="67"/>
      <c r="L227" s="67"/>
      <c r="M227" s="68"/>
      <c r="N227" s="57"/>
      <c r="O227" s="57"/>
      <c r="P227" s="57"/>
      <c r="Q227" s="57"/>
      <c r="R227" s="57"/>
      <c r="S227" s="69"/>
      <c r="T227" s="57"/>
      <c r="U227" s="57"/>
      <c r="V227" s="70"/>
      <c r="W227" s="70"/>
      <c r="X227" s="70"/>
      <c r="Y227" s="71"/>
      <c r="Z227" s="71"/>
    </row>
    <row r="228" ht="15.75" customHeight="1">
      <c r="A228" s="57"/>
      <c r="B228" s="58"/>
      <c r="C228" s="59"/>
      <c r="D228" s="60" t="s">
        <v>874</v>
      </c>
      <c r="E228" s="60" t="s">
        <v>875</v>
      </c>
      <c r="F228" s="152" t="s">
        <v>898</v>
      </c>
      <c r="G228" s="152" t="s">
        <v>899</v>
      </c>
      <c r="H228" s="153" t="s">
        <v>810</v>
      </c>
      <c r="I228" s="153">
        <v>1.0</v>
      </c>
      <c r="J228" s="152" t="s">
        <v>151</v>
      </c>
      <c r="K228" s="67"/>
      <c r="L228" s="67"/>
      <c r="M228" s="68"/>
      <c r="N228" s="57"/>
      <c r="O228" s="57"/>
      <c r="P228" s="57"/>
      <c r="Q228" s="57"/>
      <c r="R228" s="57"/>
      <c r="S228" s="69"/>
      <c r="T228" s="57"/>
      <c r="U228" s="57"/>
      <c r="V228" s="70"/>
      <c r="W228" s="70"/>
      <c r="X228" s="70"/>
      <c r="Y228" s="71"/>
      <c r="Z228" s="71"/>
    </row>
    <row r="229" ht="15.75" customHeight="1">
      <c r="A229" s="57"/>
      <c r="B229" s="58"/>
      <c r="C229" s="59"/>
      <c r="D229" s="60" t="s">
        <v>874</v>
      </c>
      <c r="E229" s="60" t="s">
        <v>875</v>
      </c>
      <c r="F229" s="152" t="s">
        <v>901</v>
      </c>
      <c r="G229" s="152" t="s">
        <v>902</v>
      </c>
      <c r="H229" s="153" t="s">
        <v>813</v>
      </c>
      <c r="I229" s="153">
        <v>7.0</v>
      </c>
      <c r="J229" s="152" t="s">
        <v>196</v>
      </c>
      <c r="K229" s="67"/>
      <c r="L229" s="67"/>
      <c r="M229" s="68"/>
      <c r="N229" s="57"/>
      <c r="O229" s="57"/>
      <c r="P229" s="57"/>
      <c r="Q229" s="57"/>
      <c r="R229" s="57"/>
      <c r="S229" s="69"/>
      <c r="T229" s="57"/>
      <c r="U229" s="57"/>
      <c r="V229" s="70"/>
      <c r="W229" s="70"/>
      <c r="X229" s="70"/>
      <c r="Y229" s="71"/>
      <c r="Z229" s="71"/>
    </row>
    <row r="230" ht="15.75" customHeight="1">
      <c r="A230" s="57"/>
      <c r="B230" s="58"/>
      <c r="C230" s="59"/>
      <c r="D230" s="60" t="s">
        <v>874</v>
      </c>
      <c r="E230" s="60" t="s">
        <v>875</v>
      </c>
      <c r="F230" s="152" t="s">
        <v>903</v>
      </c>
      <c r="G230" s="152" t="s">
        <v>904</v>
      </c>
      <c r="H230" s="153" t="s">
        <v>793</v>
      </c>
      <c r="I230" s="153">
        <v>108.0</v>
      </c>
      <c r="J230" s="152" t="s">
        <v>905</v>
      </c>
      <c r="K230" s="67"/>
      <c r="L230" s="67"/>
      <c r="M230" s="68"/>
      <c r="N230" s="57"/>
      <c r="O230" s="57"/>
      <c r="P230" s="57"/>
      <c r="Q230" s="57"/>
      <c r="R230" s="57"/>
      <c r="S230" s="69"/>
      <c r="T230" s="57"/>
      <c r="U230" s="57"/>
      <c r="V230" s="70"/>
      <c r="W230" s="70"/>
      <c r="X230" s="70"/>
      <c r="Y230" s="71"/>
      <c r="Z230" s="71"/>
    </row>
    <row r="231" ht="15.75" customHeight="1">
      <c r="A231" s="57"/>
      <c r="B231" s="58"/>
      <c r="C231" s="59"/>
      <c r="D231" s="60" t="s">
        <v>874</v>
      </c>
      <c r="E231" s="60" t="s">
        <v>875</v>
      </c>
      <c r="F231" s="152" t="s">
        <v>906</v>
      </c>
      <c r="G231" s="152" t="s">
        <v>907</v>
      </c>
      <c r="H231" s="153" t="s">
        <v>824</v>
      </c>
      <c r="I231" s="153">
        <v>1.0</v>
      </c>
      <c r="J231" s="152" t="s">
        <v>850</v>
      </c>
      <c r="K231" s="67"/>
      <c r="L231" s="67"/>
      <c r="M231" s="68"/>
      <c r="N231" s="57"/>
      <c r="O231" s="57"/>
      <c r="P231" s="57"/>
      <c r="Q231" s="57"/>
      <c r="R231" s="57"/>
      <c r="S231" s="69"/>
      <c r="T231" s="57"/>
      <c r="U231" s="57"/>
      <c r="V231" s="70"/>
      <c r="W231" s="70"/>
      <c r="X231" s="70"/>
      <c r="Y231" s="71"/>
      <c r="Z231" s="71"/>
    </row>
    <row r="232" ht="15.75" customHeight="1">
      <c r="A232" s="57"/>
      <c r="B232" s="58"/>
      <c r="C232" s="59"/>
      <c r="D232" s="60" t="s">
        <v>874</v>
      </c>
      <c r="E232" s="60" t="s">
        <v>875</v>
      </c>
      <c r="F232" s="152" t="s">
        <v>909</v>
      </c>
      <c r="G232" s="152" t="s">
        <v>910</v>
      </c>
      <c r="H232" s="153" t="s">
        <v>824</v>
      </c>
      <c r="I232" s="153">
        <v>1.0</v>
      </c>
      <c r="J232" s="152" t="s">
        <v>911</v>
      </c>
      <c r="K232" s="67"/>
      <c r="L232" s="67"/>
      <c r="M232" s="68"/>
      <c r="N232" s="57"/>
      <c r="O232" s="57"/>
      <c r="P232" s="57"/>
      <c r="Q232" s="57"/>
      <c r="R232" s="57"/>
      <c r="S232" s="69"/>
      <c r="T232" s="57"/>
      <c r="U232" s="57"/>
      <c r="V232" s="70"/>
      <c r="W232" s="70"/>
      <c r="X232" s="70"/>
      <c r="Y232" s="71"/>
      <c r="Z232" s="71"/>
    </row>
    <row r="233" ht="15.75" customHeight="1">
      <c r="A233" s="57"/>
      <c r="B233" s="58"/>
      <c r="C233" s="59"/>
      <c r="D233" s="60" t="s">
        <v>874</v>
      </c>
      <c r="E233" s="60" t="s">
        <v>875</v>
      </c>
      <c r="F233" s="152" t="s">
        <v>913</v>
      </c>
      <c r="G233" s="152" t="s">
        <v>914</v>
      </c>
      <c r="H233" s="153" t="s">
        <v>824</v>
      </c>
      <c r="I233" s="153">
        <v>1.0</v>
      </c>
      <c r="J233" s="152" t="s">
        <v>911</v>
      </c>
      <c r="K233" s="67"/>
      <c r="L233" s="67"/>
      <c r="M233" s="68"/>
      <c r="N233" s="57"/>
      <c r="O233" s="57"/>
      <c r="P233" s="57"/>
      <c r="Q233" s="57"/>
      <c r="R233" s="57"/>
      <c r="S233" s="69"/>
      <c r="T233" s="57"/>
      <c r="U233" s="57"/>
      <c r="V233" s="70"/>
      <c r="W233" s="70"/>
      <c r="X233" s="70"/>
      <c r="Y233" s="71"/>
      <c r="Z233" s="71"/>
    </row>
    <row r="234" ht="15.75" customHeight="1">
      <c r="A234" s="57"/>
      <c r="B234" s="58"/>
      <c r="C234" s="59"/>
      <c r="D234" s="60" t="s">
        <v>874</v>
      </c>
      <c r="E234" s="60" t="s">
        <v>875</v>
      </c>
      <c r="F234" s="152" t="s">
        <v>915</v>
      </c>
      <c r="G234" s="152" t="s">
        <v>916</v>
      </c>
      <c r="H234" s="153" t="s">
        <v>806</v>
      </c>
      <c r="I234" s="153">
        <v>1.0</v>
      </c>
      <c r="J234" s="152" t="s">
        <v>911</v>
      </c>
      <c r="K234" s="67"/>
      <c r="L234" s="67"/>
      <c r="M234" s="68"/>
      <c r="N234" s="57"/>
      <c r="O234" s="57"/>
      <c r="P234" s="57"/>
      <c r="Q234" s="57"/>
      <c r="R234" s="57"/>
      <c r="S234" s="69"/>
      <c r="T234" s="57"/>
      <c r="U234" s="57"/>
      <c r="V234" s="70"/>
      <c r="W234" s="70"/>
      <c r="X234" s="70"/>
      <c r="Y234" s="71"/>
      <c r="Z234" s="71"/>
    </row>
    <row r="235" ht="15.75" customHeight="1">
      <c r="A235" s="57"/>
      <c r="B235" s="58"/>
      <c r="C235" s="59"/>
      <c r="D235" s="60" t="s">
        <v>874</v>
      </c>
      <c r="E235" s="60" t="s">
        <v>875</v>
      </c>
      <c r="F235" s="152" t="s">
        <v>918</v>
      </c>
      <c r="G235" s="152" t="s">
        <v>919</v>
      </c>
      <c r="H235" s="153" t="s">
        <v>824</v>
      </c>
      <c r="I235" s="153">
        <v>1.0</v>
      </c>
      <c r="J235" s="152" t="s">
        <v>920</v>
      </c>
      <c r="K235" s="67"/>
      <c r="L235" s="67"/>
      <c r="M235" s="68"/>
      <c r="N235" s="57"/>
      <c r="O235" s="57"/>
      <c r="P235" s="57"/>
      <c r="Q235" s="57"/>
      <c r="R235" s="57"/>
      <c r="S235" s="69"/>
      <c r="T235" s="57"/>
      <c r="U235" s="57"/>
      <c r="V235" s="70"/>
      <c r="W235" s="70"/>
      <c r="X235" s="70"/>
      <c r="Y235" s="71"/>
      <c r="Z235" s="71"/>
    </row>
    <row r="236" ht="15.75" customHeight="1">
      <c r="A236" s="57"/>
      <c r="B236" s="58"/>
      <c r="C236" s="59"/>
      <c r="D236" s="60" t="s">
        <v>874</v>
      </c>
      <c r="E236" s="60" t="s">
        <v>875</v>
      </c>
      <c r="F236" s="152" t="s">
        <v>922</v>
      </c>
      <c r="G236" s="152" t="s">
        <v>923</v>
      </c>
      <c r="H236" s="153" t="s">
        <v>824</v>
      </c>
      <c r="I236" s="153">
        <v>1.0</v>
      </c>
      <c r="J236" s="152" t="s">
        <v>864</v>
      </c>
      <c r="K236" s="67"/>
      <c r="L236" s="67"/>
      <c r="M236" s="68"/>
      <c r="N236" s="57"/>
      <c r="O236" s="57"/>
      <c r="P236" s="57"/>
      <c r="Q236" s="57"/>
      <c r="R236" s="57"/>
      <c r="S236" s="69"/>
      <c r="T236" s="57"/>
      <c r="U236" s="57"/>
      <c r="V236" s="70"/>
      <c r="W236" s="70"/>
      <c r="X236" s="70"/>
      <c r="Y236" s="71"/>
      <c r="Z236" s="71"/>
    </row>
    <row r="237" ht="15.75" customHeight="1">
      <c r="A237" s="57"/>
      <c r="B237" s="58"/>
      <c r="C237" s="59"/>
      <c r="D237" s="60" t="s">
        <v>874</v>
      </c>
      <c r="E237" s="60" t="s">
        <v>875</v>
      </c>
      <c r="F237" s="152" t="s">
        <v>925</v>
      </c>
      <c r="G237" s="152" t="s">
        <v>926</v>
      </c>
      <c r="H237" s="153" t="s">
        <v>824</v>
      </c>
      <c r="I237" s="153">
        <v>1.0</v>
      </c>
      <c r="J237" s="152" t="s">
        <v>927</v>
      </c>
      <c r="K237" s="67"/>
      <c r="L237" s="67"/>
      <c r="M237" s="68"/>
      <c r="N237" s="57"/>
      <c r="O237" s="57"/>
      <c r="P237" s="57"/>
      <c r="Q237" s="57"/>
      <c r="R237" s="57"/>
      <c r="S237" s="69"/>
      <c r="T237" s="57"/>
      <c r="U237" s="57"/>
      <c r="V237" s="70"/>
      <c r="W237" s="70"/>
      <c r="X237" s="70"/>
      <c r="Y237" s="71"/>
      <c r="Z237" s="71"/>
    </row>
    <row r="238" ht="15.75" customHeight="1">
      <c r="A238" s="57"/>
      <c r="B238" s="58"/>
      <c r="C238" s="59"/>
      <c r="D238" s="60" t="s">
        <v>874</v>
      </c>
      <c r="E238" s="60" t="s">
        <v>875</v>
      </c>
      <c r="F238" s="152" t="s">
        <v>929</v>
      </c>
      <c r="G238" s="152" t="s">
        <v>930</v>
      </c>
      <c r="H238" s="153" t="s">
        <v>813</v>
      </c>
      <c r="I238" s="153">
        <v>1.0</v>
      </c>
      <c r="J238" s="152" t="s">
        <v>322</v>
      </c>
      <c r="K238" s="67"/>
      <c r="L238" s="67"/>
      <c r="M238" s="68"/>
      <c r="N238" s="57"/>
      <c r="O238" s="57"/>
      <c r="P238" s="57"/>
      <c r="Q238" s="57"/>
      <c r="R238" s="57"/>
      <c r="S238" s="69"/>
      <c r="T238" s="57"/>
      <c r="U238" s="57"/>
      <c r="V238" s="70"/>
      <c r="W238" s="70"/>
      <c r="X238" s="70"/>
      <c r="Y238" s="71"/>
      <c r="Z238" s="71"/>
    </row>
    <row r="239" ht="15.75" customHeight="1">
      <c r="A239" s="57"/>
      <c r="B239" s="58"/>
      <c r="C239" s="59"/>
      <c r="D239" s="60" t="s">
        <v>874</v>
      </c>
      <c r="E239" s="60" t="s">
        <v>875</v>
      </c>
      <c r="F239" s="152" t="s">
        <v>932</v>
      </c>
      <c r="G239" s="152" t="s">
        <v>844</v>
      </c>
      <c r="H239" s="153" t="s">
        <v>845</v>
      </c>
      <c r="I239" s="153">
        <v>1.0</v>
      </c>
      <c r="J239" s="152" t="s">
        <v>151</v>
      </c>
      <c r="K239" s="67"/>
      <c r="L239" s="67"/>
      <c r="M239" s="68"/>
      <c r="N239" s="57"/>
      <c r="O239" s="57"/>
      <c r="P239" s="57"/>
      <c r="Q239" s="57"/>
      <c r="R239" s="57"/>
      <c r="S239" s="69"/>
      <c r="T239" s="57"/>
      <c r="U239" s="57"/>
      <c r="V239" s="70"/>
      <c r="W239" s="70"/>
      <c r="X239" s="70"/>
      <c r="Y239" s="71"/>
      <c r="Z239" s="71"/>
    </row>
    <row r="240" ht="15.75" customHeight="1">
      <c r="A240" s="57"/>
      <c r="B240" s="58"/>
      <c r="C240" s="59"/>
      <c r="D240" s="60" t="s">
        <v>874</v>
      </c>
      <c r="E240" s="60" t="s">
        <v>875</v>
      </c>
      <c r="F240" s="152" t="s">
        <v>934</v>
      </c>
      <c r="G240" s="152" t="s">
        <v>852</v>
      </c>
      <c r="H240" s="153" t="s">
        <v>845</v>
      </c>
      <c r="I240" s="153">
        <v>1.0</v>
      </c>
      <c r="J240" s="152" t="s">
        <v>344</v>
      </c>
      <c r="K240" s="67"/>
      <c r="L240" s="67"/>
      <c r="M240" s="68"/>
      <c r="N240" s="57"/>
      <c r="O240" s="57"/>
      <c r="P240" s="57"/>
      <c r="Q240" s="57"/>
      <c r="R240" s="57"/>
      <c r="S240" s="69"/>
      <c r="T240" s="57"/>
      <c r="U240" s="57"/>
      <c r="V240" s="70"/>
      <c r="W240" s="70"/>
      <c r="X240" s="70"/>
      <c r="Y240" s="71"/>
      <c r="Z240" s="71"/>
    </row>
    <row r="241" ht="15.75" customHeight="1">
      <c r="A241" s="57"/>
      <c r="B241" s="58"/>
      <c r="C241" s="59"/>
      <c r="D241" s="60" t="s">
        <v>874</v>
      </c>
      <c r="E241" s="60" t="s">
        <v>875</v>
      </c>
      <c r="F241" s="152" t="s">
        <v>935</v>
      </c>
      <c r="G241" s="152" t="s">
        <v>936</v>
      </c>
      <c r="H241" s="153" t="s">
        <v>845</v>
      </c>
      <c r="I241" s="153">
        <v>1.0</v>
      </c>
      <c r="J241" s="152" t="s">
        <v>349</v>
      </c>
      <c r="K241" s="67"/>
      <c r="L241" s="67"/>
      <c r="M241" s="68"/>
      <c r="N241" s="57"/>
      <c r="O241" s="57"/>
      <c r="P241" s="57"/>
      <c r="Q241" s="57"/>
      <c r="R241" s="57"/>
      <c r="S241" s="69"/>
      <c r="T241" s="57"/>
      <c r="U241" s="57"/>
      <c r="V241" s="70"/>
      <c r="W241" s="70"/>
      <c r="X241" s="70"/>
      <c r="Y241" s="71"/>
      <c r="Z241" s="71"/>
    </row>
    <row r="242" ht="15.75" customHeight="1">
      <c r="A242" s="57"/>
      <c r="B242" s="58"/>
      <c r="C242" s="59"/>
      <c r="D242" s="60" t="s">
        <v>874</v>
      </c>
      <c r="E242" s="60" t="s">
        <v>875</v>
      </c>
      <c r="F242" s="152" t="s">
        <v>938</v>
      </c>
      <c r="G242" s="152" t="s">
        <v>939</v>
      </c>
      <c r="H242" s="153" t="s">
        <v>824</v>
      </c>
      <c r="I242" s="153">
        <v>1.0</v>
      </c>
      <c r="J242" s="152" t="s">
        <v>864</v>
      </c>
      <c r="K242" s="67"/>
      <c r="L242" s="67"/>
      <c r="M242" s="68"/>
      <c r="N242" s="57"/>
      <c r="O242" s="57"/>
      <c r="P242" s="57"/>
      <c r="Q242" s="57"/>
      <c r="R242" s="57"/>
      <c r="S242" s="69"/>
      <c r="T242" s="57"/>
      <c r="U242" s="57"/>
      <c r="V242" s="70"/>
      <c r="W242" s="70"/>
      <c r="X242" s="70"/>
      <c r="Y242" s="71"/>
      <c r="Z242" s="71"/>
    </row>
    <row r="243" ht="15.75" customHeight="1">
      <c r="A243" s="57"/>
      <c r="B243" s="58"/>
      <c r="C243" s="59"/>
      <c r="D243" s="60" t="s">
        <v>874</v>
      </c>
      <c r="E243" s="60" t="s">
        <v>875</v>
      </c>
      <c r="F243" s="152" t="s">
        <v>942</v>
      </c>
      <c r="G243" s="152" t="s">
        <v>943</v>
      </c>
      <c r="H243" s="153" t="s">
        <v>813</v>
      </c>
      <c r="I243" s="153">
        <v>90.0</v>
      </c>
      <c r="J243" s="152" t="s">
        <v>944</v>
      </c>
      <c r="K243" s="67"/>
      <c r="L243" s="67"/>
      <c r="M243" s="68"/>
      <c r="N243" s="57"/>
      <c r="O243" s="57"/>
      <c r="P243" s="57"/>
      <c r="Q243" s="57"/>
      <c r="R243" s="57"/>
      <c r="S243" s="69"/>
      <c r="T243" s="57"/>
      <c r="U243" s="57"/>
      <c r="V243" s="70"/>
      <c r="W243" s="70"/>
      <c r="X243" s="70"/>
      <c r="Y243" s="71"/>
      <c r="Z243" s="71"/>
    </row>
    <row r="244" ht="15.75" customHeight="1">
      <c r="A244" s="57"/>
      <c r="B244" s="58"/>
      <c r="C244" s="59"/>
      <c r="D244" s="60" t="s">
        <v>874</v>
      </c>
      <c r="E244" s="60" t="s">
        <v>875</v>
      </c>
      <c r="F244" s="152" t="s">
        <v>946</v>
      </c>
      <c r="G244" s="152" t="s">
        <v>947</v>
      </c>
      <c r="H244" s="153" t="s">
        <v>810</v>
      </c>
      <c r="I244" s="153">
        <v>1.0</v>
      </c>
      <c r="J244" s="152" t="s">
        <v>948</v>
      </c>
      <c r="K244" s="67"/>
      <c r="L244" s="67"/>
      <c r="M244" s="68"/>
      <c r="N244" s="57"/>
      <c r="O244" s="57"/>
      <c r="P244" s="57"/>
      <c r="Q244" s="57"/>
      <c r="R244" s="57"/>
      <c r="S244" s="69"/>
      <c r="T244" s="57"/>
      <c r="U244" s="57"/>
      <c r="V244" s="70"/>
      <c r="W244" s="70"/>
      <c r="X244" s="70"/>
      <c r="Y244" s="71"/>
      <c r="Z244" s="71"/>
    </row>
    <row r="245" ht="15.75" customHeight="1">
      <c r="A245" s="57"/>
      <c r="B245" s="58"/>
      <c r="C245" s="59"/>
      <c r="D245" s="60" t="s">
        <v>874</v>
      </c>
      <c r="E245" s="60" t="s">
        <v>875</v>
      </c>
      <c r="F245" s="152" t="s">
        <v>949</v>
      </c>
      <c r="G245" s="152" t="s">
        <v>870</v>
      </c>
      <c r="H245" s="153" t="s">
        <v>845</v>
      </c>
      <c r="I245" s="153">
        <v>1.0</v>
      </c>
      <c r="J245" s="152" t="s">
        <v>349</v>
      </c>
      <c r="K245" s="67"/>
      <c r="L245" s="67"/>
      <c r="M245" s="68"/>
      <c r="N245" s="57"/>
      <c r="O245" s="57"/>
      <c r="P245" s="57"/>
      <c r="Q245" s="57"/>
      <c r="R245" s="57"/>
      <c r="S245" s="69"/>
      <c r="T245" s="57"/>
      <c r="U245" s="57"/>
      <c r="V245" s="70"/>
      <c r="W245" s="70"/>
      <c r="X245" s="70"/>
      <c r="Y245" s="71"/>
      <c r="Z245" s="71"/>
    </row>
    <row r="246" ht="15.75" customHeight="1">
      <c r="A246" s="57"/>
      <c r="B246" s="58"/>
      <c r="C246" s="59"/>
      <c r="D246" s="60" t="s">
        <v>874</v>
      </c>
      <c r="E246" s="60" t="s">
        <v>875</v>
      </c>
      <c r="F246" s="152" t="s">
        <v>951</v>
      </c>
      <c r="G246" s="152" t="s">
        <v>952</v>
      </c>
      <c r="H246" s="153" t="s">
        <v>810</v>
      </c>
      <c r="I246" s="153">
        <v>1.0</v>
      </c>
      <c r="J246" s="152" t="s">
        <v>349</v>
      </c>
      <c r="K246" s="67"/>
      <c r="L246" s="67"/>
      <c r="M246" s="68"/>
      <c r="N246" s="57"/>
      <c r="O246" s="57"/>
      <c r="P246" s="57"/>
      <c r="Q246" s="57"/>
      <c r="R246" s="57"/>
      <c r="S246" s="69"/>
      <c r="T246" s="57"/>
      <c r="U246" s="57"/>
      <c r="V246" s="70"/>
      <c r="W246" s="70"/>
      <c r="X246" s="70"/>
      <c r="Y246" s="71"/>
      <c r="Z246" s="71"/>
    </row>
    <row r="247">
      <c r="A247" s="43"/>
      <c r="B247" s="44"/>
      <c r="C247" s="45" t="s">
        <v>110</v>
      </c>
      <c r="D247" s="46" t="s">
        <v>874</v>
      </c>
      <c r="E247" s="150" t="s">
        <v>953</v>
      </c>
      <c r="F247" s="47" t="s">
        <v>954</v>
      </c>
      <c r="G247" s="47" t="s">
        <v>955</v>
      </c>
      <c r="H247" s="151" t="s">
        <v>956</v>
      </c>
      <c r="I247" s="151">
        <v>7.0</v>
      </c>
      <c r="J247" s="47" t="s">
        <v>322</v>
      </c>
      <c r="K247" s="50"/>
      <c r="L247" s="50"/>
      <c r="M247" s="48"/>
      <c r="N247" s="43"/>
      <c r="O247" s="43"/>
      <c r="P247" s="43"/>
      <c r="Q247" s="43"/>
      <c r="R247" s="43"/>
      <c r="S247" s="54"/>
      <c r="T247" s="43"/>
      <c r="U247" s="43"/>
      <c r="V247" s="56"/>
      <c r="W247" s="56"/>
      <c r="X247" s="56"/>
      <c r="Y247" s="80"/>
      <c r="Z247" s="80"/>
    </row>
    <row r="248">
      <c r="A248" s="43"/>
      <c r="B248" s="44"/>
      <c r="C248" s="45"/>
      <c r="D248" s="46" t="s">
        <v>874</v>
      </c>
      <c r="E248" s="150" t="s">
        <v>953</v>
      </c>
      <c r="F248" s="47" t="s">
        <v>958</v>
      </c>
      <c r="G248" s="47" t="s">
        <v>959</v>
      </c>
      <c r="H248" s="151" t="s">
        <v>798</v>
      </c>
      <c r="I248" s="151">
        <v>2.0</v>
      </c>
      <c r="J248" s="47" t="s">
        <v>799</v>
      </c>
      <c r="K248" s="50"/>
      <c r="L248" s="50"/>
      <c r="M248" s="48"/>
      <c r="N248" s="43"/>
      <c r="O248" s="43"/>
      <c r="P248" s="43"/>
      <c r="Q248" s="43"/>
      <c r="R248" s="43"/>
      <c r="S248" s="54"/>
      <c r="T248" s="43"/>
      <c r="U248" s="43"/>
      <c r="V248" s="56"/>
      <c r="W248" s="56"/>
      <c r="X248" s="56"/>
      <c r="Y248" s="80"/>
      <c r="Z248" s="80"/>
    </row>
    <row r="249">
      <c r="A249" s="43"/>
      <c r="B249" s="44"/>
      <c r="C249" s="45"/>
      <c r="D249" s="46" t="s">
        <v>874</v>
      </c>
      <c r="E249" s="150" t="s">
        <v>953</v>
      </c>
      <c r="F249" s="47" t="s">
        <v>960</v>
      </c>
      <c r="G249" s="47" t="s">
        <v>801</v>
      </c>
      <c r="H249" s="151" t="s">
        <v>802</v>
      </c>
      <c r="I249" s="151">
        <v>6.0</v>
      </c>
      <c r="J249" s="47" t="s">
        <v>803</v>
      </c>
      <c r="K249" s="50"/>
      <c r="L249" s="50"/>
      <c r="M249" s="48"/>
      <c r="N249" s="43"/>
      <c r="O249" s="43"/>
      <c r="P249" s="43"/>
      <c r="Q249" s="43"/>
      <c r="R249" s="43"/>
      <c r="S249" s="54"/>
      <c r="T249" s="43"/>
      <c r="U249" s="43"/>
      <c r="V249" s="56"/>
      <c r="W249" s="56"/>
      <c r="X249" s="56"/>
      <c r="Y249" s="80"/>
      <c r="Z249" s="80"/>
    </row>
    <row r="250">
      <c r="A250" s="43"/>
      <c r="B250" s="44"/>
      <c r="C250" s="45"/>
      <c r="D250" s="46" t="s">
        <v>874</v>
      </c>
      <c r="E250" s="150" t="s">
        <v>953</v>
      </c>
      <c r="F250" s="47" t="s">
        <v>962</v>
      </c>
      <c r="G250" s="47" t="s">
        <v>805</v>
      </c>
      <c r="H250" s="151" t="s">
        <v>806</v>
      </c>
      <c r="I250" s="151">
        <v>1.0</v>
      </c>
      <c r="J250" s="47" t="s">
        <v>803</v>
      </c>
      <c r="K250" s="50"/>
      <c r="L250" s="50"/>
      <c r="M250" s="48"/>
      <c r="N250" s="43"/>
      <c r="O250" s="43"/>
      <c r="P250" s="43"/>
      <c r="Q250" s="43"/>
      <c r="R250" s="43"/>
      <c r="S250" s="54"/>
      <c r="T250" s="43"/>
      <c r="U250" s="43"/>
      <c r="V250" s="56"/>
      <c r="W250" s="56"/>
      <c r="X250" s="56"/>
      <c r="Y250" s="80"/>
      <c r="Z250" s="80"/>
    </row>
    <row r="251">
      <c r="A251" s="43"/>
      <c r="B251" s="44"/>
      <c r="C251" s="45"/>
      <c r="D251" s="46" t="s">
        <v>874</v>
      </c>
      <c r="E251" s="150" t="s">
        <v>953</v>
      </c>
      <c r="F251" s="47" t="s">
        <v>964</v>
      </c>
      <c r="G251" s="47" t="s">
        <v>895</v>
      </c>
      <c r="H251" s="151" t="s">
        <v>965</v>
      </c>
      <c r="I251" s="49">
        <f>19+58</f>
        <v>77</v>
      </c>
      <c r="J251" s="47" t="s">
        <v>803</v>
      </c>
      <c r="K251" s="50"/>
      <c r="L251" s="50"/>
      <c r="M251" s="48"/>
      <c r="N251" s="43"/>
      <c r="O251" s="43"/>
      <c r="P251" s="43"/>
      <c r="Q251" s="43"/>
      <c r="R251" s="43"/>
      <c r="S251" s="54"/>
      <c r="T251" s="43"/>
      <c r="U251" s="43"/>
      <c r="V251" s="56"/>
      <c r="W251" s="56"/>
      <c r="X251" s="56"/>
      <c r="Y251" s="80"/>
      <c r="Z251" s="80"/>
    </row>
    <row r="252">
      <c r="A252" s="43"/>
      <c r="B252" s="44"/>
      <c r="C252" s="45"/>
      <c r="D252" s="46" t="s">
        <v>874</v>
      </c>
      <c r="E252" s="150" t="s">
        <v>953</v>
      </c>
      <c r="F252" s="47" t="s">
        <v>967</v>
      </c>
      <c r="G252" s="47" t="s">
        <v>968</v>
      </c>
      <c r="H252" s="151" t="s">
        <v>793</v>
      </c>
      <c r="I252" s="151">
        <v>3.0</v>
      </c>
      <c r="J252" s="47" t="s">
        <v>969</v>
      </c>
      <c r="K252" s="50"/>
      <c r="L252" s="50"/>
      <c r="M252" s="48"/>
      <c r="N252" s="43"/>
      <c r="O252" s="43"/>
      <c r="P252" s="43"/>
      <c r="Q252" s="43"/>
      <c r="R252" s="43"/>
      <c r="S252" s="54"/>
      <c r="T252" s="43"/>
      <c r="U252" s="43"/>
      <c r="V252" s="56"/>
      <c r="W252" s="56"/>
      <c r="X252" s="56"/>
      <c r="Y252" s="80"/>
      <c r="Z252" s="80"/>
    </row>
    <row r="253">
      <c r="A253" s="43"/>
      <c r="B253" s="44"/>
      <c r="C253" s="45"/>
      <c r="D253" s="46" t="s">
        <v>874</v>
      </c>
      <c r="E253" s="150" t="s">
        <v>953</v>
      </c>
      <c r="F253" s="47" t="s">
        <v>971</v>
      </c>
      <c r="G253" s="47" t="s">
        <v>972</v>
      </c>
      <c r="H253" s="151" t="s">
        <v>973</v>
      </c>
      <c r="I253" s="151">
        <v>1.0</v>
      </c>
      <c r="J253" s="47" t="s">
        <v>151</v>
      </c>
      <c r="K253" s="50"/>
      <c r="L253" s="50"/>
      <c r="M253" s="48"/>
      <c r="N253" s="43"/>
      <c r="O253" s="43"/>
      <c r="P253" s="43"/>
      <c r="Q253" s="43"/>
      <c r="R253" s="43"/>
      <c r="S253" s="54"/>
      <c r="T253" s="43"/>
      <c r="U253" s="43"/>
      <c r="V253" s="56"/>
      <c r="W253" s="56"/>
      <c r="X253" s="56"/>
      <c r="Y253" s="80"/>
      <c r="Z253" s="80"/>
    </row>
    <row r="254">
      <c r="A254" s="43"/>
      <c r="B254" s="44"/>
      <c r="C254" s="45"/>
      <c r="D254" s="46" t="s">
        <v>874</v>
      </c>
      <c r="E254" s="150" t="s">
        <v>953</v>
      </c>
      <c r="F254" s="47" t="s">
        <v>975</v>
      </c>
      <c r="G254" s="47" t="s">
        <v>976</v>
      </c>
      <c r="H254" s="151" t="s">
        <v>977</v>
      </c>
      <c r="I254" s="151">
        <v>1.0</v>
      </c>
      <c r="J254" s="47" t="s">
        <v>821</v>
      </c>
      <c r="K254" s="50"/>
      <c r="L254" s="50"/>
      <c r="M254" s="48"/>
      <c r="N254" s="43"/>
      <c r="O254" s="43"/>
      <c r="P254" s="43"/>
      <c r="Q254" s="43"/>
      <c r="R254" s="43"/>
      <c r="S254" s="54"/>
      <c r="T254" s="43"/>
      <c r="U254" s="43"/>
      <c r="V254" s="56"/>
      <c r="W254" s="56"/>
      <c r="X254" s="56"/>
      <c r="Y254" s="80"/>
      <c r="Z254" s="80"/>
    </row>
    <row r="255">
      <c r="A255" s="43"/>
      <c r="B255" s="44"/>
      <c r="C255" s="45"/>
      <c r="D255" s="46" t="s">
        <v>874</v>
      </c>
      <c r="E255" s="150" t="s">
        <v>953</v>
      </c>
      <c r="F255" s="47" t="s">
        <v>980</v>
      </c>
      <c r="G255" s="47" t="s">
        <v>981</v>
      </c>
      <c r="H255" s="151" t="s">
        <v>965</v>
      </c>
      <c r="I255" s="49">
        <f>19+58</f>
        <v>77</v>
      </c>
      <c r="J255" s="47" t="s">
        <v>850</v>
      </c>
      <c r="K255" s="50"/>
      <c r="L255" s="50"/>
      <c r="M255" s="48"/>
      <c r="N255" s="43"/>
      <c r="O255" s="43"/>
      <c r="P255" s="43"/>
      <c r="Q255" s="43"/>
      <c r="R255" s="43"/>
      <c r="S255" s="54"/>
      <c r="T255" s="43"/>
      <c r="U255" s="43"/>
      <c r="V255" s="56"/>
      <c r="W255" s="56"/>
      <c r="X255" s="56"/>
      <c r="Y255" s="80"/>
      <c r="Z255" s="80"/>
    </row>
    <row r="256">
      <c r="A256" s="43"/>
      <c r="B256" s="44"/>
      <c r="C256" s="45"/>
      <c r="D256" s="46" t="s">
        <v>874</v>
      </c>
      <c r="E256" s="150" t="s">
        <v>953</v>
      </c>
      <c r="F256" s="47" t="s">
        <v>982</v>
      </c>
      <c r="G256" s="47" t="s">
        <v>983</v>
      </c>
      <c r="H256" s="151" t="s">
        <v>985</v>
      </c>
      <c r="I256" s="151">
        <v>1.0</v>
      </c>
      <c r="J256" s="47" t="s">
        <v>911</v>
      </c>
      <c r="K256" s="50"/>
      <c r="L256" s="50"/>
      <c r="M256" s="48"/>
      <c r="N256" s="43"/>
      <c r="O256" s="43"/>
      <c r="P256" s="43"/>
      <c r="Q256" s="43"/>
      <c r="R256" s="43"/>
      <c r="S256" s="54"/>
      <c r="T256" s="43"/>
      <c r="U256" s="43"/>
      <c r="V256" s="56"/>
      <c r="W256" s="56"/>
      <c r="X256" s="56"/>
      <c r="Y256" s="80"/>
      <c r="Z256" s="80"/>
    </row>
    <row r="257">
      <c r="A257" s="43"/>
      <c r="B257" s="44"/>
      <c r="C257" s="45"/>
      <c r="D257" s="46" t="s">
        <v>874</v>
      </c>
      <c r="E257" s="150" t="s">
        <v>953</v>
      </c>
      <c r="F257" s="47" t="s">
        <v>986</v>
      </c>
      <c r="G257" s="47" t="s">
        <v>987</v>
      </c>
      <c r="H257" s="151" t="s">
        <v>988</v>
      </c>
      <c r="I257" s="151">
        <v>1.0</v>
      </c>
      <c r="J257" s="47" t="s">
        <v>911</v>
      </c>
      <c r="K257" s="50"/>
      <c r="L257" s="50"/>
      <c r="M257" s="48"/>
      <c r="N257" s="43"/>
      <c r="O257" s="43"/>
      <c r="P257" s="43"/>
      <c r="Q257" s="43"/>
      <c r="R257" s="43"/>
      <c r="S257" s="54"/>
      <c r="T257" s="43"/>
      <c r="U257" s="43"/>
      <c r="V257" s="56"/>
      <c r="W257" s="56"/>
      <c r="X257" s="56"/>
      <c r="Y257" s="80"/>
      <c r="Z257" s="80"/>
    </row>
    <row r="258">
      <c r="A258" s="43"/>
      <c r="B258" s="44"/>
      <c r="C258" s="45"/>
      <c r="D258" s="46" t="s">
        <v>874</v>
      </c>
      <c r="E258" s="150" t="s">
        <v>953</v>
      </c>
      <c r="F258" s="47" t="s">
        <v>990</v>
      </c>
      <c r="G258" s="47" t="s">
        <v>919</v>
      </c>
      <c r="H258" s="151" t="s">
        <v>965</v>
      </c>
      <c r="I258" s="49">
        <f>19+58</f>
        <v>77</v>
      </c>
      <c r="J258" s="47" t="s">
        <v>920</v>
      </c>
      <c r="K258" s="50"/>
      <c r="L258" s="50"/>
      <c r="M258" s="48"/>
      <c r="N258" s="43"/>
      <c r="O258" s="43"/>
      <c r="P258" s="43"/>
      <c r="Q258" s="43"/>
      <c r="R258" s="43"/>
      <c r="S258" s="54"/>
      <c r="T258" s="43"/>
      <c r="U258" s="43"/>
      <c r="V258" s="56"/>
      <c r="W258" s="56"/>
      <c r="X258" s="56"/>
      <c r="Y258" s="80"/>
      <c r="Z258" s="80"/>
    </row>
    <row r="259">
      <c r="A259" s="43"/>
      <c r="B259" s="44"/>
      <c r="C259" s="45"/>
      <c r="D259" s="46" t="s">
        <v>874</v>
      </c>
      <c r="E259" s="150" t="s">
        <v>953</v>
      </c>
      <c r="F259" s="47" t="s">
        <v>992</v>
      </c>
      <c r="G259" s="47" t="s">
        <v>993</v>
      </c>
      <c r="H259" s="151" t="s">
        <v>988</v>
      </c>
      <c r="I259" s="151">
        <v>1.0</v>
      </c>
      <c r="J259" s="47" t="s">
        <v>864</v>
      </c>
      <c r="K259" s="50"/>
      <c r="L259" s="50"/>
      <c r="M259" s="48"/>
      <c r="N259" s="43"/>
      <c r="O259" s="43"/>
      <c r="P259" s="43"/>
      <c r="Q259" s="43"/>
      <c r="R259" s="43"/>
      <c r="S259" s="54"/>
      <c r="T259" s="43"/>
      <c r="U259" s="43"/>
      <c r="V259" s="56"/>
      <c r="W259" s="56"/>
      <c r="X259" s="56"/>
      <c r="Y259" s="80"/>
      <c r="Z259" s="80"/>
    </row>
    <row r="260">
      <c r="A260" s="43"/>
      <c r="B260" s="44"/>
      <c r="C260" s="45"/>
      <c r="D260" s="46" t="s">
        <v>874</v>
      </c>
      <c r="E260" s="150" t="s">
        <v>953</v>
      </c>
      <c r="F260" s="47" t="s">
        <v>995</v>
      </c>
      <c r="G260" s="47" t="s">
        <v>996</v>
      </c>
      <c r="H260" s="151" t="s">
        <v>985</v>
      </c>
      <c r="I260" s="151">
        <v>1.0</v>
      </c>
      <c r="J260" s="47" t="s">
        <v>997</v>
      </c>
      <c r="K260" s="50"/>
      <c r="L260" s="50"/>
      <c r="M260" s="48"/>
      <c r="N260" s="43"/>
      <c r="O260" s="43"/>
      <c r="P260" s="43"/>
      <c r="Q260" s="43"/>
      <c r="R260" s="43"/>
      <c r="S260" s="54"/>
      <c r="T260" s="43"/>
      <c r="U260" s="43"/>
      <c r="V260" s="56"/>
      <c r="W260" s="56"/>
      <c r="X260" s="56"/>
      <c r="Y260" s="80"/>
      <c r="Z260" s="80"/>
    </row>
    <row r="261">
      <c r="A261" s="43"/>
      <c r="B261" s="44"/>
      <c r="C261" s="45"/>
      <c r="D261" s="46" t="s">
        <v>874</v>
      </c>
      <c r="E261" s="150" t="s">
        <v>953</v>
      </c>
      <c r="F261" s="47" t="s">
        <v>998</v>
      </c>
      <c r="G261" s="47" t="s">
        <v>1000</v>
      </c>
      <c r="H261" s="151" t="s">
        <v>813</v>
      </c>
      <c r="I261" s="151">
        <v>1.0</v>
      </c>
      <c r="J261" s="47" t="s">
        <v>322</v>
      </c>
      <c r="K261" s="50"/>
      <c r="L261" s="50"/>
      <c r="M261" s="48"/>
      <c r="N261" s="43"/>
      <c r="O261" s="43"/>
      <c r="P261" s="43"/>
      <c r="Q261" s="43"/>
      <c r="R261" s="43"/>
      <c r="S261" s="54"/>
      <c r="T261" s="43"/>
      <c r="U261" s="43"/>
      <c r="V261" s="56"/>
      <c r="W261" s="56"/>
      <c r="X261" s="56"/>
      <c r="Y261" s="80"/>
      <c r="Z261" s="80"/>
    </row>
    <row r="262">
      <c r="A262" s="43"/>
      <c r="B262" s="44"/>
      <c r="C262" s="45"/>
      <c r="D262" s="46" t="s">
        <v>874</v>
      </c>
      <c r="E262" s="150" t="s">
        <v>953</v>
      </c>
      <c r="F262" s="47" t="s">
        <v>1001</v>
      </c>
      <c r="G262" s="47" t="s">
        <v>844</v>
      </c>
      <c r="H262" s="151" t="s">
        <v>845</v>
      </c>
      <c r="I262" s="151">
        <v>1.0</v>
      </c>
      <c r="J262" s="47" t="s">
        <v>151</v>
      </c>
      <c r="K262" s="50"/>
      <c r="L262" s="50"/>
      <c r="M262" s="48"/>
      <c r="N262" s="43"/>
      <c r="O262" s="43"/>
      <c r="P262" s="43"/>
      <c r="Q262" s="43"/>
      <c r="R262" s="43"/>
      <c r="S262" s="54"/>
      <c r="T262" s="43"/>
      <c r="U262" s="43"/>
      <c r="V262" s="56"/>
      <c r="W262" s="56"/>
      <c r="X262" s="56"/>
      <c r="Y262" s="80"/>
      <c r="Z262" s="80"/>
    </row>
    <row r="263">
      <c r="A263" s="43"/>
      <c r="B263" s="44"/>
      <c r="C263" s="45"/>
      <c r="D263" s="46" t="s">
        <v>874</v>
      </c>
      <c r="E263" s="150" t="s">
        <v>953</v>
      </c>
      <c r="F263" s="47" t="s">
        <v>1003</v>
      </c>
      <c r="G263" s="47" t="s">
        <v>1004</v>
      </c>
      <c r="H263" s="151" t="s">
        <v>845</v>
      </c>
      <c r="I263" s="151">
        <v>1.0</v>
      </c>
      <c r="J263" s="47" t="s">
        <v>349</v>
      </c>
      <c r="K263" s="50"/>
      <c r="L263" s="50"/>
      <c r="M263" s="48"/>
      <c r="N263" s="43"/>
      <c r="O263" s="43"/>
      <c r="P263" s="43"/>
      <c r="Q263" s="43"/>
      <c r="R263" s="43"/>
      <c r="S263" s="54"/>
      <c r="T263" s="43"/>
      <c r="U263" s="43"/>
      <c r="V263" s="56"/>
      <c r="W263" s="56"/>
      <c r="X263" s="56"/>
      <c r="Y263" s="80"/>
      <c r="Z263" s="80"/>
    </row>
    <row r="264">
      <c r="A264" s="43"/>
      <c r="B264" s="44"/>
      <c r="C264" s="45"/>
      <c r="D264" s="46" t="s">
        <v>874</v>
      </c>
      <c r="E264" s="150" t="s">
        <v>953</v>
      </c>
      <c r="F264" s="47" t="s">
        <v>1005</v>
      </c>
      <c r="G264" s="47" t="s">
        <v>1006</v>
      </c>
      <c r="H264" s="151" t="s">
        <v>802</v>
      </c>
      <c r="I264" s="151">
        <v>4.0</v>
      </c>
      <c r="J264" s="47" t="s">
        <v>927</v>
      </c>
      <c r="K264" s="50"/>
      <c r="L264" s="50"/>
      <c r="M264" s="48"/>
      <c r="N264" s="43"/>
      <c r="O264" s="43"/>
      <c r="P264" s="43"/>
      <c r="Q264" s="43"/>
      <c r="R264" s="43"/>
      <c r="S264" s="54"/>
      <c r="T264" s="43"/>
      <c r="U264" s="43"/>
      <c r="V264" s="56"/>
      <c r="W264" s="56"/>
      <c r="X264" s="56"/>
      <c r="Y264" s="80"/>
      <c r="Z264" s="80"/>
    </row>
    <row r="265">
      <c r="A265" s="43"/>
      <c r="B265" s="44"/>
      <c r="C265" s="45"/>
      <c r="D265" s="46" t="s">
        <v>874</v>
      </c>
      <c r="E265" s="150" t="s">
        <v>953</v>
      </c>
      <c r="F265" s="47" t="s">
        <v>1008</v>
      </c>
      <c r="G265" s="47" t="s">
        <v>1009</v>
      </c>
      <c r="H265" s="151" t="s">
        <v>802</v>
      </c>
      <c r="I265" s="151">
        <v>4.0</v>
      </c>
      <c r="J265" s="47" t="s">
        <v>864</v>
      </c>
      <c r="K265" s="50"/>
      <c r="L265" s="50"/>
      <c r="M265" s="48"/>
      <c r="N265" s="43"/>
      <c r="O265" s="43"/>
      <c r="P265" s="43"/>
      <c r="Q265" s="43"/>
      <c r="R265" s="43"/>
      <c r="S265" s="54"/>
      <c r="T265" s="43"/>
      <c r="U265" s="43"/>
      <c r="V265" s="56"/>
      <c r="W265" s="56"/>
      <c r="X265" s="56"/>
      <c r="Y265" s="80"/>
      <c r="Z265" s="80"/>
    </row>
    <row r="266">
      <c r="A266" s="43"/>
      <c r="B266" s="44"/>
      <c r="C266" s="45"/>
      <c r="D266" s="46" t="s">
        <v>874</v>
      </c>
      <c r="E266" s="150" t="s">
        <v>953</v>
      </c>
      <c r="F266" s="47" t="s">
        <v>1011</v>
      </c>
      <c r="G266" s="47" t="s">
        <v>1012</v>
      </c>
      <c r="H266" s="151" t="s">
        <v>793</v>
      </c>
      <c r="I266" s="151">
        <v>3.0</v>
      </c>
      <c r="J266" s="47" t="s">
        <v>1013</v>
      </c>
      <c r="K266" s="50"/>
      <c r="L266" s="50"/>
      <c r="M266" s="48"/>
      <c r="N266" s="43"/>
      <c r="O266" s="43"/>
      <c r="P266" s="43"/>
      <c r="Q266" s="43"/>
      <c r="R266" s="43"/>
      <c r="S266" s="54"/>
      <c r="T266" s="43"/>
      <c r="U266" s="43"/>
      <c r="V266" s="56"/>
      <c r="W266" s="56"/>
      <c r="X266" s="56"/>
      <c r="Y266" s="80"/>
      <c r="Z266" s="80"/>
    </row>
    <row r="267">
      <c r="A267" s="43"/>
      <c r="B267" s="44"/>
      <c r="C267" s="45"/>
      <c r="D267" s="46" t="s">
        <v>874</v>
      </c>
      <c r="E267" s="150" t="s">
        <v>953</v>
      </c>
      <c r="F267" s="47" t="s">
        <v>1014</v>
      </c>
      <c r="G267" s="47" t="s">
        <v>1015</v>
      </c>
      <c r="H267" s="151" t="s">
        <v>810</v>
      </c>
      <c r="I267" s="151">
        <v>1.0</v>
      </c>
      <c r="J267" s="47" t="s">
        <v>349</v>
      </c>
      <c r="K267" s="50"/>
      <c r="L267" s="50"/>
      <c r="M267" s="48"/>
      <c r="N267" s="43"/>
      <c r="O267" s="43"/>
      <c r="P267" s="43"/>
      <c r="Q267" s="43"/>
      <c r="R267" s="43"/>
      <c r="S267" s="54"/>
      <c r="T267" s="43"/>
      <c r="U267" s="43"/>
      <c r="V267" s="56"/>
      <c r="W267" s="56"/>
      <c r="X267" s="56"/>
      <c r="Y267" s="80"/>
      <c r="Z267" s="80"/>
    </row>
    <row r="268" ht="15.75" customHeight="1">
      <c r="A268" s="57" t="s">
        <v>54</v>
      </c>
      <c r="B268" s="58" t="s">
        <v>17</v>
      </c>
      <c r="C268" s="59" t="s">
        <v>110</v>
      </c>
      <c r="D268" s="154" t="s">
        <v>1016</v>
      </c>
      <c r="E268" s="154" t="s">
        <v>1017</v>
      </c>
      <c r="F268" s="152" t="s">
        <v>1018</v>
      </c>
      <c r="G268" s="152" t="s">
        <v>1019</v>
      </c>
      <c r="H268" s="153" t="s">
        <v>793</v>
      </c>
      <c r="I268" s="153">
        <v>6.0</v>
      </c>
      <c r="J268" s="152" t="s">
        <v>322</v>
      </c>
      <c r="K268" s="67"/>
      <c r="L268" s="67"/>
      <c r="M268" s="68"/>
      <c r="N268" s="57"/>
      <c r="O268" s="57"/>
      <c r="P268" s="57"/>
      <c r="Q268" s="57"/>
      <c r="R268" s="57"/>
      <c r="S268" s="69" t="str">
        <f>IFERROR(Q268/R268,"-")</f>
        <v>-</v>
      </c>
      <c r="T268" s="57">
        <f>'Kertas Kerja'!$I296</f>
        <v>12</v>
      </c>
      <c r="U268" s="57" t="str">
        <f>IFERROR(S268*T268,)</f>
        <v/>
      </c>
      <c r="V268" s="70">
        <f>+U268/5.5</f>
        <v>0</v>
      </c>
      <c r="W268" s="70">
        <f>U268/1250</f>
        <v>0</v>
      </c>
      <c r="X268" s="70"/>
      <c r="Y268" s="71"/>
      <c r="Z268" s="71"/>
    </row>
    <row r="269" ht="15.75" customHeight="1">
      <c r="A269" s="57"/>
      <c r="B269" s="58"/>
      <c r="C269" s="59"/>
      <c r="D269" s="154" t="s">
        <v>1016</v>
      </c>
      <c r="E269" s="154" t="s">
        <v>1017</v>
      </c>
      <c r="F269" s="152" t="s">
        <v>1021</v>
      </c>
      <c r="G269" s="152" t="s">
        <v>1022</v>
      </c>
      <c r="H269" s="153" t="s">
        <v>798</v>
      </c>
      <c r="I269" s="153">
        <v>2.0</v>
      </c>
      <c r="J269" s="152" t="s">
        <v>799</v>
      </c>
      <c r="K269" s="67"/>
      <c r="L269" s="67"/>
      <c r="M269" s="68"/>
      <c r="N269" s="57"/>
      <c r="O269" s="57"/>
      <c r="P269" s="57"/>
      <c r="Q269" s="57"/>
      <c r="R269" s="57"/>
      <c r="S269" s="69"/>
      <c r="T269" s="57"/>
      <c r="U269" s="57"/>
      <c r="V269" s="70"/>
      <c r="W269" s="70"/>
      <c r="X269" s="70"/>
      <c r="Y269" s="71"/>
      <c r="Z269" s="71"/>
    </row>
    <row r="270" ht="15.75" customHeight="1">
      <c r="A270" s="57"/>
      <c r="B270" s="58"/>
      <c r="C270" s="59"/>
      <c r="D270" s="154" t="s">
        <v>1016</v>
      </c>
      <c r="E270" s="154" t="s">
        <v>1017</v>
      </c>
      <c r="F270" s="152" t="s">
        <v>1023</v>
      </c>
      <c r="G270" s="152" t="s">
        <v>801</v>
      </c>
      <c r="H270" s="153" t="s">
        <v>802</v>
      </c>
      <c r="I270" s="153">
        <v>2.0</v>
      </c>
      <c r="J270" s="152" t="s">
        <v>803</v>
      </c>
      <c r="K270" s="67"/>
      <c r="L270" s="67"/>
      <c r="M270" s="68"/>
      <c r="N270" s="57"/>
      <c r="O270" s="57"/>
      <c r="P270" s="57"/>
      <c r="Q270" s="57"/>
      <c r="R270" s="57"/>
      <c r="S270" s="69"/>
      <c r="T270" s="57"/>
      <c r="U270" s="57"/>
      <c r="V270" s="70"/>
      <c r="W270" s="70"/>
      <c r="X270" s="70"/>
      <c r="Y270" s="71"/>
      <c r="Z270" s="71"/>
    </row>
    <row r="271" ht="15.75" customHeight="1">
      <c r="A271" s="57"/>
      <c r="B271" s="58"/>
      <c r="C271" s="59"/>
      <c r="D271" s="154" t="s">
        <v>1016</v>
      </c>
      <c r="E271" s="154" t="s">
        <v>1017</v>
      </c>
      <c r="F271" s="152" t="s">
        <v>892</v>
      </c>
      <c r="G271" s="152" t="s">
        <v>805</v>
      </c>
      <c r="H271" s="153" t="s">
        <v>806</v>
      </c>
      <c r="I271" s="153">
        <v>1.0</v>
      </c>
      <c r="J271" s="152" t="s">
        <v>803</v>
      </c>
      <c r="K271" s="67"/>
      <c r="L271" s="67"/>
      <c r="M271" s="68"/>
      <c r="N271" s="57"/>
      <c r="O271" s="57"/>
      <c r="P271" s="57"/>
      <c r="Q271" s="57"/>
      <c r="R271" s="57"/>
      <c r="S271" s="69"/>
      <c r="T271" s="57"/>
      <c r="U271" s="57"/>
      <c r="V271" s="70"/>
      <c r="W271" s="70"/>
      <c r="X271" s="70"/>
      <c r="Y271" s="71"/>
      <c r="Z271" s="71"/>
    </row>
    <row r="272" ht="15.75" customHeight="1">
      <c r="A272" s="57"/>
      <c r="B272" s="58"/>
      <c r="C272" s="59"/>
      <c r="D272" s="154" t="s">
        <v>1016</v>
      </c>
      <c r="E272" s="154" t="s">
        <v>1017</v>
      </c>
      <c r="F272" s="152" t="s">
        <v>1026</v>
      </c>
      <c r="G272" s="155" t="s">
        <v>1027</v>
      </c>
      <c r="H272" s="153" t="s">
        <v>973</v>
      </c>
      <c r="I272" s="153">
        <v>1.0</v>
      </c>
      <c r="J272" s="155" t="s">
        <v>1028</v>
      </c>
      <c r="K272" s="67"/>
      <c r="L272" s="67"/>
      <c r="M272" s="68"/>
      <c r="N272" s="57"/>
      <c r="O272" s="57"/>
      <c r="P272" s="57"/>
      <c r="Q272" s="57"/>
      <c r="R272" s="57"/>
      <c r="S272" s="69"/>
      <c r="T272" s="57"/>
      <c r="U272" s="57"/>
      <c r="V272" s="70"/>
      <c r="W272" s="70"/>
      <c r="X272" s="70"/>
      <c r="Y272" s="71"/>
      <c r="Z272" s="71"/>
    </row>
    <row r="273" ht="15.75" customHeight="1">
      <c r="A273" s="57"/>
      <c r="B273" s="58"/>
      <c r="C273" s="59"/>
      <c r="D273" s="154" t="s">
        <v>1016</v>
      </c>
      <c r="E273" s="154" t="s">
        <v>1017</v>
      </c>
      <c r="F273" s="152" t="s">
        <v>1030</v>
      </c>
      <c r="G273" s="152" t="s">
        <v>1031</v>
      </c>
      <c r="H273" s="153" t="s">
        <v>810</v>
      </c>
      <c r="I273" s="153">
        <v>1.0</v>
      </c>
      <c r="J273" s="152" t="s">
        <v>151</v>
      </c>
      <c r="K273" s="67"/>
      <c r="L273" s="67"/>
      <c r="M273" s="68"/>
      <c r="N273" s="57"/>
      <c r="O273" s="57"/>
      <c r="P273" s="57"/>
      <c r="Q273" s="57"/>
      <c r="R273" s="57"/>
      <c r="S273" s="69"/>
      <c r="T273" s="57"/>
      <c r="U273" s="57"/>
      <c r="V273" s="70"/>
      <c r="W273" s="70"/>
      <c r="X273" s="70"/>
      <c r="Y273" s="71"/>
      <c r="Z273" s="71"/>
    </row>
    <row r="274" ht="15.75" customHeight="1">
      <c r="A274" s="57"/>
      <c r="B274" s="58"/>
      <c r="C274" s="59"/>
      <c r="D274" s="154" t="s">
        <v>1016</v>
      </c>
      <c r="E274" s="154" t="s">
        <v>1017</v>
      </c>
      <c r="F274" s="152" t="s">
        <v>1032</v>
      </c>
      <c r="G274" s="152" t="s">
        <v>1033</v>
      </c>
      <c r="H274" s="153" t="s">
        <v>824</v>
      </c>
      <c r="I274" s="153">
        <v>20.0</v>
      </c>
      <c r="J274" s="152" t="s">
        <v>295</v>
      </c>
      <c r="K274" s="67"/>
      <c r="L274" s="67"/>
      <c r="M274" s="68"/>
      <c r="N274" s="57"/>
      <c r="O274" s="57"/>
      <c r="P274" s="57"/>
      <c r="Q274" s="57"/>
      <c r="R274" s="57"/>
      <c r="S274" s="69"/>
      <c r="T274" s="57"/>
      <c r="U274" s="57"/>
      <c r="V274" s="70"/>
      <c r="W274" s="70"/>
      <c r="X274" s="70"/>
      <c r="Y274" s="71"/>
      <c r="Z274" s="71"/>
    </row>
    <row r="275" ht="15.75" customHeight="1">
      <c r="A275" s="57"/>
      <c r="B275" s="58"/>
      <c r="C275" s="59"/>
      <c r="D275" s="154" t="s">
        <v>1016</v>
      </c>
      <c r="E275" s="154" t="s">
        <v>1017</v>
      </c>
      <c r="F275" s="152" t="s">
        <v>1035</v>
      </c>
      <c r="G275" s="152" t="s">
        <v>1036</v>
      </c>
      <c r="H275" s="153" t="s">
        <v>798</v>
      </c>
      <c r="I275" s="153">
        <v>1.0</v>
      </c>
      <c r="J275" s="152" t="s">
        <v>850</v>
      </c>
      <c r="K275" s="67"/>
      <c r="L275" s="67"/>
      <c r="M275" s="68"/>
      <c r="N275" s="57"/>
      <c r="O275" s="57"/>
      <c r="P275" s="57"/>
      <c r="Q275" s="57"/>
      <c r="R275" s="57"/>
      <c r="S275" s="69"/>
      <c r="T275" s="57"/>
      <c r="U275" s="57"/>
      <c r="V275" s="70"/>
      <c r="W275" s="70"/>
      <c r="X275" s="70"/>
      <c r="Y275" s="71"/>
      <c r="Z275" s="71"/>
    </row>
    <row r="276" ht="15.75" customHeight="1">
      <c r="A276" s="57"/>
      <c r="B276" s="58"/>
      <c r="C276" s="59"/>
      <c r="D276" s="154" t="s">
        <v>1016</v>
      </c>
      <c r="E276" s="154" t="s">
        <v>1017</v>
      </c>
      <c r="F276" s="152" t="s">
        <v>1038</v>
      </c>
      <c r="G276" s="152" t="s">
        <v>1039</v>
      </c>
      <c r="H276" s="153" t="s">
        <v>798</v>
      </c>
      <c r="I276" s="153">
        <v>1.0</v>
      </c>
      <c r="J276" s="152" t="s">
        <v>911</v>
      </c>
      <c r="K276" s="67"/>
      <c r="L276" s="67"/>
      <c r="M276" s="68"/>
      <c r="N276" s="57"/>
      <c r="O276" s="57"/>
      <c r="P276" s="57"/>
      <c r="Q276" s="57"/>
      <c r="R276" s="57"/>
      <c r="S276" s="69"/>
      <c r="T276" s="57"/>
      <c r="U276" s="57"/>
      <c r="V276" s="70"/>
      <c r="W276" s="70"/>
      <c r="X276" s="70"/>
      <c r="Y276" s="71"/>
      <c r="Z276" s="71"/>
    </row>
    <row r="277" ht="15.75" customHeight="1">
      <c r="A277" s="57"/>
      <c r="B277" s="58"/>
      <c r="C277" s="59"/>
      <c r="D277" s="154" t="s">
        <v>1016</v>
      </c>
      <c r="E277" s="154" t="s">
        <v>1017</v>
      </c>
      <c r="F277" s="152" t="s">
        <v>1040</v>
      </c>
      <c r="G277" s="152" t="s">
        <v>1041</v>
      </c>
      <c r="H277" s="153" t="s">
        <v>965</v>
      </c>
      <c r="I277" s="153">
        <v>20.0</v>
      </c>
      <c r="J277" s="152" t="s">
        <v>864</v>
      </c>
      <c r="K277" s="67"/>
      <c r="L277" s="67"/>
      <c r="M277" s="68"/>
      <c r="N277" s="57"/>
      <c r="O277" s="57"/>
      <c r="P277" s="57"/>
      <c r="Q277" s="57"/>
      <c r="R277" s="57"/>
      <c r="S277" s="69"/>
      <c r="T277" s="57"/>
      <c r="U277" s="57"/>
      <c r="V277" s="70"/>
      <c r="W277" s="70"/>
      <c r="X277" s="70"/>
      <c r="Y277" s="71"/>
      <c r="Z277" s="71"/>
    </row>
    <row r="278" ht="15.75" customHeight="1">
      <c r="A278" s="57"/>
      <c r="B278" s="58"/>
      <c r="C278" s="59"/>
      <c r="D278" s="154" t="s">
        <v>1016</v>
      </c>
      <c r="E278" s="154" t="s">
        <v>1017</v>
      </c>
      <c r="F278" s="152" t="s">
        <v>1043</v>
      </c>
      <c r="G278" s="152" t="s">
        <v>1044</v>
      </c>
      <c r="H278" s="153" t="s">
        <v>965</v>
      </c>
      <c r="I278" s="153">
        <v>20.0</v>
      </c>
      <c r="J278" s="152" t="s">
        <v>864</v>
      </c>
      <c r="K278" s="67"/>
      <c r="L278" s="67"/>
      <c r="M278" s="68"/>
      <c r="N278" s="57"/>
      <c r="O278" s="57"/>
      <c r="P278" s="57"/>
      <c r="Q278" s="57"/>
      <c r="R278" s="57"/>
      <c r="S278" s="69"/>
      <c r="T278" s="57"/>
      <c r="U278" s="57"/>
      <c r="V278" s="70"/>
      <c r="W278" s="70"/>
      <c r="X278" s="70"/>
      <c r="Y278" s="71"/>
      <c r="Z278" s="71"/>
    </row>
    <row r="279" ht="15.75" customHeight="1">
      <c r="A279" s="57"/>
      <c r="B279" s="58"/>
      <c r="C279" s="59"/>
      <c r="D279" s="154" t="s">
        <v>1016</v>
      </c>
      <c r="E279" s="154" t="s">
        <v>1017</v>
      </c>
      <c r="F279" s="152" t="s">
        <v>1045</v>
      </c>
      <c r="G279" s="152" t="s">
        <v>1046</v>
      </c>
      <c r="H279" s="153" t="s">
        <v>824</v>
      </c>
      <c r="I279" s="153">
        <v>1.0</v>
      </c>
      <c r="J279" s="152" t="s">
        <v>944</v>
      </c>
      <c r="K279" s="67"/>
      <c r="L279" s="67"/>
      <c r="M279" s="68"/>
      <c r="N279" s="57"/>
      <c r="O279" s="57"/>
      <c r="P279" s="57"/>
      <c r="Q279" s="57"/>
      <c r="R279" s="57"/>
      <c r="S279" s="69"/>
      <c r="T279" s="57"/>
      <c r="U279" s="57"/>
      <c r="V279" s="70"/>
      <c r="W279" s="70"/>
      <c r="X279" s="70"/>
      <c r="Y279" s="71"/>
      <c r="Z279" s="71"/>
    </row>
    <row r="280" ht="15.75" customHeight="1">
      <c r="A280" s="57"/>
      <c r="B280" s="58"/>
      <c r="C280" s="59"/>
      <c r="D280" s="154" t="s">
        <v>1016</v>
      </c>
      <c r="E280" s="154" t="s">
        <v>1017</v>
      </c>
      <c r="F280" s="152" t="s">
        <v>1048</v>
      </c>
      <c r="G280" s="152" t="s">
        <v>1049</v>
      </c>
      <c r="H280" s="153" t="s">
        <v>824</v>
      </c>
      <c r="I280" s="153">
        <v>1.0</v>
      </c>
      <c r="J280" s="152" t="s">
        <v>927</v>
      </c>
      <c r="K280" s="67"/>
      <c r="L280" s="67"/>
      <c r="M280" s="68"/>
      <c r="N280" s="57"/>
      <c r="O280" s="57"/>
      <c r="P280" s="57"/>
      <c r="Q280" s="57"/>
      <c r="R280" s="57"/>
      <c r="S280" s="69"/>
      <c r="T280" s="57"/>
      <c r="U280" s="57"/>
      <c r="V280" s="70"/>
      <c r="W280" s="70"/>
      <c r="X280" s="70"/>
      <c r="Y280" s="71"/>
      <c r="Z280" s="71"/>
    </row>
    <row r="281" ht="15.75" customHeight="1">
      <c r="A281" s="57"/>
      <c r="B281" s="58"/>
      <c r="C281" s="59"/>
      <c r="D281" s="154" t="s">
        <v>1016</v>
      </c>
      <c r="E281" s="154" t="s">
        <v>1017</v>
      </c>
      <c r="F281" s="152" t="s">
        <v>1051</v>
      </c>
      <c r="G281" s="152" t="s">
        <v>1052</v>
      </c>
      <c r="H281" s="153" t="s">
        <v>824</v>
      </c>
      <c r="I281" s="153">
        <v>1.0</v>
      </c>
      <c r="J281" s="152" t="s">
        <v>864</v>
      </c>
      <c r="K281" s="67"/>
      <c r="L281" s="67"/>
      <c r="M281" s="68"/>
      <c r="N281" s="57"/>
      <c r="O281" s="57"/>
      <c r="P281" s="57"/>
      <c r="Q281" s="57"/>
      <c r="R281" s="57"/>
      <c r="S281" s="69"/>
      <c r="T281" s="57"/>
      <c r="U281" s="57"/>
      <c r="V281" s="70"/>
      <c r="W281" s="70"/>
      <c r="X281" s="70"/>
      <c r="Y281" s="71"/>
      <c r="Z281" s="71"/>
    </row>
    <row r="282" ht="15.75" customHeight="1">
      <c r="A282" s="57"/>
      <c r="B282" s="58"/>
      <c r="C282" s="59"/>
      <c r="D282" s="154" t="s">
        <v>1016</v>
      </c>
      <c r="E282" s="154" t="s">
        <v>1053</v>
      </c>
      <c r="F282" s="152" t="s">
        <v>1054</v>
      </c>
      <c r="G282" s="152" t="s">
        <v>1055</v>
      </c>
      <c r="H282" s="153" t="s">
        <v>793</v>
      </c>
      <c r="I282" s="153">
        <v>6.0</v>
      </c>
      <c r="J282" s="152" t="s">
        <v>322</v>
      </c>
      <c r="K282" s="67"/>
      <c r="L282" s="67"/>
      <c r="M282" s="68"/>
      <c r="N282" s="57"/>
      <c r="O282" s="57"/>
      <c r="P282" s="57"/>
      <c r="Q282" s="57"/>
      <c r="R282" s="57"/>
      <c r="S282" s="69"/>
      <c r="T282" s="57"/>
      <c r="U282" s="57"/>
      <c r="V282" s="70"/>
      <c r="W282" s="70"/>
      <c r="X282" s="70"/>
      <c r="Y282" s="71"/>
      <c r="Z282" s="71"/>
    </row>
    <row r="283" ht="15.75" customHeight="1">
      <c r="A283" s="57"/>
      <c r="B283" s="58"/>
      <c r="C283" s="59"/>
      <c r="D283" s="154" t="s">
        <v>1016</v>
      </c>
      <c r="E283" s="154" t="s">
        <v>1053</v>
      </c>
      <c r="F283" s="152" t="s">
        <v>1057</v>
      </c>
      <c r="G283" s="152" t="s">
        <v>1058</v>
      </c>
      <c r="H283" s="153" t="s">
        <v>798</v>
      </c>
      <c r="I283" s="153">
        <v>2.0</v>
      </c>
      <c r="J283" s="152" t="s">
        <v>799</v>
      </c>
      <c r="K283" s="67"/>
      <c r="L283" s="67"/>
      <c r="M283" s="68"/>
      <c r="N283" s="57"/>
      <c r="O283" s="57"/>
      <c r="P283" s="57"/>
      <c r="Q283" s="57"/>
      <c r="R283" s="57"/>
      <c r="S283" s="69"/>
      <c r="T283" s="57"/>
      <c r="U283" s="57"/>
      <c r="V283" s="70"/>
      <c r="W283" s="70"/>
      <c r="X283" s="70"/>
      <c r="Y283" s="71"/>
      <c r="Z283" s="71"/>
    </row>
    <row r="284" ht="15.75" customHeight="1">
      <c r="A284" s="57"/>
      <c r="B284" s="58"/>
      <c r="C284" s="59"/>
      <c r="D284" s="154" t="s">
        <v>1016</v>
      </c>
      <c r="E284" s="154" t="s">
        <v>1053</v>
      </c>
      <c r="F284" s="152" t="s">
        <v>1059</v>
      </c>
      <c r="G284" s="152" t="s">
        <v>1027</v>
      </c>
      <c r="H284" s="153" t="s">
        <v>973</v>
      </c>
      <c r="I284" s="153">
        <v>1.0</v>
      </c>
      <c r="J284" s="152" t="s">
        <v>1028</v>
      </c>
      <c r="K284" s="67"/>
      <c r="L284" s="67"/>
      <c r="M284" s="68"/>
      <c r="N284" s="57"/>
      <c r="O284" s="57"/>
      <c r="P284" s="57"/>
      <c r="Q284" s="57"/>
      <c r="R284" s="57"/>
      <c r="S284" s="69"/>
      <c r="T284" s="57"/>
      <c r="U284" s="57"/>
      <c r="V284" s="70"/>
      <c r="W284" s="70"/>
      <c r="X284" s="70"/>
      <c r="Y284" s="71"/>
      <c r="Z284" s="71"/>
    </row>
    <row r="285" ht="15.75" customHeight="1">
      <c r="A285" s="57"/>
      <c r="B285" s="58"/>
      <c r="C285" s="59"/>
      <c r="D285" s="154" t="s">
        <v>1016</v>
      </c>
      <c r="E285" s="154" t="s">
        <v>1053</v>
      </c>
      <c r="F285" s="152" t="s">
        <v>1061</v>
      </c>
      <c r="G285" s="152" t="s">
        <v>801</v>
      </c>
      <c r="H285" s="153" t="s">
        <v>802</v>
      </c>
      <c r="I285" s="153">
        <v>8.0</v>
      </c>
      <c r="J285" s="152" t="s">
        <v>803</v>
      </c>
      <c r="K285" s="67"/>
      <c r="L285" s="67"/>
      <c r="M285" s="68"/>
      <c r="N285" s="57"/>
      <c r="O285" s="57"/>
      <c r="P285" s="57"/>
      <c r="Q285" s="57"/>
      <c r="R285" s="57"/>
      <c r="S285" s="69"/>
      <c r="T285" s="57"/>
      <c r="U285" s="57"/>
      <c r="V285" s="70"/>
      <c r="W285" s="70"/>
      <c r="X285" s="70"/>
      <c r="Y285" s="71"/>
      <c r="Z285" s="71"/>
    </row>
    <row r="286" ht="15.75" customHeight="1">
      <c r="A286" s="57"/>
      <c r="B286" s="58"/>
      <c r="C286" s="59"/>
      <c r="D286" s="154" t="s">
        <v>1016</v>
      </c>
      <c r="E286" s="154" t="s">
        <v>1053</v>
      </c>
      <c r="F286" s="152" t="s">
        <v>892</v>
      </c>
      <c r="G286" s="152" t="s">
        <v>805</v>
      </c>
      <c r="H286" s="153" t="s">
        <v>806</v>
      </c>
      <c r="I286" s="153">
        <v>2.0</v>
      </c>
      <c r="J286" s="152" t="s">
        <v>803</v>
      </c>
      <c r="K286" s="67"/>
      <c r="L286" s="67"/>
      <c r="M286" s="68"/>
      <c r="N286" s="57"/>
      <c r="O286" s="57"/>
      <c r="P286" s="57"/>
      <c r="Q286" s="57"/>
      <c r="R286" s="57"/>
      <c r="S286" s="69"/>
      <c r="T286" s="57"/>
      <c r="U286" s="57"/>
      <c r="V286" s="70"/>
      <c r="W286" s="70"/>
      <c r="X286" s="70"/>
      <c r="Y286" s="71"/>
      <c r="Z286" s="71"/>
    </row>
    <row r="287" ht="15.75" customHeight="1">
      <c r="A287" s="57"/>
      <c r="B287" s="58"/>
      <c r="C287" s="59"/>
      <c r="D287" s="154" t="s">
        <v>1016</v>
      </c>
      <c r="E287" s="154" t="s">
        <v>1053</v>
      </c>
      <c r="F287" s="152" t="s">
        <v>1064</v>
      </c>
      <c r="G287" s="152" t="s">
        <v>1065</v>
      </c>
      <c r="H287" s="153" t="s">
        <v>810</v>
      </c>
      <c r="I287" s="153">
        <v>1.0</v>
      </c>
      <c r="J287" s="152" t="s">
        <v>151</v>
      </c>
      <c r="K287" s="67"/>
      <c r="L287" s="67"/>
      <c r="M287" s="68"/>
      <c r="N287" s="57"/>
      <c r="O287" s="57"/>
      <c r="P287" s="57"/>
      <c r="Q287" s="57"/>
      <c r="R287" s="57"/>
      <c r="S287" s="69"/>
      <c r="T287" s="57"/>
      <c r="U287" s="57"/>
      <c r="V287" s="70"/>
      <c r="W287" s="70"/>
      <c r="X287" s="70"/>
      <c r="Y287" s="71"/>
      <c r="Z287" s="71"/>
    </row>
    <row r="288" ht="15.75" customHeight="1">
      <c r="A288" s="57"/>
      <c r="B288" s="58"/>
      <c r="C288" s="59"/>
      <c r="D288" s="154" t="s">
        <v>1016</v>
      </c>
      <c r="E288" s="154" t="s">
        <v>1053</v>
      </c>
      <c r="F288" s="152" t="s">
        <v>1067</v>
      </c>
      <c r="G288" s="152" t="s">
        <v>812</v>
      </c>
      <c r="H288" s="153" t="s">
        <v>813</v>
      </c>
      <c r="I288" s="153">
        <v>1.0</v>
      </c>
      <c r="J288" s="152" t="s">
        <v>196</v>
      </c>
      <c r="K288" s="67"/>
      <c r="L288" s="67"/>
      <c r="M288" s="68"/>
      <c r="N288" s="57"/>
      <c r="O288" s="57"/>
      <c r="P288" s="57"/>
      <c r="Q288" s="57"/>
      <c r="R288" s="57"/>
      <c r="S288" s="69"/>
      <c r="T288" s="57"/>
      <c r="U288" s="57"/>
      <c r="V288" s="70"/>
      <c r="W288" s="70"/>
      <c r="X288" s="70"/>
      <c r="Y288" s="71"/>
      <c r="Z288" s="71"/>
    </row>
    <row r="289" ht="15.75" customHeight="1">
      <c r="A289" s="57"/>
      <c r="B289" s="58"/>
      <c r="C289" s="59"/>
      <c r="D289" s="154" t="s">
        <v>1016</v>
      </c>
      <c r="E289" s="154" t="s">
        <v>1053</v>
      </c>
      <c r="F289" s="152" t="s">
        <v>1068</v>
      </c>
      <c r="G289" s="152" t="s">
        <v>1069</v>
      </c>
      <c r="H289" s="153" t="s">
        <v>806</v>
      </c>
      <c r="I289" s="153">
        <v>90.0</v>
      </c>
      <c r="J289" s="152" t="s">
        <v>295</v>
      </c>
      <c r="K289" s="67"/>
      <c r="L289" s="67"/>
      <c r="M289" s="68"/>
      <c r="N289" s="57"/>
      <c r="O289" s="57"/>
      <c r="P289" s="57"/>
      <c r="Q289" s="57"/>
      <c r="R289" s="57"/>
      <c r="S289" s="69"/>
      <c r="T289" s="57"/>
      <c r="U289" s="57"/>
      <c r="V289" s="70"/>
      <c r="W289" s="70"/>
      <c r="X289" s="70"/>
      <c r="Y289" s="71"/>
      <c r="Z289" s="71"/>
    </row>
    <row r="290" ht="15.75" customHeight="1">
      <c r="A290" s="57"/>
      <c r="B290" s="58"/>
      <c r="C290" s="59"/>
      <c r="D290" s="154" t="s">
        <v>1016</v>
      </c>
      <c r="E290" s="154" t="s">
        <v>1053</v>
      </c>
      <c r="F290" s="152" t="s">
        <v>1070</v>
      </c>
      <c r="G290" s="152" t="s">
        <v>1071</v>
      </c>
      <c r="H290" s="153" t="s">
        <v>824</v>
      </c>
      <c r="I290" s="153">
        <v>1.0</v>
      </c>
      <c r="J290" s="152" t="s">
        <v>850</v>
      </c>
      <c r="K290" s="67"/>
      <c r="L290" s="67"/>
      <c r="M290" s="68"/>
      <c r="N290" s="57"/>
      <c r="O290" s="57"/>
      <c r="P290" s="57"/>
      <c r="Q290" s="57"/>
      <c r="R290" s="57"/>
      <c r="S290" s="69"/>
      <c r="T290" s="57"/>
      <c r="U290" s="57"/>
      <c r="V290" s="70"/>
      <c r="W290" s="70"/>
      <c r="X290" s="70"/>
      <c r="Y290" s="71"/>
      <c r="Z290" s="71"/>
    </row>
    <row r="291" ht="15.75" customHeight="1">
      <c r="A291" s="57"/>
      <c r="B291" s="58"/>
      <c r="C291" s="59"/>
      <c r="D291" s="154" t="s">
        <v>1016</v>
      </c>
      <c r="E291" s="154" t="s">
        <v>1053</v>
      </c>
      <c r="F291" s="152" t="s">
        <v>1073</v>
      </c>
      <c r="G291" s="152" t="s">
        <v>1074</v>
      </c>
      <c r="H291" s="153" t="s">
        <v>1075</v>
      </c>
      <c r="I291" s="153">
        <v>16.0</v>
      </c>
      <c r="J291" s="152" t="s">
        <v>1076</v>
      </c>
      <c r="K291" s="67"/>
      <c r="L291" s="67"/>
      <c r="M291" s="68"/>
      <c r="N291" s="57"/>
      <c r="O291" s="57"/>
      <c r="P291" s="57"/>
      <c r="Q291" s="57"/>
      <c r="R291" s="57"/>
      <c r="S291" s="69"/>
      <c r="T291" s="57"/>
      <c r="U291" s="57"/>
      <c r="V291" s="70"/>
      <c r="W291" s="70"/>
      <c r="X291" s="70"/>
      <c r="Y291" s="71"/>
      <c r="Z291" s="71"/>
    </row>
    <row r="292" ht="15.75" customHeight="1">
      <c r="A292" s="57"/>
      <c r="B292" s="58"/>
      <c r="C292" s="59"/>
      <c r="D292" s="154" t="s">
        <v>1016</v>
      </c>
      <c r="E292" s="154" t="s">
        <v>1053</v>
      </c>
      <c r="F292" s="152" t="s">
        <v>1077</v>
      </c>
      <c r="G292" s="152" t="s">
        <v>1078</v>
      </c>
      <c r="H292" s="153" t="s">
        <v>1075</v>
      </c>
      <c r="I292" s="153">
        <v>16.0</v>
      </c>
      <c r="J292" s="152" t="s">
        <v>1076</v>
      </c>
      <c r="K292" s="67"/>
      <c r="L292" s="67"/>
      <c r="M292" s="68"/>
      <c r="N292" s="57"/>
      <c r="O292" s="57"/>
      <c r="P292" s="57"/>
      <c r="Q292" s="57"/>
      <c r="R292" s="57"/>
      <c r="S292" s="69"/>
      <c r="T292" s="57"/>
      <c r="U292" s="57"/>
      <c r="V292" s="70"/>
      <c r="W292" s="70"/>
      <c r="X292" s="70"/>
      <c r="Y292" s="71"/>
      <c r="Z292" s="71"/>
    </row>
    <row r="293" ht="15.75" customHeight="1">
      <c r="A293" s="57"/>
      <c r="B293" s="58"/>
      <c r="C293" s="59"/>
      <c r="D293" s="154" t="s">
        <v>1016</v>
      </c>
      <c r="E293" s="154" t="s">
        <v>1053</v>
      </c>
      <c r="F293" s="152" t="s">
        <v>1079</v>
      </c>
      <c r="G293" s="152" t="s">
        <v>1080</v>
      </c>
      <c r="H293" s="153" t="s">
        <v>824</v>
      </c>
      <c r="I293" s="153">
        <v>1.0</v>
      </c>
      <c r="J293" s="152" t="s">
        <v>944</v>
      </c>
      <c r="K293" s="67"/>
      <c r="L293" s="67"/>
      <c r="M293" s="68"/>
      <c r="N293" s="57"/>
      <c r="O293" s="57"/>
      <c r="P293" s="57"/>
      <c r="Q293" s="57"/>
      <c r="R293" s="57"/>
      <c r="S293" s="69"/>
      <c r="T293" s="57"/>
      <c r="U293" s="57"/>
      <c r="V293" s="70"/>
      <c r="W293" s="70"/>
      <c r="X293" s="70"/>
      <c r="Y293" s="71"/>
      <c r="Z293" s="71"/>
    </row>
    <row r="294" ht="15.75" customHeight="1">
      <c r="A294" s="57"/>
      <c r="B294" s="58"/>
      <c r="C294" s="59"/>
      <c r="D294" s="154" t="s">
        <v>1016</v>
      </c>
      <c r="E294" s="154" t="s">
        <v>1053</v>
      </c>
      <c r="F294" s="152" t="s">
        <v>1081</v>
      </c>
      <c r="G294" s="152" t="s">
        <v>1082</v>
      </c>
      <c r="H294" s="153" t="s">
        <v>824</v>
      </c>
      <c r="I294" s="153">
        <v>1.0</v>
      </c>
      <c r="J294" s="152" t="s">
        <v>944</v>
      </c>
      <c r="K294" s="67"/>
      <c r="L294" s="67"/>
      <c r="M294" s="68"/>
      <c r="N294" s="57"/>
      <c r="O294" s="57"/>
      <c r="P294" s="57"/>
      <c r="Q294" s="57"/>
      <c r="R294" s="57"/>
      <c r="S294" s="69"/>
      <c r="T294" s="57"/>
      <c r="U294" s="57"/>
      <c r="V294" s="70"/>
      <c r="W294" s="70"/>
      <c r="X294" s="70"/>
      <c r="Y294" s="71"/>
      <c r="Z294" s="71"/>
    </row>
    <row r="295" ht="15.75" customHeight="1">
      <c r="A295" s="57"/>
      <c r="B295" s="58"/>
      <c r="C295" s="59"/>
      <c r="D295" s="154" t="s">
        <v>1016</v>
      </c>
      <c r="E295" s="154" t="s">
        <v>1053</v>
      </c>
      <c r="F295" s="152" t="s">
        <v>1083</v>
      </c>
      <c r="G295" s="152" t="s">
        <v>1084</v>
      </c>
      <c r="H295" s="153" t="s">
        <v>806</v>
      </c>
      <c r="I295" s="153">
        <v>90.0</v>
      </c>
      <c r="J295" s="152" t="s">
        <v>295</v>
      </c>
      <c r="K295" s="67"/>
      <c r="L295" s="67"/>
      <c r="M295" s="68"/>
      <c r="N295" s="57"/>
      <c r="O295" s="57"/>
      <c r="P295" s="57"/>
      <c r="Q295" s="57"/>
      <c r="R295" s="57"/>
      <c r="S295" s="69"/>
      <c r="T295" s="57"/>
      <c r="U295" s="57"/>
      <c r="V295" s="70"/>
      <c r="W295" s="70"/>
      <c r="X295" s="70"/>
      <c r="Y295" s="71"/>
      <c r="Z295" s="71"/>
    </row>
    <row r="296" ht="15.75" customHeight="1">
      <c r="A296" s="57"/>
      <c r="B296" s="58"/>
      <c r="C296" s="59"/>
      <c r="D296" s="154" t="s">
        <v>1016</v>
      </c>
      <c r="E296" s="154" t="s">
        <v>1053</v>
      </c>
      <c r="F296" s="152" t="s">
        <v>1085</v>
      </c>
      <c r="G296" s="152" t="s">
        <v>1086</v>
      </c>
      <c r="H296" s="153" t="s">
        <v>829</v>
      </c>
      <c r="I296" s="153">
        <v>90.0</v>
      </c>
      <c r="J296" s="152" t="s">
        <v>864</v>
      </c>
      <c r="K296" s="67"/>
      <c r="L296" s="67"/>
      <c r="M296" s="68"/>
      <c r="N296" s="57"/>
      <c r="O296" s="57"/>
      <c r="P296" s="57"/>
      <c r="Q296" s="57"/>
      <c r="R296" s="57"/>
      <c r="S296" s="69"/>
      <c r="T296" s="57"/>
      <c r="U296" s="57"/>
      <c r="V296" s="70"/>
      <c r="W296" s="70"/>
      <c r="X296" s="70"/>
      <c r="Y296" s="71"/>
      <c r="Z296" s="71"/>
    </row>
    <row r="297" ht="15.75" customHeight="1">
      <c r="A297" s="57"/>
      <c r="B297" s="58"/>
      <c r="C297" s="59"/>
      <c r="D297" s="154" t="s">
        <v>1016</v>
      </c>
      <c r="E297" s="154" t="s">
        <v>1053</v>
      </c>
      <c r="F297" s="152" t="s">
        <v>1087</v>
      </c>
      <c r="G297" s="152" t="s">
        <v>1088</v>
      </c>
      <c r="H297" s="153" t="s">
        <v>829</v>
      </c>
      <c r="I297" s="153">
        <v>90.0</v>
      </c>
      <c r="J297" s="152" t="s">
        <v>864</v>
      </c>
      <c r="K297" s="67"/>
      <c r="L297" s="67"/>
      <c r="M297" s="68"/>
      <c r="N297" s="57"/>
      <c r="O297" s="57"/>
      <c r="P297" s="57"/>
      <c r="Q297" s="57"/>
      <c r="R297" s="57"/>
      <c r="S297" s="69"/>
      <c r="T297" s="57"/>
      <c r="U297" s="57"/>
      <c r="V297" s="70"/>
      <c r="W297" s="70"/>
      <c r="X297" s="70"/>
      <c r="Y297" s="71"/>
      <c r="Z297" s="71"/>
    </row>
    <row r="298" ht="15.75" customHeight="1">
      <c r="A298" s="57"/>
      <c r="B298" s="58"/>
      <c r="C298" s="59"/>
      <c r="D298" s="154" t="s">
        <v>1016</v>
      </c>
      <c r="E298" s="154" t="s">
        <v>1053</v>
      </c>
      <c r="F298" s="152" t="s">
        <v>1090</v>
      </c>
      <c r="G298" s="152" t="s">
        <v>1091</v>
      </c>
      <c r="H298" s="153" t="s">
        <v>829</v>
      </c>
      <c r="I298" s="153">
        <v>90.0</v>
      </c>
      <c r="J298" s="152" t="s">
        <v>944</v>
      </c>
      <c r="K298" s="67"/>
      <c r="L298" s="67"/>
      <c r="M298" s="68"/>
      <c r="N298" s="57"/>
      <c r="O298" s="57"/>
      <c r="P298" s="57"/>
      <c r="Q298" s="57"/>
      <c r="R298" s="57"/>
      <c r="S298" s="69"/>
      <c r="T298" s="57"/>
      <c r="U298" s="57"/>
      <c r="V298" s="70"/>
      <c r="W298" s="70"/>
      <c r="X298" s="70"/>
      <c r="Y298" s="71"/>
      <c r="Z298" s="71"/>
    </row>
    <row r="299" ht="15.75" customHeight="1">
      <c r="A299" s="57"/>
      <c r="B299" s="58"/>
      <c r="C299" s="59"/>
      <c r="D299" s="154" t="s">
        <v>1016</v>
      </c>
      <c r="E299" s="154" t="s">
        <v>1053</v>
      </c>
      <c r="F299" s="152" t="s">
        <v>1092</v>
      </c>
      <c r="G299" s="152" t="s">
        <v>1093</v>
      </c>
      <c r="H299" s="153" t="s">
        <v>813</v>
      </c>
      <c r="I299" s="153">
        <v>1.0</v>
      </c>
      <c r="J299" s="152" t="s">
        <v>322</v>
      </c>
      <c r="K299" s="67"/>
      <c r="L299" s="67"/>
      <c r="M299" s="68"/>
      <c r="N299" s="57"/>
      <c r="O299" s="57"/>
      <c r="P299" s="57"/>
      <c r="Q299" s="57"/>
      <c r="R299" s="57"/>
      <c r="S299" s="69"/>
      <c r="T299" s="57"/>
      <c r="U299" s="57"/>
      <c r="V299" s="70"/>
      <c r="W299" s="70"/>
      <c r="X299" s="70"/>
      <c r="Y299" s="71"/>
      <c r="Z299" s="71"/>
    </row>
    <row r="300" ht="15.75" customHeight="1">
      <c r="A300" s="57"/>
      <c r="B300" s="58"/>
      <c r="C300" s="59"/>
      <c r="D300" s="154" t="s">
        <v>1016</v>
      </c>
      <c r="E300" s="154" t="s">
        <v>1053</v>
      </c>
      <c r="F300" s="152" t="s">
        <v>1095</v>
      </c>
      <c r="G300" s="152" t="s">
        <v>844</v>
      </c>
      <c r="H300" s="153" t="s">
        <v>845</v>
      </c>
      <c r="I300" s="153">
        <v>1.0</v>
      </c>
      <c r="J300" s="152" t="s">
        <v>151</v>
      </c>
      <c r="K300" s="67"/>
      <c r="L300" s="67"/>
      <c r="M300" s="68"/>
      <c r="N300" s="57"/>
      <c r="O300" s="57"/>
      <c r="P300" s="57"/>
      <c r="Q300" s="57"/>
      <c r="R300" s="57"/>
      <c r="S300" s="69"/>
      <c r="T300" s="57"/>
      <c r="U300" s="57"/>
      <c r="V300" s="70"/>
      <c r="W300" s="70"/>
      <c r="X300" s="70"/>
      <c r="Y300" s="71"/>
      <c r="Z300" s="71"/>
    </row>
    <row r="301" ht="15.75" customHeight="1">
      <c r="A301" s="57"/>
      <c r="B301" s="58"/>
      <c r="C301" s="59"/>
      <c r="D301" s="154" t="s">
        <v>1016</v>
      </c>
      <c r="E301" s="154" t="s">
        <v>1053</v>
      </c>
      <c r="F301" s="152" t="s">
        <v>1096</v>
      </c>
      <c r="G301" s="152" t="s">
        <v>1097</v>
      </c>
      <c r="H301" s="153" t="s">
        <v>824</v>
      </c>
      <c r="I301" s="153">
        <v>2.0</v>
      </c>
      <c r="J301" s="152" t="s">
        <v>927</v>
      </c>
      <c r="K301" s="67"/>
      <c r="L301" s="67"/>
      <c r="M301" s="68"/>
      <c r="N301" s="57"/>
      <c r="O301" s="57"/>
      <c r="P301" s="57"/>
      <c r="Q301" s="57"/>
      <c r="R301" s="57"/>
      <c r="S301" s="69"/>
      <c r="T301" s="57"/>
      <c r="U301" s="57"/>
      <c r="V301" s="70"/>
      <c r="W301" s="70"/>
      <c r="X301" s="70"/>
      <c r="Y301" s="71"/>
      <c r="Z301" s="71"/>
    </row>
    <row r="302" ht="15.75" customHeight="1">
      <c r="A302" s="57"/>
      <c r="B302" s="58"/>
      <c r="C302" s="59"/>
      <c r="D302" s="154" t="s">
        <v>1016</v>
      </c>
      <c r="E302" s="154" t="s">
        <v>1053</v>
      </c>
      <c r="F302" s="152" t="s">
        <v>1008</v>
      </c>
      <c r="G302" s="152" t="s">
        <v>1099</v>
      </c>
      <c r="H302" s="153" t="s">
        <v>824</v>
      </c>
      <c r="I302" s="153">
        <v>2.0</v>
      </c>
      <c r="J302" s="152" t="s">
        <v>864</v>
      </c>
      <c r="K302" s="67"/>
      <c r="L302" s="67"/>
      <c r="M302" s="68"/>
      <c r="N302" s="57"/>
      <c r="O302" s="57"/>
      <c r="P302" s="57"/>
      <c r="Q302" s="57"/>
      <c r="R302" s="57"/>
      <c r="S302" s="69"/>
      <c r="T302" s="57"/>
      <c r="U302" s="57"/>
      <c r="V302" s="70"/>
      <c r="W302" s="70"/>
      <c r="X302" s="70"/>
      <c r="Y302" s="71"/>
      <c r="Z302" s="71"/>
    </row>
    <row r="303" ht="15.75" customHeight="1">
      <c r="A303" s="43" t="s">
        <v>54</v>
      </c>
      <c r="B303" s="44" t="s">
        <v>17</v>
      </c>
      <c r="C303" s="45" t="s">
        <v>110</v>
      </c>
      <c r="D303" s="46" t="s">
        <v>472</v>
      </c>
      <c r="E303" s="46" t="s">
        <v>1101</v>
      </c>
      <c r="F303" s="47" t="s">
        <v>1102</v>
      </c>
      <c r="G303" s="47" t="s">
        <v>1103</v>
      </c>
      <c r="H303" s="151" t="s">
        <v>806</v>
      </c>
      <c r="I303" s="151">
        <v>3.0</v>
      </c>
      <c r="J303" s="47" t="s">
        <v>322</v>
      </c>
      <c r="K303" s="50"/>
      <c r="L303" s="50"/>
      <c r="M303" s="48"/>
      <c r="N303" s="43"/>
      <c r="O303" s="43"/>
      <c r="P303" s="43"/>
      <c r="Q303" s="43"/>
      <c r="R303" s="43"/>
      <c r="S303" s="54" t="str">
        <f>IFERROR(Q303/R303,"-")</f>
        <v>-</v>
      </c>
      <c r="T303" s="43" t="str">
        <f>'Kertas Kerja'!$I297</f>
        <v/>
      </c>
      <c r="U303" s="43" t="str">
        <f>IFERROR(S303*T303,)</f>
        <v/>
      </c>
      <c r="V303" s="56">
        <f>+U303/5.5</f>
        <v>0</v>
      </c>
      <c r="W303" s="56">
        <f>U303/1250</f>
        <v>0</v>
      </c>
      <c r="X303" s="56"/>
      <c r="Y303" s="80"/>
      <c r="Z303" s="80"/>
    </row>
    <row r="304" ht="15.75" customHeight="1">
      <c r="A304" s="43"/>
      <c r="B304" s="44"/>
      <c r="C304" s="45"/>
      <c r="D304" s="46" t="s">
        <v>472</v>
      </c>
      <c r="E304" s="46" t="s">
        <v>1101</v>
      </c>
      <c r="F304" s="47" t="s">
        <v>1105</v>
      </c>
      <c r="G304" s="47" t="s">
        <v>1106</v>
      </c>
      <c r="H304" s="151" t="s">
        <v>806</v>
      </c>
      <c r="I304" s="151">
        <v>1.0</v>
      </c>
      <c r="J304" s="47" t="s">
        <v>322</v>
      </c>
      <c r="K304" s="50"/>
      <c r="L304" s="50"/>
      <c r="M304" s="48"/>
      <c r="N304" s="43"/>
      <c r="O304" s="43"/>
      <c r="P304" s="43"/>
      <c r="Q304" s="43"/>
      <c r="R304" s="43"/>
      <c r="S304" s="54"/>
      <c r="T304" s="43"/>
      <c r="U304" s="43"/>
      <c r="V304" s="56"/>
      <c r="W304" s="56"/>
      <c r="X304" s="56"/>
      <c r="Y304" s="80"/>
      <c r="Z304" s="80"/>
    </row>
    <row r="305" ht="15.75" customHeight="1">
      <c r="A305" s="43"/>
      <c r="B305" s="44"/>
      <c r="C305" s="45"/>
      <c r="D305" s="46" t="s">
        <v>472</v>
      </c>
      <c r="E305" s="46" t="s">
        <v>1101</v>
      </c>
      <c r="F305" s="47" t="s">
        <v>1108</v>
      </c>
      <c r="G305" s="47" t="s">
        <v>1109</v>
      </c>
      <c r="H305" s="151" t="s">
        <v>798</v>
      </c>
      <c r="I305" s="151">
        <v>2.0</v>
      </c>
      <c r="J305" s="47" t="s">
        <v>799</v>
      </c>
      <c r="K305" s="50"/>
      <c r="L305" s="50"/>
      <c r="M305" s="48"/>
      <c r="N305" s="43"/>
      <c r="O305" s="43"/>
      <c r="P305" s="43"/>
      <c r="Q305" s="43"/>
      <c r="R305" s="43"/>
      <c r="S305" s="54"/>
      <c r="T305" s="43"/>
      <c r="U305" s="43"/>
      <c r="V305" s="56"/>
      <c r="W305" s="56"/>
      <c r="X305" s="56"/>
      <c r="Y305" s="80"/>
      <c r="Z305" s="80"/>
    </row>
    <row r="306" ht="15.75" customHeight="1">
      <c r="A306" s="43"/>
      <c r="B306" s="44"/>
      <c r="C306" s="45"/>
      <c r="D306" s="46" t="s">
        <v>472</v>
      </c>
      <c r="E306" s="46" t="s">
        <v>1101</v>
      </c>
      <c r="F306" s="47" t="s">
        <v>1110</v>
      </c>
      <c r="G306" s="47" t="s">
        <v>1111</v>
      </c>
      <c r="H306" s="151" t="s">
        <v>1112</v>
      </c>
      <c r="I306" s="151">
        <v>1.0</v>
      </c>
      <c r="J306" s="47" t="s">
        <v>151</v>
      </c>
      <c r="K306" s="50"/>
      <c r="L306" s="50"/>
      <c r="M306" s="48"/>
      <c r="N306" s="43"/>
      <c r="O306" s="43"/>
      <c r="P306" s="43"/>
      <c r="Q306" s="43"/>
      <c r="R306" s="43"/>
      <c r="S306" s="54"/>
      <c r="T306" s="43"/>
      <c r="U306" s="43"/>
      <c r="V306" s="56"/>
      <c r="W306" s="56"/>
      <c r="X306" s="56"/>
      <c r="Y306" s="80"/>
      <c r="Z306" s="80"/>
    </row>
    <row r="307" ht="15.75" customHeight="1">
      <c r="A307" s="43"/>
      <c r="B307" s="44"/>
      <c r="C307" s="45"/>
      <c r="D307" s="46" t="s">
        <v>472</v>
      </c>
      <c r="E307" s="46" t="s">
        <v>1101</v>
      </c>
      <c r="F307" s="47" t="s">
        <v>1113</v>
      </c>
      <c r="G307" s="47" t="s">
        <v>1114</v>
      </c>
      <c r="H307" s="151" t="s">
        <v>813</v>
      </c>
      <c r="I307" s="151">
        <v>1.0</v>
      </c>
      <c r="J307" s="47" t="s">
        <v>196</v>
      </c>
      <c r="K307" s="50"/>
      <c r="L307" s="50"/>
      <c r="M307" s="48"/>
      <c r="N307" s="43"/>
      <c r="O307" s="43"/>
      <c r="P307" s="43"/>
      <c r="Q307" s="43"/>
      <c r="R307" s="43"/>
      <c r="S307" s="54"/>
      <c r="T307" s="43"/>
      <c r="U307" s="43"/>
      <c r="V307" s="56"/>
      <c r="W307" s="56"/>
      <c r="X307" s="56"/>
      <c r="Y307" s="80"/>
      <c r="Z307" s="80"/>
    </row>
    <row r="308" ht="15.75" customHeight="1">
      <c r="A308" s="43"/>
      <c r="B308" s="44"/>
      <c r="C308" s="45"/>
      <c r="D308" s="46" t="s">
        <v>472</v>
      </c>
      <c r="E308" s="46" t="s">
        <v>1101</v>
      </c>
      <c r="F308" s="47" t="s">
        <v>1115</v>
      </c>
      <c r="G308" s="47" t="s">
        <v>1116</v>
      </c>
      <c r="H308" s="151" t="s">
        <v>824</v>
      </c>
      <c r="I308" s="151">
        <v>2.0</v>
      </c>
      <c r="J308" s="47" t="s">
        <v>295</v>
      </c>
      <c r="K308" s="50"/>
      <c r="L308" s="50"/>
      <c r="M308" s="48"/>
      <c r="N308" s="43"/>
      <c r="O308" s="43"/>
      <c r="P308" s="43"/>
      <c r="Q308" s="43"/>
      <c r="R308" s="43"/>
      <c r="S308" s="54"/>
      <c r="T308" s="43"/>
      <c r="U308" s="43"/>
      <c r="V308" s="56"/>
      <c r="W308" s="56"/>
      <c r="X308" s="56"/>
      <c r="Y308" s="80"/>
      <c r="Z308" s="80"/>
    </row>
    <row r="309" ht="15.75" customHeight="1">
      <c r="A309" s="43"/>
      <c r="B309" s="44"/>
      <c r="C309" s="45"/>
      <c r="D309" s="46" t="s">
        <v>472</v>
      </c>
      <c r="E309" s="46" t="s">
        <v>1101</v>
      </c>
      <c r="F309" s="47" t="s">
        <v>1117</v>
      </c>
      <c r="G309" s="47" t="s">
        <v>1118</v>
      </c>
      <c r="H309" s="151" t="s">
        <v>845</v>
      </c>
      <c r="I309" s="151">
        <v>1.0</v>
      </c>
      <c r="J309" s="47" t="s">
        <v>151</v>
      </c>
      <c r="K309" s="50"/>
      <c r="L309" s="50"/>
      <c r="M309" s="48"/>
      <c r="N309" s="43"/>
      <c r="O309" s="43"/>
      <c r="P309" s="43"/>
      <c r="Q309" s="43"/>
      <c r="R309" s="43"/>
      <c r="S309" s="54"/>
      <c r="T309" s="43"/>
      <c r="U309" s="43"/>
      <c r="V309" s="56"/>
      <c r="W309" s="56"/>
      <c r="X309" s="56"/>
      <c r="Y309" s="80"/>
      <c r="Z309" s="80"/>
    </row>
    <row r="310" ht="15.75" customHeight="1">
      <c r="A310" s="43"/>
      <c r="B310" s="44"/>
      <c r="C310" s="45"/>
      <c r="D310" s="46" t="s">
        <v>472</v>
      </c>
      <c r="E310" s="46" t="s">
        <v>1101</v>
      </c>
      <c r="F310" s="47" t="s">
        <v>1120</v>
      </c>
      <c r="G310" s="47" t="s">
        <v>1121</v>
      </c>
      <c r="H310" s="151" t="s">
        <v>885</v>
      </c>
      <c r="I310" s="151">
        <v>2.0</v>
      </c>
      <c r="J310" s="47" t="s">
        <v>911</v>
      </c>
      <c r="K310" s="50"/>
      <c r="L310" s="50"/>
      <c r="M310" s="48"/>
      <c r="N310" s="43"/>
      <c r="O310" s="43"/>
      <c r="P310" s="43"/>
      <c r="Q310" s="43"/>
      <c r="R310" s="43"/>
      <c r="S310" s="54"/>
      <c r="T310" s="43"/>
      <c r="U310" s="43"/>
      <c r="V310" s="56"/>
      <c r="W310" s="56"/>
      <c r="X310" s="56"/>
      <c r="Y310" s="80"/>
      <c r="Z310" s="80"/>
    </row>
    <row r="311" ht="15.75" customHeight="1">
      <c r="A311" s="43"/>
      <c r="B311" s="44"/>
      <c r="C311" s="45"/>
      <c r="D311" s="46" t="s">
        <v>472</v>
      </c>
      <c r="E311" s="46" t="s">
        <v>1101</v>
      </c>
      <c r="F311" s="47" t="s">
        <v>1122</v>
      </c>
      <c r="G311" s="47" t="s">
        <v>1123</v>
      </c>
      <c r="H311" s="151" t="s">
        <v>885</v>
      </c>
      <c r="I311" s="151">
        <v>2.0</v>
      </c>
      <c r="J311" s="47" t="s">
        <v>864</v>
      </c>
      <c r="K311" s="50"/>
      <c r="L311" s="50"/>
      <c r="M311" s="48"/>
      <c r="N311" s="43"/>
      <c r="O311" s="43"/>
      <c r="P311" s="43"/>
      <c r="Q311" s="43"/>
      <c r="R311" s="43"/>
      <c r="S311" s="54"/>
      <c r="T311" s="43"/>
      <c r="U311" s="43"/>
      <c r="V311" s="56"/>
      <c r="W311" s="56"/>
      <c r="X311" s="56"/>
      <c r="Y311" s="80"/>
      <c r="Z311" s="80"/>
    </row>
    <row r="312" ht="15.75" customHeight="1">
      <c r="A312" s="43"/>
      <c r="B312" s="44"/>
      <c r="C312" s="45"/>
      <c r="D312" s="46" t="s">
        <v>472</v>
      </c>
      <c r="E312" s="46" t="s">
        <v>1101</v>
      </c>
      <c r="F312" s="47" t="s">
        <v>1124</v>
      </c>
      <c r="G312" s="47" t="s">
        <v>1125</v>
      </c>
      <c r="H312" s="151" t="s">
        <v>824</v>
      </c>
      <c r="I312" s="151">
        <v>1.0</v>
      </c>
      <c r="J312" s="47" t="s">
        <v>927</v>
      </c>
      <c r="K312" s="50"/>
      <c r="L312" s="50"/>
      <c r="M312" s="48"/>
      <c r="N312" s="43"/>
      <c r="O312" s="43"/>
      <c r="P312" s="43"/>
      <c r="Q312" s="43"/>
      <c r="R312" s="43"/>
      <c r="S312" s="54"/>
      <c r="T312" s="43"/>
      <c r="U312" s="43"/>
      <c r="V312" s="56"/>
      <c r="W312" s="56"/>
      <c r="X312" s="56"/>
      <c r="Y312" s="80"/>
      <c r="Z312" s="80"/>
    </row>
    <row r="313" ht="15.75" customHeight="1">
      <c r="A313" s="43"/>
      <c r="B313" s="44"/>
      <c r="C313" s="45"/>
      <c r="D313" s="46" t="s">
        <v>472</v>
      </c>
      <c r="E313" s="46" t="s">
        <v>1101</v>
      </c>
      <c r="F313" s="47" t="s">
        <v>1127</v>
      </c>
      <c r="G313" s="47" t="s">
        <v>1128</v>
      </c>
      <c r="H313" s="151" t="s">
        <v>824</v>
      </c>
      <c r="I313" s="151">
        <v>1.0</v>
      </c>
      <c r="J313" s="47" t="s">
        <v>322</v>
      </c>
      <c r="K313" s="50"/>
      <c r="L313" s="50"/>
      <c r="M313" s="48"/>
      <c r="N313" s="43"/>
      <c r="O313" s="43"/>
      <c r="P313" s="43"/>
      <c r="Q313" s="43"/>
      <c r="R313" s="43"/>
      <c r="S313" s="54"/>
      <c r="T313" s="43"/>
      <c r="U313" s="43"/>
      <c r="V313" s="56"/>
      <c r="W313" s="56"/>
      <c r="X313" s="56"/>
      <c r="Y313" s="80"/>
      <c r="Z313" s="80"/>
    </row>
    <row r="314" ht="15.75" customHeight="1">
      <c r="A314" s="43"/>
      <c r="B314" s="44"/>
      <c r="C314" s="45"/>
      <c r="D314" s="46" t="s">
        <v>472</v>
      </c>
      <c r="E314" s="46" t="s">
        <v>1101</v>
      </c>
      <c r="F314" s="47" t="s">
        <v>1129</v>
      </c>
      <c r="G314" s="47" t="s">
        <v>1130</v>
      </c>
      <c r="H314" s="151" t="s">
        <v>845</v>
      </c>
      <c r="I314" s="151">
        <v>1.0</v>
      </c>
      <c r="J314" s="47" t="s">
        <v>151</v>
      </c>
      <c r="K314" s="50"/>
      <c r="L314" s="50"/>
      <c r="M314" s="48"/>
      <c r="N314" s="43"/>
      <c r="O314" s="43"/>
      <c r="P314" s="43"/>
      <c r="Q314" s="43"/>
      <c r="R314" s="43"/>
      <c r="S314" s="54"/>
      <c r="T314" s="43"/>
      <c r="U314" s="43"/>
      <c r="V314" s="56"/>
      <c r="W314" s="56"/>
      <c r="X314" s="56"/>
      <c r="Y314" s="80"/>
      <c r="Z314" s="80"/>
    </row>
    <row r="315" ht="15.75" customHeight="1">
      <c r="A315" s="43"/>
      <c r="B315" s="44"/>
      <c r="C315" s="45"/>
      <c r="D315" s="46" t="s">
        <v>472</v>
      </c>
      <c r="E315" s="46" t="s">
        <v>1101</v>
      </c>
      <c r="F315" s="47" t="s">
        <v>1131</v>
      </c>
      <c r="G315" s="47" t="s">
        <v>1132</v>
      </c>
      <c r="H315" s="151" t="s">
        <v>845</v>
      </c>
      <c r="I315" s="151">
        <v>1.0</v>
      </c>
      <c r="J315" s="47" t="s">
        <v>334</v>
      </c>
      <c r="K315" s="50"/>
      <c r="L315" s="50"/>
      <c r="M315" s="48"/>
      <c r="N315" s="43"/>
      <c r="O315" s="43"/>
      <c r="P315" s="43"/>
      <c r="Q315" s="43"/>
      <c r="R315" s="43"/>
      <c r="S315" s="54"/>
      <c r="T315" s="43"/>
      <c r="U315" s="43"/>
      <c r="V315" s="56"/>
      <c r="W315" s="56"/>
      <c r="X315" s="56"/>
      <c r="Y315" s="80"/>
      <c r="Z315" s="80"/>
    </row>
    <row r="316" ht="15.75" customHeight="1">
      <c r="A316" s="43"/>
      <c r="B316" s="44"/>
      <c r="C316" s="45"/>
      <c r="D316" s="46" t="s">
        <v>472</v>
      </c>
      <c r="E316" s="46" t="s">
        <v>1101</v>
      </c>
      <c r="F316" s="47" t="s">
        <v>1134</v>
      </c>
      <c r="G316" s="47" t="s">
        <v>852</v>
      </c>
      <c r="H316" s="151" t="s">
        <v>845</v>
      </c>
      <c r="I316" s="151">
        <v>1.0</v>
      </c>
      <c r="J316" s="47" t="s">
        <v>344</v>
      </c>
      <c r="K316" s="50"/>
      <c r="L316" s="50"/>
      <c r="M316" s="48"/>
      <c r="N316" s="43"/>
      <c r="O316" s="43"/>
      <c r="P316" s="43"/>
      <c r="Q316" s="43"/>
      <c r="R316" s="43"/>
      <c r="S316" s="54"/>
      <c r="T316" s="43"/>
      <c r="U316" s="43"/>
      <c r="V316" s="56"/>
      <c r="W316" s="56"/>
      <c r="X316" s="56"/>
      <c r="Y316" s="80"/>
      <c r="Z316" s="80"/>
    </row>
    <row r="317" ht="15.75" customHeight="1">
      <c r="A317" s="43"/>
      <c r="B317" s="44"/>
      <c r="C317" s="45"/>
      <c r="D317" s="46" t="s">
        <v>472</v>
      </c>
      <c r="E317" s="46" t="s">
        <v>1101</v>
      </c>
      <c r="F317" s="47" t="s">
        <v>1135</v>
      </c>
      <c r="G317" s="47" t="s">
        <v>1136</v>
      </c>
      <c r="H317" s="151" t="s">
        <v>845</v>
      </c>
      <c r="I317" s="151">
        <v>1.0</v>
      </c>
      <c r="J317" s="47" t="s">
        <v>334</v>
      </c>
      <c r="K317" s="50"/>
      <c r="L317" s="50"/>
      <c r="M317" s="48"/>
      <c r="N317" s="43"/>
      <c r="O317" s="43"/>
      <c r="P317" s="43"/>
      <c r="Q317" s="43"/>
      <c r="R317" s="43"/>
      <c r="S317" s="54"/>
      <c r="T317" s="43"/>
      <c r="U317" s="43"/>
      <c r="V317" s="56"/>
      <c r="W317" s="56"/>
      <c r="X317" s="56"/>
      <c r="Y317" s="80"/>
      <c r="Z317" s="80"/>
    </row>
    <row r="318" ht="15.75" customHeight="1">
      <c r="A318" s="43"/>
      <c r="B318" s="44"/>
      <c r="C318" s="45"/>
      <c r="D318" s="46" t="s">
        <v>472</v>
      </c>
      <c r="E318" s="46" t="s">
        <v>1101</v>
      </c>
      <c r="F318" s="47" t="s">
        <v>1137</v>
      </c>
      <c r="G318" s="47" t="s">
        <v>1138</v>
      </c>
      <c r="H318" s="151" t="s">
        <v>845</v>
      </c>
      <c r="I318" s="151">
        <v>1.0</v>
      </c>
      <c r="J318" s="47" t="s">
        <v>1139</v>
      </c>
      <c r="K318" s="50"/>
      <c r="L318" s="50"/>
      <c r="M318" s="48"/>
      <c r="N318" s="43"/>
      <c r="O318" s="43"/>
      <c r="P318" s="43"/>
      <c r="Q318" s="43"/>
      <c r="R318" s="43"/>
      <c r="S318" s="54"/>
      <c r="T318" s="43"/>
      <c r="U318" s="43"/>
      <c r="V318" s="56"/>
      <c r="W318" s="56"/>
      <c r="X318" s="56"/>
      <c r="Y318" s="80"/>
      <c r="Z318" s="80"/>
    </row>
    <row r="319" ht="15.75" customHeight="1">
      <c r="A319" s="43"/>
      <c r="B319" s="44"/>
      <c r="C319" s="45"/>
      <c r="D319" s="46" t="s">
        <v>472</v>
      </c>
      <c r="E319" s="46" t="s">
        <v>1101</v>
      </c>
      <c r="F319" s="47" t="s">
        <v>1141</v>
      </c>
      <c r="G319" s="47" t="s">
        <v>1142</v>
      </c>
      <c r="H319" s="151" t="s">
        <v>824</v>
      </c>
      <c r="I319" s="151">
        <v>1.0</v>
      </c>
      <c r="J319" s="47" t="s">
        <v>864</v>
      </c>
      <c r="K319" s="50"/>
      <c r="L319" s="50"/>
      <c r="M319" s="48"/>
      <c r="N319" s="43"/>
      <c r="O319" s="43"/>
      <c r="P319" s="43"/>
      <c r="Q319" s="43"/>
      <c r="R319" s="43"/>
      <c r="S319" s="54"/>
      <c r="T319" s="43"/>
      <c r="U319" s="43"/>
      <c r="V319" s="56"/>
      <c r="W319" s="56"/>
      <c r="X319" s="56"/>
      <c r="Y319" s="80"/>
      <c r="Z319" s="80"/>
    </row>
    <row r="320" ht="15.75" customHeight="1">
      <c r="A320" s="43"/>
      <c r="B320" s="44"/>
      <c r="C320" s="45"/>
      <c r="D320" s="46" t="s">
        <v>472</v>
      </c>
      <c r="E320" s="46" t="s">
        <v>1101</v>
      </c>
      <c r="F320" s="47" t="s">
        <v>1143</v>
      </c>
      <c r="G320" s="47" t="s">
        <v>1144</v>
      </c>
      <c r="H320" s="151" t="s">
        <v>824</v>
      </c>
      <c r="I320" s="151">
        <v>1.0</v>
      </c>
      <c r="J320" s="47" t="s">
        <v>944</v>
      </c>
      <c r="K320" s="50"/>
      <c r="L320" s="50"/>
      <c r="M320" s="48"/>
      <c r="N320" s="43"/>
      <c r="O320" s="43"/>
      <c r="P320" s="43"/>
      <c r="Q320" s="43"/>
      <c r="R320" s="43"/>
      <c r="S320" s="54"/>
      <c r="T320" s="43"/>
      <c r="U320" s="43"/>
      <c r="V320" s="56"/>
      <c r="W320" s="56"/>
      <c r="X320" s="56"/>
      <c r="Y320" s="80"/>
      <c r="Z320" s="80"/>
    </row>
    <row r="321" ht="15.75" customHeight="1">
      <c r="A321" s="43"/>
      <c r="B321" s="44"/>
      <c r="C321" s="45"/>
      <c r="D321" s="46" t="s">
        <v>472</v>
      </c>
      <c r="E321" s="46" t="s">
        <v>1101</v>
      </c>
      <c r="F321" s="47" t="s">
        <v>1145</v>
      </c>
      <c r="G321" s="47" t="s">
        <v>1146</v>
      </c>
      <c r="H321" s="151" t="s">
        <v>885</v>
      </c>
      <c r="I321" s="151">
        <v>2.0</v>
      </c>
      <c r="J321" s="47" t="s">
        <v>803</v>
      </c>
      <c r="K321" s="50"/>
      <c r="L321" s="50"/>
      <c r="M321" s="48"/>
      <c r="N321" s="43"/>
      <c r="O321" s="43"/>
      <c r="P321" s="43"/>
      <c r="Q321" s="43"/>
      <c r="R321" s="43"/>
      <c r="S321" s="54"/>
      <c r="T321" s="43"/>
      <c r="U321" s="43"/>
      <c r="V321" s="56"/>
      <c r="W321" s="56"/>
      <c r="X321" s="56"/>
      <c r="Y321" s="80"/>
      <c r="Z321" s="80"/>
    </row>
    <row r="322" ht="15.75" customHeight="1">
      <c r="A322" s="43"/>
      <c r="B322" s="44"/>
      <c r="C322" s="45"/>
      <c r="D322" s="46" t="s">
        <v>472</v>
      </c>
      <c r="E322" s="46" t="s">
        <v>1101</v>
      </c>
      <c r="F322" s="47" t="s">
        <v>1147</v>
      </c>
      <c r="G322" s="47" t="s">
        <v>801</v>
      </c>
      <c r="H322" s="151" t="s">
        <v>845</v>
      </c>
      <c r="I322" s="151">
        <v>1.0</v>
      </c>
      <c r="J322" s="47" t="s">
        <v>803</v>
      </c>
      <c r="K322" s="50"/>
      <c r="L322" s="50"/>
      <c r="M322" s="48"/>
      <c r="N322" s="43"/>
      <c r="O322" s="43"/>
      <c r="P322" s="43"/>
      <c r="Q322" s="43"/>
      <c r="R322" s="43"/>
      <c r="S322" s="54"/>
      <c r="T322" s="43"/>
      <c r="U322" s="43"/>
      <c r="V322" s="56"/>
      <c r="W322" s="56"/>
      <c r="X322" s="56"/>
      <c r="Y322" s="80"/>
      <c r="Z322" s="80"/>
    </row>
    <row r="323" ht="15.75" customHeight="1">
      <c r="A323" s="43"/>
      <c r="B323" s="44"/>
      <c r="C323" s="45"/>
      <c r="D323" s="46" t="s">
        <v>472</v>
      </c>
      <c r="E323" s="46" t="s">
        <v>1101</v>
      </c>
      <c r="F323" s="47" t="s">
        <v>892</v>
      </c>
      <c r="G323" s="47" t="s">
        <v>1148</v>
      </c>
      <c r="H323" s="151" t="s">
        <v>845</v>
      </c>
      <c r="I323" s="151">
        <v>1.0</v>
      </c>
      <c r="J323" s="47" t="s">
        <v>803</v>
      </c>
      <c r="K323" s="50"/>
      <c r="L323" s="50"/>
      <c r="M323" s="48"/>
      <c r="N323" s="43"/>
      <c r="O323" s="43"/>
      <c r="P323" s="43"/>
      <c r="Q323" s="43"/>
      <c r="R323" s="43"/>
      <c r="S323" s="54"/>
      <c r="T323" s="43"/>
      <c r="U323" s="43"/>
      <c r="V323" s="56"/>
      <c r="W323" s="56"/>
      <c r="X323" s="56"/>
      <c r="Y323" s="80"/>
      <c r="Z323" s="80"/>
    </row>
    <row r="324" ht="15.75" customHeight="1">
      <c r="A324" s="43"/>
      <c r="B324" s="44"/>
      <c r="C324" s="45"/>
      <c r="D324" s="46" t="s">
        <v>472</v>
      </c>
      <c r="E324" s="46" t="s">
        <v>1101</v>
      </c>
      <c r="F324" s="47" t="s">
        <v>1149</v>
      </c>
      <c r="G324" s="47" t="s">
        <v>870</v>
      </c>
      <c r="H324" s="151" t="s">
        <v>802</v>
      </c>
      <c r="I324" s="151">
        <v>1.0</v>
      </c>
      <c r="J324" s="47" t="s">
        <v>1150</v>
      </c>
      <c r="K324" s="50"/>
      <c r="L324" s="50"/>
      <c r="M324" s="48"/>
      <c r="N324" s="43"/>
      <c r="O324" s="43"/>
      <c r="P324" s="43"/>
      <c r="Q324" s="43"/>
      <c r="R324" s="43"/>
      <c r="S324" s="54"/>
      <c r="T324" s="43"/>
      <c r="U324" s="43"/>
      <c r="V324" s="56"/>
      <c r="W324" s="56"/>
      <c r="X324" s="56"/>
      <c r="Y324" s="80"/>
      <c r="Z324" s="80"/>
    </row>
    <row r="325" ht="15.75" customHeight="1">
      <c r="A325" s="43"/>
      <c r="B325" s="44"/>
      <c r="C325" s="45"/>
      <c r="D325" s="46" t="s">
        <v>472</v>
      </c>
      <c r="E325" s="46" t="s">
        <v>1101</v>
      </c>
      <c r="F325" s="47" t="s">
        <v>1151</v>
      </c>
      <c r="G325" s="47" t="s">
        <v>870</v>
      </c>
      <c r="H325" s="151" t="s">
        <v>802</v>
      </c>
      <c r="I325" s="151">
        <v>1.0</v>
      </c>
      <c r="J325" s="47" t="s">
        <v>349</v>
      </c>
      <c r="K325" s="50"/>
      <c r="L325" s="50"/>
      <c r="M325" s="48"/>
      <c r="N325" s="43"/>
      <c r="O325" s="43"/>
      <c r="P325" s="43"/>
      <c r="Q325" s="43"/>
      <c r="R325" s="43"/>
      <c r="S325" s="54"/>
      <c r="T325" s="43"/>
      <c r="U325" s="43"/>
      <c r="V325" s="56"/>
      <c r="W325" s="56"/>
      <c r="X325" s="56"/>
      <c r="Y325" s="80"/>
      <c r="Z325" s="80"/>
    </row>
    <row r="326" ht="15.75" customHeight="1">
      <c r="A326" s="43"/>
      <c r="B326" s="44"/>
      <c r="C326" s="45"/>
      <c r="D326" s="46" t="s">
        <v>472</v>
      </c>
      <c r="E326" s="46" t="s">
        <v>1101</v>
      </c>
      <c r="F326" s="47" t="s">
        <v>1152</v>
      </c>
      <c r="G326" s="47" t="s">
        <v>1153</v>
      </c>
      <c r="H326" s="151" t="s">
        <v>810</v>
      </c>
      <c r="I326" s="151">
        <v>1.0</v>
      </c>
      <c r="J326" s="47" t="s">
        <v>349</v>
      </c>
      <c r="K326" s="50"/>
      <c r="L326" s="50"/>
      <c r="M326" s="48"/>
      <c r="N326" s="43"/>
      <c r="O326" s="43"/>
      <c r="P326" s="43"/>
      <c r="Q326" s="43"/>
      <c r="R326" s="43"/>
      <c r="S326" s="54"/>
      <c r="T326" s="43"/>
      <c r="U326" s="43"/>
      <c r="V326" s="56"/>
      <c r="W326" s="56"/>
      <c r="X326" s="56"/>
      <c r="Y326" s="80"/>
      <c r="Z326" s="80"/>
    </row>
    <row r="327" ht="15.75" customHeight="1">
      <c r="A327" s="57" t="s">
        <v>54</v>
      </c>
      <c r="B327" s="58" t="s">
        <v>17</v>
      </c>
      <c r="C327" s="59" t="s">
        <v>110</v>
      </c>
      <c r="D327" s="60" t="s">
        <v>472</v>
      </c>
      <c r="E327" s="60" t="s">
        <v>1155</v>
      </c>
      <c r="F327" s="152" t="s">
        <v>1156</v>
      </c>
      <c r="G327" s="152" t="s">
        <v>1157</v>
      </c>
      <c r="H327" s="153" t="s">
        <v>793</v>
      </c>
      <c r="I327" s="153">
        <v>6.0</v>
      </c>
      <c r="J327" s="152" t="s">
        <v>322</v>
      </c>
      <c r="K327" s="67"/>
      <c r="L327" s="67"/>
      <c r="M327" s="68"/>
      <c r="N327" s="57"/>
      <c r="O327" s="57"/>
      <c r="P327" s="57"/>
      <c r="Q327" s="57"/>
      <c r="R327" s="57"/>
      <c r="S327" s="69"/>
      <c r="T327" s="57"/>
      <c r="U327" s="57"/>
      <c r="V327" s="70"/>
      <c r="W327" s="70"/>
      <c r="X327" s="70"/>
      <c r="Y327" s="71"/>
      <c r="Z327" s="71"/>
    </row>
    <row r="328" ht="15.75" customHeight="1">
      <c r="A328" s="57"/>
      <c r="B328" s="58"/>
      <c r="C328" s="59"/>
      <c r="D328" s="60" t="s">
        <v>472</v>
      </c>
      <c r="E328" s="60" t="s">
        <v>1155</v>
      </c>
      <c r="F328" s="152" t="s">
        <v>1159</v>
      </c>
      <c r="G328" s="152" t="s">
        <v>1160</v>
      </c>
      <c r="H328" s="156"/>
      <c r="I328" s="156"/>
      <c r="J328" s="152" t="s">
        <v>322</v>
      </c>
      <c r="K328" s="67"/>
      <c r="L328" s="67"/>
      <c r="M328" s="68"/>
      <c r="N328" s="57"/>
      <c r="O328" s="57"/>
      <c r="P328" s="57"/>
      <c r="Q328" s="57"/>
      <c r="R328" s="57"/>
      <c r="S328" s="69"/>
      <c r="T328" s="57"/>
      <c r="U328" s="57"/>
      <c r="V328" s="70"/>
      <c r="W328" s="70"/>
      <c r="X328" s="70"/>
      <c r="Y328" s="71"/>
      <c r="Z328" s="71"/>
    </row>
    <row r="329" ht="15.75" customHeight="1">
      <c r="A329" s="57"/>
      <c r="B329" s="58"/>
      <c r="C329" s="59"/>
      <c r="D329" s="60" t="s">
        <v>472</v>
      </c>
      <c r="E329" s="60" t="s">
        <v>1155</v>
      </c>
      <c r="F329" s="152" t="s">
        <v>1161</v>
      </c>
      <c r="G329" s="152" t="s">
        <v>1162</v>
      </c>
      <c r="H329" s="153" t="s">
        <v>798</v>
      </c>
      <c r="I329" s="153">
        <v>2.0</v>
      </c>
      <c r="J329" s="152" t="s">
        <v>799</v>
      </c>
      <c r="K329" s="67"/>
      <c r="L329" s="67"/>
      <c r="M329" s="68"/>
      <c r="N329" s="57"/>
      <c r="O329" s="57"/>
      <c r="P329" s="57"/>
      <c r="Q329" s="57"/>
      <c r="R329" s="57"/>
      <c r="S329" s="69"/>
      <c r="T329" s="57"/>
      <c r="U329" s="57"/>
      <c r="V329" s="70"/>
      <c r="W329" s="70"/>
      <c r="X329" s="70"/>
      <c r="Y329" s="71"/>
      <c r="Z329" s="71"/>
    </row>
    <row r="330" ht="15.75" customHeight="1">
      <c r="A330" s="57"/>
      <c r="B330" s="58"/>
      <c r="C330" s="59"/>
      <c r="D330" s="60" t="s">
        <v>472</v>
      </c>
      <c r="E330" s="60" t="s">
        <v>1155</v>
      </c>
      <c r="F330" s="152" t="s">
        <v>1147</v>
      </c>
      <c r="G330" s="152" t="s">
        <v>801</v>
      </c>
      <c r="H330" s="153" t="s">
        <v>802</v>
      </c>
      <c r="I330" s="153">
        <v>7.0</v>
      </c>
      <c r="J330" s="152" t="s">
        <v>803</v>
      </c>
      <c r="K330" s="67"/>
      <c r="L330" s="67"/>
      <c r="M330" s="68"/>
      <c r="N330" s="57"/>
      <c r="O330" s="57"/>
      <c r="P330" s="57"/>
      <c r="Q330" s="57"/>
      <c r="R330" s="57"/>
      <c r="S330" s="69"/>
      <c r="T330" s="57"/>
      <c r="U330" s="57"/>
      <c r="V330" s="70"/>
      <c r="W330" s="70"/>
      <c r="X330" s="70"/>
      <c r="Y330" s="71"/>
      <c r="Z330" s="71"/>
    </row>
    <row r="331" ht="15.75" customHeight="1">
      <c r="A331" s="57"/>
      <c r="B331" s="58"/>
      <c r="C331" s="59"/>
      <c r="D331" s="60" t="s">
        <v>472</v>
      </c>
      <c r="E331" s="60" t="s">
        <v>1155</v>
      </c>
      <c r="F331" s="152" t="s">
        <v>1164</v>
      </c>
      <c r="G331" s="152" t="s">
        <v>1148</v>
      </c>
      <c r="H331" s="153" t="s">
        <v>806</v>
      </c>
      <c r="I331" s="153">
        <v>1.0</v>
      </c>
      <c r="J331" s="152" t="s">
        <v>803</v>
      </c>
      <c r="K331" s="67"/>
      <c r="L331" s="67"/>
      <c r="M331" s="68"/>
      <c r="N331" s="57"/>
      <c r="O331" s="57"/>
      <c r="P331" s="57"/>
      <c r="Q331" s="57"/>
      <c r="R331" s="57"/>
      <c r="S331" s="69"/>
      <c r="T331" s="57"/>
      <c r="U331" s="57"/>
      <c r="V331" s="70"/>
      <c r="W331" s="70"/>
      <c r="X331" s="70"/>
      <c r="Y331" s="71"/>
      <c r="Z331" s="71"/>
    </row>
    <row r="332" ht="15.75" customHeight="1">
      <c r="A332" s="57"/>
      <c r="B332" s="58"/>
      <c r="C332" s="59"/>
      <c r="D332" s="60" t="s">
        <v>472</v>
      </c>
      <c r="E332" s="60" t="s">
        <v>1155</v>
      </c>
      <c r="F332" s="152" t="s">
        <v>1166</v>
      </c>
      <c r="G332" s="155" t="s">
        <v>1027</v>
      </c>
      <c r="H332" s="153" t="s">
        <v>973</v>
      </c>
      <c r="I332" s="153">
        <v>1.0</v>
      </c>
      <c r="J332" s="155" t="s">
        <v>1028</v>
      </c>
      <c r="K332" s="67"/>
      <c r="L332" s="67"/>
      <c r="M332" s="68"/>
      <c r="N332" s="57"/>
      <c r="O332" s="57"/>
      <c r="P332" s="57"/>
      <c r="Q332" s="57"/>
      <c r="R332" s="57"/>
      <c r="S332" s="69"/>
      <c r="T332" s="57"/>
      <c r="U332" s="57"/>
      <c r="V332" s="70"/>
      <c r="W332" s="70"/>
      <c r="X332" s="70"/>
      <c r="Y332" s="71"/>
      <c r="Z332" s="71"/>
    </row>
    <row r="333" ht="15.75" customHeight="1">
      <c r="A333" s="57"/>
      <c r="B333" s="58"/>
      <c r="C333" s="59"/>
      <c r="D333" s="60" t="s">
        <v>472</v>
      </c>
      <c r="E333" s="60" t="s">
        <v>1155</v>
      </c>
      <c r="F333" s="152" t="s">
        <v>1167</v>
      </c>
      <c r="G333" s="152" t="s">
        <v>1168</v>
      </c>
      <c r="H333" s="153" t="s">
        <v>802</v>
      </c>
      <c r="I333" s="153">
        <v>1.0</v>
      </c>
      <c r="J333" s="152" t="s">
        <v>151</v>
      </c>
      <c r="K333" s="67"/>
      <c r="L333" s="67"/>
      <c r="M333" s="68"/>
      <c r="N333" s="57"/>
      <c r="O333" s="57"/>
      <c r="P333" s="57"/>
      <c r="Q333" s="57"/>
      <c r="R333" s="57"/>
      <c r="S333" s="69"/>
      <c r="T333" s="57"/>
      <c r="U333" s="57"/>
      <c r="V333" s="70"/>
      <c r="W333" s="70"/>
      <c r="X333" s="70"/>
      <c r="Y333" s="71"/>
      <c r="Z333" s="71"/>
    </row>
    <row r="334" ht="15.75" customHeight="1">
      <c r="A334" s="57"/>
      <c r="B334" s="58"/>
      <c r="C334" s="59"/>
      <c r="D334" s="60" t="s">
        <v>472</v>
      </c>
      <c r="E334" s="60" t="s">
        <v>1155</v>
      </c>
      <c r="F334" s="152" t="s">
        <v>1169</v>
      </c>
      <c r="G334" s="152" t="s">
        <v>1170</v>
      </c>
      <c r="H334" s="153" t="s">
        <v>813</v>
      </c>
      <c r="I334" s="153">
        <v>1.0</v>
      </c>
      <c r="J334" s="152" t="s">
        <v>196</v>
      </c>
      <c r="K334" s="67"/>
      <c r="L334" s="67"/>
      <c r="M334" s="68"/>
      <c r="N334" s="57"/>
      <c r="O334" s="57"/>
      <c r="P334" s="57"/>
      <c r="Q334" s="57"/>
      <c r="R334" s="57"/>
      <c r="S334" s="69"/>
      <c r="T334" s="57"/>
      <c r="U334" s="57"/>
      <c r="V334" s="70"/>
      <c r="W334" s="70"/>
      <c r="X334" s="70"/>
      <c r="Y334" s="71"/>
      <c r="Z334" s="71"/>
    </row>
    <row r="335" ht="15.75" customHeight="1">
      <c r="A335" s="57"/>
      <c r="B335" s="58"/>
      <c r="C335" s="59"/>
      <c r="D335" s="60" t="s">
        <v>472</v>
      </c>
      <c r="E335" s="60" t="s">
        <v>1155</v>
      </c>
      <c r="F335" s="152" t="s">
        <v>1171</v>
      </c>
      <c r="G335" s="152" t="s">
        <v>1172</v>
      </c>
      <c r="H335" s="153" t="s">
        <v>802</v>
      </c>
      <c r="I335" s="153">
        <v>250.0</v>
      </c>
      <c r="J335" s="152" t="s">
        <v>295</v>
      </c>
      <c r="K335" s="67"/>
      <c r="L335" s="67"/>
      <c r="M335" s="68"/>
      <c r="N335" s="57"/>
      <c r="O335" s="57"/>
      <c r="P335" s="57"/>
      <c r="Q335" s="57"/>
      <c r="R335" s="57"/>
      <c r="S335" s="69"/>
      <c r="T335" s="57"/>
      <c r="U335" s="57"/>
      <c r="V335" s="70"/>
      <c r="W335" s="70"/>
      <c r="X335" s="70"/>
      <c r="Y335" s="71"/>
      <c r="Z335" s="71"/>
    </row>
    <row r="336" ht="15.75" customHeight="1">
      <c r="A336" s="57"/>
      <c r="B336" s="58"/>
      <c r="C336" s="59"/>
      <c r="D336" s="60" t="s">
        <v>472</v>
      </c>
      <c r="E336" s="60" t="s">
        <v>1155</v>
      </c>
      <c r="F336" s="152" t="s">
        <v>1174</v>
      </c>
      <c r="G336" s="152" t="s">
        <v>1175</v>
      </c>
      <c r="H336" s="153" t="s">
        <v>824</v>
      </c>
      <c r="I336" s="153">
        <v>1.0</v>
      </c>
      <c r="J336" s="152" t="s">
        <v>850</v>
      </c>
      <c r="K336" s="67"/>
      <c r="L336" s="67"/>
      <c r="M336" s="68"/>
      <c r="N336" s="57"/>
      <c r="O336" s="57"/>
      <c r="P336" s="57"/>
      <c r="Q336" s="57"/>
      <c r="R336" s="57"/>
      <c r="S336" s="69"/>
      <c r="T336" s="57"/>
      <c r="U336" s="57"/>
      <c r="V336" s="70"/>
      <c r="W336" s="70"/>
      <c r="X336" s="70"/>
      <c r="Y336" s="71"/>
      <c r="Z336" s="71"/>
    </row>
    <row r="337" ht="15.75" customHeight="1">
      <c r="A337" s="57"/>
      <c r="B337" s="58"/>
      <c r="C337" s="59"/>
      <c r="D337" s="60" t="s">
        <v>472</v>
      </c>
      <c r="E337" s="60" t="s">
        <v>1155</v>
      </c>
      <c r="F337" s="152" t="s">
        <v>1176</v>
      </c>
      <c r="G337" s="152" t="s">
        <v>1177</v>
      </c>
      <c r="H337" s="153" t="s">
        <v>965</v>
      </c>
      <c r="I337" s="153">
        <v>250.0</v>
      </c>
      <c r="J337" s="152" t="s">
        <v>911</v>
      </c>
      <c r="K337" s="67"/>
      <c r="L337" s="67"/>
      <c r="M337" s="68"/>
      <c r="N337" s="57"/>
      <c r="O337" s="57"/>
      <c r="P337" s="57"/>
      <c r="Q337" s="57"/>
      <c r="R337" s="57"/>
      <c r="S337" s="69"/>
      <c r="T337" s="57"/>
      <c r="U337" s="57"/>
      <c r="V337" s="70"/>
      <c r="W337" s="70"/>
      <c r="X337" s="70"/>
      <c r="Y337" s="71"/>
      <c r="Z337" s="71"/>
    </row>
    <row r="338" ht="15.75" customHeight="1">
      <c r="A338" s="57"/>
      <c r="B338" s="58"/>
      <c r="C338" s="59"/>
      <c r="D338" s="60" t="s">
        <v>472</v>
      </c>
      <c r="E338" s="60" t="s">
        <v>1155</v>
      </c>
      <c r="F338" s="152" t="s">
        <v>1178</v>
      </c>
      <c r="G338" s="152" t="s">
        <v>1179</v>
      </c>
      <c r="H338" s="153" t="s">
        <v>965</v>
      </c>
      <c r="I338" s="153">
        <v>250.0</v>
      </c>
      <c r="J338" s="152" t="s">
        <v>1180</v>
      </c>
      <c r="K338" s="67"/>
      <c r="L338" s="67"/>
      <c r="M338" s="68"/>
      <c r="N338" s="57"/>
      <c r="O338" s="57"/>
      <c r="P338" s="57"/>
      <c r="Q338" s="57"/>
      <c r="R338" s="57"/>
      <c r="S338" s="69"/>
      <c r="T338" s="57"/>
      <c r="U338" s="57"/>
      <c r="V338" s="70"/>
      <c r="W338" s="70"/>
      <c r="X338" s="70"/>
      <c r="Y338" s="71"/>
      <c r="Z338" s="71"/>
    </row>
    <row r="339" ht="15.75" customHeight="1">
      <c r="A339" s="57"/>
      <c r="B339" s="58"/>
      <c r="C339" s="59"/>
      <c r="D339" s="60" t="s">
        <v>472</v>
      </c>
      <c r="E339" s="60" t="s">
        <v>1155</v>
      </c>
      <c r="F339" s="152" t="s">
        <v>1181</v>
      </c>
      <c r="G339" s="152" t="s">
        <v>1182</v>
      </c>
      <c r="H339" s="153" t="s">
        <v>965</v>
      </c>
      <c r="I339" s="153">
        <v>250.0</v>
      </c>
      <c r="J339" s="152" t="s">
        <v>864</v>
      </c>
      <c r="K339" s="67"/>
      <c r="L339" s="67"/>
      <c r="M339" s="68"/>
      <c r="N339" s="57"/>
      <c r="O339" s="57"/>
      <c r="P339" s="57"/>
      <c r="Q339" s="57"/>
      <c r="R339" s="57"/>
      <c r="S339" s="69"/>
      <c r="T339" s="57"/>
      <c r="U339" s="57"/>
      <c r="V339" s="70"/>
      <c r="W339" s="70"/>
      <c r="X339" s="70"/>
      <c r="Y339" s="71"/>
      <c r="Z339" s="71"/>
    </row>
    <row r="340" ht="15.75" customHeight="1">
      <c r="A340" s="57"/>
      <c r="B340" s="58"/>
      <c r="C340" s="59"/>
      <c r="D340" s="60" t="s">
        <v>472</v>
      </c>
      <c r="E340" s="60" t="s">
        <v>1155</v>
      </c>
      <c r="F340" s="152" t="s">
        <v>1184</v>
      </c>
      <c r="G340" s="152" t="s">
        <v>926</v>
      </c>
      <c r="H340" s="153" t="s">
        <v>824</v>
      </c>
      <c r="I340" s="153">
        <v>1.0</v>
      </c>
      <c r="J340" s="152" t="s">
        <v>927</v>
      </c>
      <c r="K340" s="67"/>
      <c r="L340" s="67"/>
      <c r="M340" s="68"/>
      <c r="N340" s="57"/>
      <c r="O340" s="57"/>
      <c r="P340" s="57"/>
      <c r="Q340" s="57"/>
      <c r="R340" s="57"/>
      <c r="S340" s="69"/>
      <c r="T340" s="57"/>
      <c r="U340" s="57"/>
      <c r="V340" s="70"/>
      <c r="W340" s="70"/>
      <c r="X340" s="70"/>
      <c r="Y340" s="71"/>
      <c r="Z340" s="71"/>
    </row>
    <row r="341" ht="15.75" customHeight="1">
      <c r="A341" s="57"/>
      <c r="B341" s="58"/>
      <c r="C341" s="59"/>
      <c r="D341" s="60" t="s">
        <v>472</v>
      </c>
      <c r="E341" s="60" t="s">
        <v>1155</v>
      </c>
      <c r="F341" s="152" t="s">
        <v>1185</v>
      </c>
      <c r="G341" s="152" t="s">
        <v>1186</v>
      </c>
      <c r="H341" s="153" t="s">
        <v>813</v>
      </c>
      <c r="I341" s="153">
        <v>1.0</v>
      </c>
      <c r="J341" s="152" t="s">
        <v>322</v>
      </c>
      <c r="K341" s="67"/>
      <c r="L341" s="67"/>
      <c r="M341" s="68"/>
      <c r="N341" s="57"/>
      <c r="O341" s="57"/>
      <c r="P341" s="57"/>
      <c r="Q341" s="57"/>
      <c r="R341" s="57"/>
      <c r="S341" s="69"/>
      <c r="T341" s="57"/>
      <c r="U341" s="57"/>
      <c r="V341" s="70"/>
      <c r="W341" s="70"/>
      <c r="X341" s="70"/>
      <c r="Y341" s="71"/>
      <c r="Z341" s="71"/>
    </row>
    <row r="342" ht="15.75" customHeight="1">
      <c r="A342" s="57"/>
      <c r="B342" s="58"/>
      <c r="C342" s="59"/>
      <c r="D342" s="60" t="s">
        <v>472</v>
      </c>
      <c r="E342" s="60" t="s">
        <v>1155</v>
      </c>
      <c r="F342" s="152" t="s">
        <v>1188</v>
      </c>
      <c r="G342" s="152" t="s">
        <v>1130</v>
      </c>
      <c r="H342" s="153" t="s">
        <v>845</v>
      </c>
      <c r="I342" s="153">
        <v>1.0</v>
      </c>
      <c r="J342" s="152" t="s">
        <v>151</v>
      </c>
      <c r="K342" s="67"/>
      <c r="L342" s="67"/>
      <c r="M342" s="68"/>
      <c r="N342" s="57"/>
      <c r="O342" s="57"/>
      <c r="P342" s="57"/>
      <c r="Q342" s="57"/>
      <c r="R342" s="57"/>
      <c r="S342" s="69"/>
      <c r="T342" s="57"/>
      <c r="U342" s="57"/>
      <c r="V342" s="70"/>
      <c r="W342" s="70"/>
      <c r="X342" s="70"/>
      <c r="Y342" s="71"/>
      <c r="Z342" s="71"/>
    </row>
    <row r="343" ht="15.75" customHeight="1">
      <c r="A343" s="57"/>
      <c r="B343" s="58"/>
      <c r="C343" s="59"/>
      <c r="D343" s="60" t="s">
        <v>472</v>
      </c>
      <c r="E343" s="60" t="s">
        <v>1155</v>
      </c>
      <c r="F343" s="152" t="s">
        <v>1189</v>
      </c>
      <c r="G343" s="152" t="s">
        <v>1132</v>
      </c>
      <c r="H343" s="153" t="s">
        <v>845</v>
      </c>
      <c r="I343" s="153">
        <v>1.0</v>
      </c>
      <c r="J343" s="152" t="s">
        <v>334</v>
      </c>
      <c r="K343" s="67"/>
      <c r="L343" s="67"/>
      <c r="M343" s="68"/>
      <c r="N343" s="57"/>
      <c r="O343" s="57"/>
      <c r="P343" s="57"/>
      <c r="Q343" s="57"/>
      <c r="R343" s="57"/>
      <c r="S343" s="69"/>
      <c r="T343" s="57"/>
      <c r="U343" s="57"/>
      <c r="V343" s="70"/>
      <c r="W343" s="70"/>
      <c r="X343" s="70"/>
      <c r="Y343" s="71"/>
      <c r="Z343" s="71"/>
    </row>
    <row r="344" ht="15.75" customHeight="1">
      <c r="A344" s="57"/>
      <c r="B344" s="58"/>
      <c r="C344" s="59"/>
      <c r="D344" s="60" t="s">
        <v>472</v>
      </c>
      <c r="E344" s="60" t="s">
        <v>1155</v>
      </c>
      <c r="F344" s="152" t="s">
        <v>1134</v>
      </c>
      <c r="G344" s="152" t="s">
        <v>852</v>
      </c>
      <c r="H344" s="153" t="s">
        <v>845</v>
      </c>
      <c r="I344" s="153">
        <v>1.0</v>
      </c>
      <c r="J344" s="152" t="s">
        <v>344</v>
      </c>
      <c r="K344" s="67"/>
      <c r="L344" s="67"/>
      <c r="M344" s="68"/>
      <c r="N344" s="57"/>
      <c r="O344" s="57"/>
      <c r="P344" s="57"/>
      <c r="Q344" s="57"/>
      <c r="R344" s="57"/>
      <c r="S344" s="69"/>
      <c r="T344" s="57"/>
      <c r="U344" s="57"/>
      <c r="V344" s="70"/>
      <c r="W344" s="70"/>
      <c r="X344" s="70"/>
      <c r="Y344" s="71"/>
      <c r="Z344" s="71"/>
    </row>
    <row r="345" ht="15.75" customHeight="1">
      <c r="A345" s="57"/>
      <c r="B345" s="58"/>
      <c r="C345" s="59"/>
      <c r="D345" s="60" t="s">
        <v>472</v>
      </c>
      <c r="E345" s="60" t="s">
        <v>1155</v>
      </c>
      <c r="F345" s="152" t="s">
        <v>1191</v>
      </c>
      <c r="G345" s="152" t="s">
        <v>1136</v>
      </c>
      <c r="H345" s="153" t="s">
        <v>845</v>
      </c>
      <c r="I345" s="153">
        <v>1.0</v>
      </c>
      <c r="J345" s="152" t="s">
        <v>334</v>
      </c>
      <c r="K345" s="67"/>
      <c r="L345" s="67"/>
      <c r="M345" s="68"/>
      <c r="N345" s="57"/>
      <c r="O345" s="57"/>
      <c r="P345" s="57"/>
      <c r="Q345" s="57"/>
      <c r="R345" s="57"/>
      <c r="S345" s="69"/>
      <c r="T345" s="57"/>
      <c r="U345" s="57"/>
      <c r="V345" s="70"/>
      <c r="W345" s="70"/>
      <c r="X345" s="70"/>
      <c r="Y345" s="71"/>
      <c r="Z345" s="71"/>
    </row>
    <row r="346" ht="15.75" customHeight="1">
      <c r="A346" s="57"/>
      <c r="B346" s="58"/>
      <c r="C346" s="59"/>
      <c r="D346" s="60" t="s">
        <v>472</v>
      </c>
      <c r="E346" s="60" t="s">
        <v>1155</v>
      </c>
      <c r="F346" s="152" t="s">
        <v>1192</v>
      </c>
      <c r="G346" s="152" t="s">
        <v>1193</v>
      </c>
      <c r="H346" s="153" t="s">
        <v>824</v>
      </c>
      <c r="I346" s="153">
        <v>1.0</v>
      </c>
      <c r="J346" s="152" t="s">
        <v>864</v>
      </c>
      <c r="K346" s="67"/>
      <c r="L346" s="67"/>
      <c r="M346" s="68"/>
      <c r="N346" s="57"/>
      <c r="O346" s="57"/>
      <c r="P346" s="57"/>
      <c r="Q346" s="57"/>
      <c r="R346" s="57"/>
      <c r="S346" s="69"/>
      <c r="T346" s="57"/>
      <c r="U346" s="57"/>
      <c r="V346" s="70"/>
      <c r="W346" s="70"/>
      <c r="X346" s="70"/>
      <c r="Y346" s="71"/>
      <c r="Z346" s="71"/>
    </row>
    <row r="347" ht="15.75" customHeight="1">
      <c r="A347" s="57"/>
      <c r="B347" s="58"/>
      <c r="C347" s="59"/>
      <c r="D347" s="60" t="s">
        <v>472</v>
      </c>
      <c r="E347" s="60" t="s">
        <v>1155</v>
      </c>
      <c r="F347" s="152" t="s">
        <v>1195</v>
      </c>
      <c r="G347" s="152" t="s">
        <v>1196</v>
      </c>
      <c r="H347" s="153" t="s">
        <v>824</v>
      </c>
      <c r="I347" s="153">
        <v>1.0</v>
      </c>
      <c r="J347" s="152" t="s">
        <v>864</v>
      </c>
      <c r="K347" s="67"/>
      <c r="L347" s="67"/>
      <c r="M347" s="68"/>
      <c r="N347" s="57"/>
      <c r="O347" s="57"/>
      <c r="P347" s="57"/>
      <c r="Q347" s="57"/>
      <c r="R347" s="57"/>
      <c r="S347" s="69"/>
      <c r="T347" s="57"/>
      <c r="U347" s="57"/>
      <c r="V347" s="70"/>
      <c r="W347" s="70"/>
      <c r="X347" s="70"/>
      <c r="Y347" s="71"/>
      <c r="Z347" s="71"/>
    </row>
    <row r="348" ht="15.75" customHeight="1">
      <c r="A348" s="57"/>
      <c r="B348" s="58"/>
      <c r="C348" s="59"/>
      <c r="D348" s="60" t="s">
        <v>472</v>
      </c>
      <c r="E348" s="60" t="s">
        <v>1155</v>
      </c>
      <c r="F348" s="152" t="s">
        <v>1198</v>
      </c>
      <c r="G348" s="152" t="s">
        <v>1199</v>
      </c>
      <c r="H348" s="153" t="s">
        <v>824</v>
      </c>
      <c r="I348" s="153">
        <v>1.0</v>
      </c>
      <c r="J348" s="152" t="s">
        <v>944</v>
      </c>
      <c r="K348" s="67"/>
      <c r="L348" s="67"/>
      <c r="M348" s="68"/>
      <c r="N348" s="57"/>
      <c r="O348" s="57"/>
      <c r="P348" s="57"/>
      <c r="Q348" s="57"/>
      <c r="R348" s="57"/>
      <c r="S348" s="69"/>
      <c r="T348" s="57"/>
      <c r="U348" s="57"/>
      <c r="V348" s="70"/>
      <c r="W348" s="70"/>
      <c r="X348" s="70"/>
      <c r="Y348" s="71"/>
      <c r="Z348" s="71"/>
    </row>
    <row r="349" ht="15.75" customHeight="1">
      <c r="A349" s="157"/>
      <c r="B349" s="158"/>
      <c r="C349" s="159" t="s">
        <v>110</v>
      </c>
      <c r="D349" s="159" t="s">
        <v>472</v>
      </c>
      <c r="E349" s="159" t="s">
        <v>1200</v>
      </c>
      <c r="F349" s="159" t="s">
        <v>287</v>
      </c>
      <c r="G349" s="159" t="s">
        <v>762</v>
      </c>
      <c r="H349" s="160">
        <v>16.5</v>
      </c>
      <c r="I349" s="160">
        <v>1.0</v>
      </c>
      <c r="J349" s="161" t="s">
        <v>151</v>
      </c>
      <c r="K349" s="162"/>
      <c r="L349" s="162"/>
      <c r="M349" s="157"/>
      <c r="N349" s="157"/>
      <c r="O349" s="157"/>
      <c r="P349" s="157"/>
      <c r="Q349" s="157"/>
      <c r="R349" s="157"/>
      <c r="S349" s="162"/>
      <c r="T349" s="157"/>
      <c r="U349" s="157"/>
      <c r="V349" s="163"/>
      <c r="W349" s="163"/>
      <c r="X349" s="163"/>
      <c r="Y349" s="163"/>
      <c r="Z349" s="163"/>
    </row>
    <row r="350" ht="15.75" customHeight="1">
      <c r="A350" s="157"/>
      <c r="B350" s="158"/>
      <c r="C350" s="164"/>
      <c r="D350" s="159" t="s">
        <v>472</v>
      </c>
      <c r="E350" s="159" t="s">
        <v>1200</v>
      </c>
      <c r="F350" s="159" t="s">
        <v>294</v>
      </c>
      <c r="G350" s="159" t="s">
        <v>613</v>
      </c>
      <c r="H350" s="160">
        <v>5.5</v>
      </c>
      <c r="I350" s="160">
        <v>1.0</v>
      </c>
      <c r="J350" s="161" t="s">
        <v>166</v>
      </c>
      <c r="K350" s="162"/>
      <c r="L350" s="162"/>
      <c r="M350" s="157"/>
      <c r="N350" s="157"/>
      <c r="O350" s="157"/>
      <c r="P350" s="157"/>
      <c r="Q350" s="157"/>
      <c r="R350" s="157"/>
      <c r="S350" s="162"/>
      <c r="T350" s="157"/>
      <c r="U350" s="157"/>
      <c r="V350" s="163"/>
      <c r="W350" s="163"/>
      <c r="X350" s="163"/>
      <c r="Y350" s="163"/>
      <c r="Z350" s="163"/>
    </row>
    <row r="351" ht="15.75" customHeight="1">
      <c r="A351" s="157"/>
      <c r="B351" s="158"/>
      <c r="C351" s="164"/>
      <c r="D351" s="159" t="s">
        <v>472</v>
      </c>
      <c r="E351" s="159" t="s">
        <v>1200</v>
      </c>
      <c r="F351" s="159" t="s">
        <v>98</v>
      </c>
      <c r="G351" s="159" t="s">
        <v>1201</v>
      </c>
      <c r="H351" s="160">
        <v>5.5</v>
      </c>
      <c r="I351" s="160">
        <v>1.0</v>
      </c>
      <c r="J351" s="161" t="s">
        <v>166</v>
      </c>
      <c r="K351" s="162"/>
      <c r="L351" s="162"/>
      <c r="M351" s="157"/>
      <c r="N351" s="157"/>
      <c r="O351" s="157"/>
      <c r="P351" s="157"/>
      <c r="Q351" s="157"/>
      <c r="R351" s="157"/>
      <c r="S351" s="162"/>
      <c r="T351" s="157"/>
      <c r="U351" s="157"/>
      <c r="V351" s="163"/>
      <c r="W351" s="163"/>
      <c r="X351" s="163"/>
      <c r="Y351" s="163"/>
      <c r="Z351" s="163"/>
    </row>
    <row r="352" ht="15.75" customHeight="1">
      <c r="A352" s="157"/>
      <c r="B352" s="158"/>
      <c r="C352" s="164"/>
      <c r="D352" s="159" t="s">
        <v>472</v>
      </c>
      <c r="E352" s="159" t="s">
        <v>1200</v>
      </c>
      <c r="F352" s="159" t="s">
        <v>305</v>
      </c>
      <c r="G352" s="159" t="s">
        <v>1202</v>
      </c>
      <c r="H352" s="160">
        <v>11.0</v>
      </c>
      <c r="I352" s="160">
        <v>1.0</v>
      </c>
      <c r="J352" s="161" t="s">
        <v>151</v>
      </c>
      <c r="K352" s="162"/>
      <c r="L352" s="162"/>
      <c r="M352" s="157"/>
      <c r="N352" s="157"/>
      <c r="O352" s="157"/>
      <c r="P352" s="157"/>
      <c r="Q352" s="157"/>
      <c r="R352" s="157"/>
      <c r="S352" s="162"/>
      <c r="T352" s="157"/>
      <c r="U352" s="157"/>
      <c r="V352" s="163"/>
      <c r="W352" s="163"/>
      <c r="X352" s="163"/>
      <c r="Y352" s="163"/>
      <c r="Z352" s="163"/>
    </row>
    <row r="353" ht="15.75" customHeight="1">
      <c r="A353" s="157"/>
      <c r="B353" s="158"/>
      <c r="C353" s="164"/>
      <c r="D353" s="159" t="s">
        <v>472</v>
      </c>
      <c r="E353" s="159" t="s">
        <v>1200</v>
      </c>
      <c r="F353" s="159" t="s">
        <v>311</v>
      </c>
      <c r="G353" s="159" t="s">
        <v>771</v>
      </c>
      <c r="H353" s="160">
        <v>5.5</v>
      </c>
      <c r="I353" s="160">
        <v>1.0</v>
      </c>
      <c r="J353" s="161" t="s">
        <v>166</v>
      </c>
      <c r="K353" s="162"/>
      <c r="L353" s="162"/>
      <c r="M353" s="157"/>
      <c r="N353" s="157"/>
      <c r="O353" s="157"/>
      <c r="P353" s="157"/>
      <c r="Q353" s="157"/>
      <c r="R353" s="157"/>
      <c r="S353" s="162"/>
      <c r="T353" s="157"/>
      <c r="U353" s="157"/>
      <c r="V353" s="163"/>
      <c r="W353" s="163"/>
      <c r="X353" s="163"/>
      <c r="Y353" s="163"/>
      <c r="Z353" s="163"/>
    </row>
    <row r="354" ht="15.75" customHeight="1">
      <c r="A354" s="157"/>
      <c r="B354" s="158"/>
      <c r="C354" s="164"/>
      <c r="D354" s="159" t="s">
        <v>472</v>
      </c>
      <c r="E354" s="159" t="s">
        <v>1200</v>
      </c>
      <c r="F354" s="159" t="s">
        <v>323</v>
      </c>
      <c r="G354" s="159" t="s">
        <v>1203</v>
      </c>
      <c r="H354" s="160">
        <v>11.0</v>
      </c>
      <c r="I354" s="160">
        <v>1.0</v>
      </c>
      <c r="J354" s="161" t="s">
        <v>196</v>
      </c>
      <c r="K354" s="162"/>
      <c r="L354" s="162"/>
      <c r="M354" s="157"/>
      <c r="N354" s="157"/>
      <c r="O354" s="157"/>
      <c r="P354" s="157"/>
      <c r="Q354" s="157"/>
      <c r="R354" s="157"/>
      <c r="S354" s="162"/>
      <c r="T354" s="157"/>
      <c r="U354" s="157"/>
      <c r="V354" s="163"/>
      <c r="W354" s="163"/>
      <c r="X354" s="163"/>
      <c r="Y354" s="163"/>
      <c r="Z354" s="163"/>
    </row>
    <row r="355" ht="15.75" customHeight="1">
      <c r="A355" s="157"/>
      <c r="B355" s="158"/>
      <c r="C355" s="164"/>
      <c r="D355" s="159" t="s">
        <v>472</v>
      </c>
      <c r="E355" s="159" t="s">
        <v>1200</v>
      </c>
      <c r="F355" s="159" t="s">
        <v>136</v>
      </c>
      <c r="G355" s="159" t="s">
        <v>546</v>
      </c>
      <c r="H355" s="160">
        <v>11.0</v>
      </c>
      <c r="I355" s="160">
        <v>1.0</v>
      </c>
      <c r="J355" s="161" t="s">
        <v>151</v>
      </c>
      <c r="K355" s="162"/>
      <c r="L355" s="162"/>
      <c r="M355" s="157"/>
      <c r="N355" s="157"/>
      <c r="O355" s="157"/>
      <c r="P355" s="157"/>
      <c r="Q355" s="157"/>
      <c r="R355" s="157"/>
      <c r="S355" s="162"/>
      <c r="T355" s="157"/>
      <c r="U355" s="157"/>
      <c r="V355" s="163"/>
      <c r="W355" s="163"/>
      <c r="X355" s="163"/>
      <c r="Y355" s="163"/>
      <c r="Z355" s="163"/>
    </row>
    <row r="356" ht="15.75" customHeight="1">
      <c r="A356" s="157"/>
      <c r="B356" s="158"/>
      <c r="C356" s="164"/>
      <c r="D356" s="159" t="s">
        <v>472</v>
      </c>
      <c r="E356" s="159" t="s">
        <v>1200</v>
      </c>
      <c r="F356" s="159" t="s">
        <v>359</v>
      </c>
      <c r="G356" s="165" t="s">
        <v>1205</v>
      </c>
      <c r="H356" s="160">
        <v>5.5</v>
      </c>
      <c r="I356" s="160">
        <v>1.0</v>
      </c>
      <c r="J356" s="161" t="s">
        <v>151</v>
      </c>
      <c r="K356" s="162"/>
      <c r="L356" s="162"/>
      <c r="M356" s="157"/>
      <c r="N356" s="157"/>
      <c r="O356" s="157"/>
      <c r="P356" s="157"/>
      <c r="Q356" s="157"/>
      <c r="R356" s="157"/>
      <c r="S356" s="162"/>
      <c r="T356" s="157"/>
      <c r="U356" s="157"/>
      <c r="V356" s="163"/>
      <c r="W356" s="163"/>
      <c r="X356" s="163"/>
      <c r="Y356" s="163"/>
      <c r="Z356" s="163"/>
    </row>
    <row r="357" ht="15.75" customHeight="1">
      <c r="A357" s="157"/>
      <c r="B357" s="158"/>
      <c r="C357" s="164"/>
      <c r="D357" s="159" t="s">
        <v>472</v>
      </c>
      <c r="E357" s="159" t="s">
        <v>1200</v>
      </c>
      <c r="F357" s="159" t="s">
        <v>364</v>
      </c>
      <c r="G357" s="159" t="s">
        <v>554</v>
      </c>
      <c r="H357" s="160">
        <v>5.5</v>
      </c>
      <c r="I357" s="160">
        <v>1.0</v>
      </c>
      <c r="J357" s="161" t="s">
        <v>196</v>
      </c>
      <c r="K357" s="162"/>
      <c r="L357" s="162"/>
      <c r="M357" s="157"/>
      <c r="N357" s="157"/>
      <c r="O357" s="157"/>
      <c r="P357" s="157"/>
      <c r="Q357" s="157"/>
      <c r="R357" s="157"/>
      <c r="S357" s="162"/>
      <c r="T357" s="157"/>
      <c r="U357" s="157"/>
      <c r="V357" s="163"/>
      <c r="W357" s="163"/>
      <c r="X357" s="163"/>
      <c r="Y357" s="163"/>
      <c r="Z357" s="163"/>
    </row>
    <row r="358" ht="15.75" customHeight="1">
      <c r="A358" s="157"/>
      <c r="B358" s="158"/>
      <c r="C358" s="164"/>
      <c r="D358" s="159" t="s">
        <v>472</v>
      </c>
      <c r="E358" s="159" t="s">
        <v>1200</v>
      </c>
      <c r="F358" s="159" t="s">
        <v>15</v>
      </c>
      <c r="G358" s="165" t="s">
        <v>1206</v>
      </c>
      <c r="H358" s="160">
        <v>5.5</v>
      </c>
      <c r="I358" s="160">
        <v>1.0</v>
      </c>
      <c r="J358" s="161" t="s">
        <v>166</v>
      </c>
      <c r="K358" s="162"/>
      <c r="L358" s="162"/>
      <c r="M358" s="157"/>
      <c r="N358" s="157"/>
      <c r="O358" s="157"/>
      <c r="P358" s="157"/>
      <c r="Q358" s="157"/>
      <c r="R358" s="157"/>
      <c r="S358" s="162"/>
      <c r="T358" s="157"/>
      <c r="U358" s="157"/>
      <c r="V358" s="163"/>
      <c r="W358" s="163"/>
      <c r="X358" s="163"/>
      <c r="Y358" s="163"/>
      <c r="Z358" s="163"/>
    </row>
    <row r="359" ht="15.75" customHeight="1">
      <c r="A359" s="157"/>
      <c r="B359" s="158"/>
      <c r="C359" s="164"/>
      <c r="D359" s="159" t="s">
        <v>472</v>
      </c>
      <c r="E359" s="159" t="s">
        <v>1200</v>
      </c>
      <c r="F359" s="159" t="s">
        <v>379</v>
      </c>
      <c r="G359" s="159" t="s">
        <v>1207</v>
      </c>
      <c r="H359" s="160">
        <v>5.5</v>
      </c>
      <c r="I359" s="160">
        <v>1.0</v>
      </c>
      <c r="J359" s="161" t="s">
        <v>166</v>
      </c>
      <c r="K359" s="162"/>
      <c r="L359" s="162"/>
      <c r="M359" s="157"/>
      <c r="N359" s="157"/>
      <c r="O359" s="157"/>
      <c r="P359" s="157"/>
      <c r="Q359" s="157"/>
      <c r="R359" s="157"/>
      <c r="S359" s="162"/>
      <c r="T359" s="157"/>
      <c r="U359" s="157"/>
      <c r="V359" s="163"/>
      <c r="W359" s="163"/>
      <c r="X359" s="163"/>
      <c r="Y359" s="163"/>
      <c r="Z359" s="163"/>
    </row>
    <row r="360" ht="15.75" customHeight="1">
      <c r="A360" s="157"/>
      <c r="B360" s="158"/>
      <c r="C360" s="164"/>
      <c r="D360" s="159" t="s">
        <v>472</v>
      </c>
      <c r="E360" s="159" t="s">
        <v>1200</v>
      </c>
      <c r="F360" s="159" t="s">
        <v>385</v>
      </c>
      <c r="G360" s="159" t="s">
        <v>567</v>
      </c>
      <c r="H360" s="160">
        <v>5.5</v>
      </c>
      <c r="I360" s="160">
        <v>1.0</v>
      </c>
      <c r="J360" s="161" t="s">
        <v>166</v>
      </c>
      <c r="K360" s="162"/>
      <c r="L360" s="162"/>
      <c r="M360" s="157"/>
      <c r="N360" s="157"/>
      <c r="O360" s="157"/>
      <c r="P360" s="157"/>
      <c r="Q360" s="157"/>
      <c r="R360" s="157"/>
      <c r="S360" s="162"/>
      <c r="T360" s="157"/>
      <c r="U360" s="157"/>
      <c r="V360" s="163"/>
      <c r="W360" s="163"/>
      <c r="X360" s="163"/>
      <c r="Y360" s="163"/>
      <c r="Z360" s="163"/>
    </row>
    <row r="361" ht="15.75" customHeight="1">
      <c r="A361" s="157"/>
      <c r="B361" s="158"/>
      <c r="C361" s="164"/>
      <c r="D361" s="159" t="s">
        <v>472</v>
      </c>
      <c r="E361" s="159" t="s">
        <v>1200</v>
      </c>
      <c r="F361" s="159" t="s">
        <v>393</v>
      </c>
      <c r="G361" s="159" t="s">
        <v>736</v>
      </c>
      <c r="H361" s="160">
        <v>5.5</v>
      </c>
      <c r="I361" s="160">
        <v>1.0</v>
      </c>
      <c r="J361" s="161" t="s">
        <v>166</v>
      </c>
      <c r="K361" s="162"/>
      <c r="L361" s="162"/>
      <c r="M361" s="157"/>
      <c r="N361" s="157"/>
      <c r="O361" s="157"/>
      <c r="P361" s="157"/>
      <c r="Q361" s="157"/>
      <c r="R361" s="157"/>
      <c r="S361" s="162"/>
      <c r="T361" s="157"/>
      <c r="U361" s="157"/>
      <c r="V361" s="163"/>
      <c r="W361" s="163"/>
      <c r="X361" s="163"/>
      <c r="Y361" s="163"/>
      <c r="Z361" s="163"/>
    </row>
    <row r="362" ht="15.75" customHeight="1">
      <c r="A362" s="157"/>
      <c r="B362" s="158"/>
      <c r="C362" s="164"/>
      <c r="D362" s="159" t="s">
        <v>472</v>
      </c>
      <c r="E362" s="159" t="s">
        <v>1200</v>
      </c>
      <c r="F362" s="159" t="s">
        <v>398</v>
      </c>
      <c r="G362" s="159" t="s">
        <v>1209</v>
      </c>
      <c r="H362" s="160">
        <v>5.5</v>
      </c>
      <c r="I362" s="160">
        <v>1.0</v>
      </c>
      <c r="J362" s="161" t="s">
        <v>166</v>
      </c>
      <c r="K362" s="162"/>
      <c r="L362" s="162"/>
      <c r="M362" s="157"/>
      <c r="N362" s="157"/>
      <c r="O362" s="157"/>
      <c r="P362" s="157"/>
      <c r="Q362" s="157"/>
      <c r="R362" s="157"/>
      <c r="S362" s="162"/>
      <c r="T362" s="157"/>
      <c r="U362" s="157"/>
      <c r="V362" s="163"/>
      <c r="W362" s="163"/>
      <c r="X362" s="163"/>
      <c r="Y362" s="163"/>
      <c r="Z362" s="163"/>
    </row>
    <row r="363" ht="15.75" customHeight="1">
      <c r="A363" s="157"/>
      <c r="B363" s="158"/>
      <c r="C363" s="164"/>
      <c r="D363" s="159" t="s">
        <v>472</v>
      </c>
      <c r="E363" s="159" t="s">
        <v>1200</v>
      </c>
      <c r="F363" s="159" t="s">
        <v>403</v>
      </c>
      <c r="G363" s="159" t="s">
        <v>583</v>
      </c>
      <c r="H363" s="160">
        <v>5.5</v>
      </c>
      <c r="I363" s="160">
        <v>1.0</v>
      </c>
      <c r="J363" s="161" t="s">
        <v>166</v>
      </c>
      <c r="K363" s="162"/>
      <c r="L363" s="162"/>
      <c r="M363" s="157"/>
      <c r="N363" s="157"/>
      <c r="O363" s="157"/>
      <c r="P363" s="157"/>
      <c r="Q363" s="157"/>
      <c r="R363" s="157"/>
      <c r="S363" s="162"/>
      <c r="T363" s="157"/>
      <c r="U363" s="157"/>
      <c r="V363" s="163"/>
      <c r="W363" s="163"/>
      <c r="X363" s="163"/>
      <c r="Y363" s="163"/>
      <c r="Z363" s="163"/>
    </row>
    <row r="364" ht="15.75" customHeight="1">
      <c r="A364" s="157"/>
      <c r="B364" s="158"/>
      <c r="C364" s="164"/>
      <c r="D364" s="159" t="s">
        <v>472</v>
      </c>
      <c r="E364" s="159" t="s">
        <v>1200</v>
      </c>
      <c r="F364" s="159" t="s">
        <v>410</v>
      </c>
      <c r="G364" s="159" t="s">
        <v>1211</v>
      </c>
      <c r="H364" s="160">
        <v>11.0</v>
      </c>
      <c r="I364" s="160">
        <v>1.0</v>
      </c>
      <c r="J364" s="161" t="s">
        <v>166</v>
      </c>
      <c r="K364" s="162"/>
      <c r="L364" s="162"/>
      <c r="M364" s="157"/>
      <c r="N364" s="157"/>
      <c r="O364" s="157"/>
      <c r="P364" s="157"/>
      <c r="Q364" s="157"/>
      <c r="R364" s="157"/>
      <c r="S364" s="162"/>
      <c r="T364" s="157"/>
      <c r="U364" s="157"/>
      <c r="V364" s="163"/>
      <c r="W364" s="163"/>
      <c r="X364" s="163"/>
      <c r="Y364" s="163"/>
      <c r="Z364" s="163"/>
    </row>
    <row r="365" ht="15.75" customHeight="1">
      <c r="A365" s="157"/>
      <c r="B365" s="158"/>
      <c r="C365" s="164"/>
      <c r="D365" s="159" t="s">
        <v>472</v>
      </c>
      <c r="E365" s="159" t="s">
        <v>1200</v>
      </c>
      <c r="F365" s="159" t="s">
        <v>417</v>
      </c>
      <c r="G365" s="165" t="s">
        <v>594</v>
      </c>
      <c r="H365" s="160">
        <v>16.0</v>
      </c>
      <c r="I365" s="160">
        <v>1.0</v>
      </c>
      <c r="J365" s="161" t="s">
        <v>166</v>
      </c>
      <c r="K365" s="162"/>
      <c r="L365" s="162"/>
      <c r="M365" s="157"/>
      <c r="N365" s="157"/>
      <c r="O365" s="157"/>
      <c r="P365" s="157"/>
      <c r="Q365" s="157"/>
      <c r="R365" s="157"/>
      <c r="S365" s="162"/>
      <c r="T365" s="157"/>
      <c r="U365" s="157"/>
      <c r="V365" s="163"/>
      <c r="W365" s="163"/>
      <c r="X365" s="163"/>
      <c r="Y365" s="163"/>
      <c r="Z365" s="163"/>
    </row>
    <row r="366" ht="15.75" customHeight="1">
      <c r="A366" s="157"/>
      <c r="B366" s="158"/>
      <c r="C366" s="164"/>
      <c r="D366" s="159" t="s">
        <v>472</v>
      </c>
      <c r="E366" s="159" t="s">
        <v>1200</v>
      </c>
      <c r="F366" s="159" t="s">
        <v>422</v>
      </c>
      <c r="G366" s="165" t="s">
        <v>1213</v>
      </c>
      <c r="H366" s="160">
        <v>11.0</v>
      </c>
      <c r="I366" s="160">
        <v>1.0</v>
      </c>
      <c r="J366" s="161" t="s">
        <v>166</v>
      </c>
      <c r="K366" s="162"/>
      <c r="L366" s="162"/>
      <c r="M366" s="157"/>
      <c r="N366" s="157"/>
      <c r="O366" s="157"/>
      <c r="P366" s="157"/>
      <c r="Q366" s="157"/>
      <c r="R366" s="157"/>
      <c r="S366" s="162"/>
      <c r="T366" s="157"/>
      <c r="U366" s="157"/>
      <c r="V366" s="163"/>
      <c r="W366" s="163"/>
      <c r="X366" s="163"/>
      <c r="Y366" s="163"/>
      <c r="Z366" s="163"/>
    </row>
    <row r="367" ht="15.75" customHeight="1">
      <c r="A367" s="166"/>
      <c r="B367" s="167"/>
      <c r="C367" s="135" t="s">
        <v>110</v>
      </c>
      <c r="D367" s="168" t="s">
        <v>472</v>
      </c>
      <c r="E367" s="168" t="s">
        <v>1214</v>
      </c>
      <c r="F367" s="168" t="s">
        <v>1215</v>
      </c>
      <c r="G367" s="168" t="s">
        <v>1216</v>
      </c>
      <c r="H367" s="169">
        <v>16.5</v>
      </c>
      <c r="I367" s="169">
        <v>1.0</v>
      </c>
      <c r="J367" s="168" t="s">
        <v>151</v>
      </c>
      <c r="K367" s="170"/>
      <c r="L367" s="170"/>
      <c r="M367" s="166"/>
      <c r="N367" s="166"/>
      <c r="O367" s="166"/>
      <c r="P367" s="166"/>
      <c r="Q367" s="166"/>
      <c r="R367" s="166"/>
      <c r="S367" s="170"/>
      <c r="T367" s="166"/>
      <c r="U367" s="166"/>
      <c r="V367" s="106"/>
      <c r="W367" s="106"/>
      <c r="X367" s="106"/>
      <c r="Y367" s="106"/>
      <c r="Z367" s="106"/>
    </row>
    <row r="368" ht="15.75" customHeight="1">
      <c r="A368" s="166"/>
      <c r="B368" s="167"/>
      <c r="C368" s="171"/>
      <c r="D368" s="168" t="s">
        <v>472</v>
      </c>
      <c r="E368" s="168" t="s">
        <v>1214</v>
      </c>
      <c r="F368" s="168" t="s">
        <v>294</v>
      </c>
      <c r="G368" s="168" t="s">
        <v>1217</v>
      </c>
      <c r="H368" s="169">
        <v>5.5</v>
      </c>
      <c r="I368" s="169">
        <v>1.0</v>
      </c>
      <c r="J368" s="168" t="s">
        <v>322</v>
      </c>
      <c r="K368" s="170"/>
      <c r="L368" s="170"/>
      <c r="M368" s="166"/>
      <c r="N368" s="166"/>
      <c r="O368" s="166"/>
      <c r="P368" s="166"/>
      <c r="Q368" s="166"/>
      <c r="R368" s="166"/>
      <c r="S368" s="170"/>
      <c r="T368" s="166"/>
      <c r="U368" s="166"/>
      <c r="V368" s="106"/>
      <c r="W368" s="106"/>
      <c r="X368" s="106"/>
      <c r="Y368" s="106"/>
      <c r="Z368" s="106"/>
    </row>
    <row r="369" ht="15.75" customHeight="1">
      <c r="A369" s="166"/>
      <c r="B369" s="167"/>
      <c r="C369" s="171"/>
      <c r="D369" s="168" t="s">
        <v>472</v>
      </c>
      <c r="E369" s="168" t="s">
        <v>1214</v>
      </c>
      <c r="F369" s="168" t="s">
        <v>1218</v>
      </c>
      <c r="G369" s="168" t="s">
        <v>1219</v>
      </c>
      <c r="H369" s="169">
        <v>5.5</v>
      </c>
      <c r="I369" s="169">
        <v>1.0</v>
      </c>
      <c r="J369" s="168" t="s">
        <v>322</v>
      </c>
      <c r="K369" s="170"/>
      <c r="L369" s="170"/>
      <c r="M369" s="166"/>
      <c r="N369" s="166"/>
      <c r="O369" s="166"/>
      <c r="P369" s="166"/>
      <c r="Q369" s="166"/>
      <c r="R369" s="166"/>
      <c r="S369" s="170"/>
      <c r="T369" s="166"/>
      <c r="U369" s="166"/>
      <c r="V369" s="106"/>
      <c r="W369" s="106"/>
      <c r="X369" s="106"/>
      <c r="Y369" s="106"/>
      <c r="Z369" s="106"/>
    </row>
    <row r="370" ht="15.75" customHeight="1">
      <c r="A370" s="166"/>
      <c r="B370" s="167"/>
      <c r="C370" s="171"/>
      <c r="D370" s="168" t="s">
        <v>472</v>
      </c>
      <c r="E370" s="168" t="s">
        <v>1214</v>
      </c>
      <c r="F370" s="168" t="s">
        <v>305</v>
      </c>
      <c r="G370" s="168" t="s">
        <v>1220</v>
      </c>
      <c r="H370" s="169">
        <v>5.5</v>
      </c>
      <c r="I370" s="169">
        <v>1.0</v>
      </c>
      <c r="J370" s="168" t="s">
        <v>536</v>
      </c>
      <c r="K370" s="170"/>
      <c r="L370" s="170"/>
      <c r="M370" s="166"/>
      <c r="N370" s="166"/>
      <c r="O370" s="166"/>
      <c r="P370" s="166"/>
      <c r="Q370" s="166"/>
      <c r="R370" s="166"/>
      <c r="S370" s="170"/>
      <c r="T370" s="166"/>
      <c r="U370" s="166"/>
      <c r="V370" s="106"/>
      <c r="W370" s="106"/>
      <c r="X370" s="106"/>
      <c r="Y370" s="106"/>
      <c r="Z370" s="106"/>
    </row>
    <row r="371" ht="15.75" customHeight="1">
      <c r="A371" s="166"/>
      <c r="B371" s="167"/>
      <c r="C371" s="171"/>
      <c r="D371" s="168" t="s">
        <v>472</v>
      </c>
      <c r="E371" s="168" t="s">
        <v>1214</v>
      </c>
      <c r="F371" s="168" t="s">
        <v>311</v>
      </c>
      <c r="G371" s="168" t="s">
        <v>540</v>
      </c>
      <c r="H371" s="169">
        <v>5.5</v>
      </c>
      <c r="I371" s="169">
        <v>1.0</v>
      </c>
      <c r="J371" s="168" t="s">
        <v>322</v>
      </c>
      <c r="K371" s="170"/>
      <c r="L371" s="170"/>
      <c r="M371" s="166"/>
      <c r="N371" s="166"/>
      <c r="O371" s="166"/>
      <c r="P371" s="166"/>
      <c r="Q371" s="166"/>
      <c r="R371" s="166"/>
      <c r="S371" s="170"/>
      <c r="T371" s="166"/>
      <c r="U371" s="166"/>
      <c r="V371" s="106"/>
      <c r="W371" s="106"/>
      <c r="X371" s="106"/>
      <c r="Y371" s="106"/>
      <c r="Z371" s="106"/>
    </row>
    <row r="372" ht="15.75" customHeight="1">
      <c r="A372" s="166"/>
      <c r="B372" s="167"/>
      <c r="C372" s="171"/>
      <c r="D372" s="168" t="s">
        <v>472</v>
      </c>
      <c r="E372" s="168" t="s">
        <v>1214</v>
      </c>
      <c r="F372" s="168" t="s">
        <v>323</v>
      </c>
      <c r="G372" s="168" t="s">
        <v>543</v>
      </c>
      <c r="H372" s="169">
        <v>5.5</v>
      </c>
      <c r="I372" s="169">
        <v>1.0</v>
      </c>
      <c r="J372" s="168" t="s">
        <v>322</v>
      </c>
      <c r="K372" s="170"/>
      <c r="L372" s="170"/>
      <c r="M372" s="166"/>
      <c r="N372" s="166"/>
      <c r="O372" s="166"/>
      <c r="P372" s="166"/>
      <c r="Q372" s="166"/>
      <c r="R372" s="166"/>
      <c r="S372" s="170"/>
      <c r="T372" s="166"/>
      <c r="U372" s="166"/>
      <c r="V372" s="106"/>
      <c r="W372" s="106"/>
      <c r="X372" s="106"/>
      <c r="Y372" s="106"/>
      <c r="Z372" s="106"/>
    </row>
    <row r="373" ht="15.75" customHeight="1">
      <c r="A373" s="166"/>
      <c r="B373" s="167"/>
      <c r="C373" s="171"/>
      <c r="D373" s="168" t="s">
        <v>472</v>
      </c>
      <c r="E373" s="168" t="s">
        <v>1214</v>
      </c>
      <c r="F373" s="168" t="s">
        <v>1222</v>
      </c>
      <c r="G373" s="168" t="s">
        <v>546</v>
      </c>
      <c r="H373" s="169">
        <v>11.0</v>
      </c>
      <c r="I373" s="169">
        <v>1.0</v>
      </c>
      <c r="J373" s="168" t="s">
        <v>151</v>
      </c>
      <c r="K373" s="170"/>
      <c r="L373" s="170"/>
      <c r="M373" s="166"/>
      <c r="N373" s="166"/>
      <c r="O373" s="166"/>
      <c r="P373" s="166"/>
      <c r="Q373" s="166"/>
      <c r="R373" s="166"/>
      <c r="S373" s="170"/>
      <c r="T373" s="166"/>
      <c r="U373" s="166"/>
      <c r="V373" s="106"/>
      <c r="W373" s="106"/>
      <c r="X373" s="106"/>
      <c r="Y373" s="106"/>
      <c r="Z373" s="106"/>
    </row>
    <row r="374" ht="15.75" customHeight="1">
      <c r="A374" s="166"/>
      <c r="B374" s="167"/>
      <c r="C374" s="171"/>
      <c r="D374" s="168" t="s">
        <v>472</v>
      </c>
      <c r="E374" s="168" t="s">
        <v>1214</v>
      </c>
      <c r="F374" s="168" t="s">
        <v>1223</v>
      </c>
      <c r="G374" s="168" t="s">
        <v>1224</v>
      </c>
      <c r="H374" s="169">
        <v>5.5</v>
      </c>
      <c r="I374" s="169">
        <v>1.0</v>
      </c>
      <c r="J374" s="168" t="s">
        <v>536</v>
      </c>
      <c r="K374" s="170"/>
      <c r="L374" s="170"/>
      <c r="M374" s="166"/>
      <c r="N374" s="166"/>
      <c r="O374" s="166"/>
      <c r="P374" s="166"/>
      <c r="Q374" s="166"/>
      <c r="R374" s="166"/>
      <c r="S374" s="170"/>
      <c r="T374" s="166"/>
      <c r="U374" s="166"/>
      <c r="V374" s="106"/>
      <c r="W374" s="106"/>
      <c r="X374" s="106"/>
      <c r="Y374" s="106"/>
      <c r="Z374" s="106"/>
    </row>
    <row r="375" ht="15.75" customHeight="1">
      <c r="A375" s="166"/>
      <c r="B375" s="167"/>
      <c r="C375" s="171"/>
      <c r="D375" s="168" t="s">
        <v>472</v>
      </c>
      <c r="E375" s="168" t="s">
        <v>1214</v>
      </c>
      <c r="F375" s="168" t="s">
        <v>1225</v>
      </c>
      <c r="G375" s="168" t="s">
        <v>1226</v>
      </c>
      <c r="H375" s="169">
        <v>5.5</v>
      </c>
      <c r="I375" s="169">
        <v>1.0</v>
      </c>
      <c r="J375" s="168" t="s">
        <v>322</v>
      </c>
      <c r="K375" s="170"/>
      <c r="L375" s="170"/>
      <c r="M375" s="166"/>
      <c r="N375" s="166"/>
      <c r="O375" s="166"/>
      <c r="P375" s="166"/>
      <c r="Q375" s="166"/>
      <c r="R375" s="166"/>
      <c r="S375" s="170"/>
      <c r="T375" s="166"/>
      <c r="U375" s="166"/>
      <c r="V375" s="106"/>
      <c r="W375" s="106"/>
      <c r="X375" s="106"/>
      <c r="Y375" s="106"/>
      <c r="Z375" s="106"/>
    </row>
    <row r="376" ht="15.75" customHeight="1">
      <c r="A376" s="166"/>
      <c r="B376" s="167"/>
      <c r="C376" s="171"/>
      <c r="D376" s="168" t="s">
        <v>472</v>
      </c>
      <c r="E376" s="168" t="s">
        <v>1214</v>
      </c>
      <c r="F376" s="168" t="s">
        <v>1227</v>
      </c>
      <c r="G376" s="168" t="s">
        <v>1228</v>
      </c>
      <c r="H376" s="169">
        <v>5.5</v>
      </c>
      <c r="I376" s="169">
        <v>1.0</v>
      </c>
      <c r="J376" s="168" t="s">
        <v>322</v>
      </c>
      <c r="K376" s="170"/>
      <c r="L376" s="170"/>
      <c r="M376" s="166"/>
      <c r="N376" s="166"/>
      <c r="O376" s="166"/>
      <c r="P376" s="166"/>
      <c r="Q376" s="166"/>
      <c r="R376" s="166"/>
      <c r="S376" s="170"/>
      <c r="T376" s="166"/>
      <c r="U376" s="166"/>
      <c r="V376" s="106"/>
      <c r="W376" s="106"/>
      <c r="X376" s="106"/>
      <c r="Y376" s="106"/>
      <c r="Z376" s="106"/>
    </row>
    <row r="377" ht="15.75" customHeight="1">
      <c r="A377" s="166"/>
      <c r="B377" s="167"/>
      <c r="C377" s="171"/>
      <c r="D377" s="168" t="s">
        <v>472</v>
      </c>
      <c r="E377" s="168" t="s">
        <v>1214</v>
      </c>
      <c r="F377" s="168" t="s">
        <v>379</v>
      </c>
      <c r="G377" s="168" t="s">
        <v>1230</v>
      </c>
      <c r="H377" s="169">
        <v>5.5</v>
      </c>
      <c r="I377" s="169">
        <v>1.0</v>
      </c>
      <c r="J377" s="168" t="s">
        <v>322</v>
      </c>
      <c r="K377" s="170"/>
      <c r="L377" s="170"/>
      <c r="M377" s="166"/>
      <c r="N377" s="166"/>
      <c r="O377" s="166"/>
      <c r="P377" s="166"/>
      <c r="Q377" s="166"/>
      <c r="R377" s="166"/>
      <c r="S377" s="170"/>
      <c r="T377" s="166"/>
      <c r="U377" s="166"/>
      <c r="V377" s="106"/>
      <c r="W377" s="106"/>
      <c r="X377" s="106"/>
      <c r="Y377" s="106"/>
      <c r="Z377" s="106"/>
    </row>
    <row r="378" ht="15.75" customHeight="1">
      <c r="A378" s="166"/>
      <c r="B378" s="167"/>
      <c r="C378" s="171"/>
      <c r="D378" s="168" t="s">
        <v>472</v>
      </c>
      <c r="E378" s="168" t="s">
        <v>1214</v>
      </c>
      <c r="F378" s="168" t="s">
        <v>1231</v>
      </c>
      <c r="G378" s="168" t="s">
        <v>1232</v>
      </c>
      <c r="H378" s="169">
        <v>5.5</v>
      </c>
      <c r="I378" s="169">
        <v>1.0</v>
      </c>
      <c r="J378" s="168" t="s">
        <v>322</v>
      </c>
      <c r="K378" s="170"/>
      <c r="L378" s="170"/>
      <c r="M378" s="166"/>
      <c r="N378" s="166"/>
      <c r="O378" s="166"/>
      <c r="P378" s="166"/>
      <c r="Q378" s="166"/>
      <c r="R378" s="166"/>
      <c r="S378" s="170"/>
      <c r="T378" s="166"/>
      <c r="U378" s="166"/>
      <c r="V378" s="106"/>
      <c r="W378" s="106"/>
      <c r="X378" s="106"/>
      <c r="Y378" s="106"/>
      <c r="Z378" s="106"/>
    </row>
    <row r="379" ht="15.75" customHeight="1">
      <c r="A379" s="166"/>
      <c r="B379" s="167"/>
      <c r="C379" s="171"/>
      <c r="D379" s="168" t="s">
        <v>472</v>
      </c>
      <c r="E379" s="168" t="s">
        <v>1214</v>
      </c>
      <c r="F379" s="168" t="s">
        <v>393</v>
      </c>
      <c r="G379" s="168" t="s">
        <v>1233</v>
      </c>
      <c r="H379" s="169">
        <v>5.5</v>
      </c>
      <c r="I379" s="169">
        <v>1.0</v>
      </c>
      <c r="J379" s="168" t="s">
        <v>322</v>
      </c>
      <c r="K379" s="170"/>
      <c r="L379" s="170"/>
      <c r="M379" s="166"/>
      <c r="N379" s="166"/>
      <c r="O379" s="166"/>
      <c r="P379" s="166"/>
      <c r="Q379" s="166"/>
      <c r="R379" s="166"/>
      <c r="S379" s="170"/>
      <c r="T379" s="166"/>
      <c r="U379" s="166"/>
      <c r="V379" s="106"/>
      <c r="W379" s="106"/>
      <c r="X379" s="106"/>
      <c r="Y379" s="106"/>
      <c r="Z379" s="106"/>
    </row>
    <row r="380" ht="15.75" customHeight="1">
      <c r="A380" s="166"/>
      <c r="B380" s="167"/>
      <c r="C380" s="171"/>
      <c r="D380" s="168" t="s">
        <v>472</v>
      </c>
      <c r="E380" s="168" t="s">
        <v>1214</v>
      </c>
      <c r="F380" s="168" t="s">
        <v>1234</v>
      </c>
      <c r="G380" s="168" t="s">
        <v>1235</v>
      </c>
      <c r="H380" s="169">
        <v>5.5</v>
      </c>
      <c r="I380" s="169">
        <v>1.0</v>
      </c>
      <c r="J380" s="168" t="s">
        <v>322</v>
      </c>
      <c r="K380" s="170"/>
      <c r="L380" s="170"/>
      <c r="M380" s="166"/>
      <c r="N380" s="166"/>
      <c r="O380" s="166"/>
      <c r="P380" s="166"/>
      <c r="Q380" s="166"/>
      <c r="R380" s="166"/>
      <c r="S380" s="170"/>
      <c r="T380" s="166"/>
      <c r="U380" s="166"/>
      <c r="V380" s="106"/>
      <c r="W380" s="106"/>
      <c r="X380" s="106"/>
      <c r="Y380" s="106"/>
      <c r="Z380" s="106"/>
    </row>
    <row r="381" ht="15.75" customHeight="1">
      <c r="A381" s="166"/>
      <c r="B381" s="167"/>
      <c r="C381" s="171"/>
      <c r="D381" s="168" t="s">
        <v>472</v>
      </c>
      <c r="E381" s="168" t="s">
        <v>1214</v>
      </c>
      <c r="F381" s="168" t="s">
        <v>1237</v>
      </c>
      <c r="G381" s="168" t="s">
        <v>1238</v>
      </c>
      <c r="H381" s="169">
        <v>5.5</v>
      </c>
      <c r="I381" s="169">
        <v>1.0</v>
      </c>
      <c r="J381" s="168" t="s">
        <v>322</v>
      </c>
      <c r="K381" s="170"/>
      <c r="L381" s="170"/>
      <c r="M381" s="166"/>
      <c r="N381" s="166"/>
      <c r="O381" s="166"/>
      <c r="P381" s="166"/>
      <c r="Q381" s="166"/>
      <c r="R381" s="166"/>
      <c r="S381" s="170"/>
      <c r="T381" s="166"/>
      <c r="U381" s="166"/>
      <c r="V381" s="106"/>
      <c r="W381" s="106"/>
      <c r="X381" s="106"/>
      <c r="Y381" s="106"/>
      <c r="Z381" s="106"/>
    </row>
    <row r="382" ht="15.75" customHeight="1">
      <c r="A382" s="42"/>
      <c r="B382" s="172"/>
      <c r="C382" s="173"/>
      <c r="D382" s="174"/>
      <c r="E382" s="174"/>
      <c r="F382" s="42"/>
      <c r="G382" s="42"/>
      <c r="H382" s="173"/>
      <c r="I382" s="173"/>
      <c r="J382" s="42"/>
      <c r="K382" s="175"/>
      <c r="L382" s="175"/>
      <c r="M382" s="42"/>
      <c r="N382" s="42"/>
      <c r="O382" s="42"/>
      <c r="P382" s="42"/>
      <c r="Q382" s="42"/>
      <c r="R382" s="42"/>
      <c r="S382" s="175"/>
      <c r="T382" s="42"/>
      <c r="U382" s="42"/>
    </row>
    <row r="383" ht="15.75" customHeight="1">
      <c r="A383" s="42"/>
      <c r="B383" s="172"/>
      <c r="C383" s="173"/>
      <c r="D383" s="174"/>
      <c r="E383" s="174"/>
      <c r="F383" s="42"/>
      <c r="G383" s="42"/>
      <c r="H383" s="173"/>
      <c r="I383" s="173"/>
      <c r="J383" s="42"/>
      <c r="K383" s="175"/>
      <c r="L383" s="175"/>
      <c r="M383" s="42"/>
      <c r="N383" s="42"/>
      <c r="O383" s="42"/>
      <c r="P383" s="42"/>
      <c r="Q383" s="42"/>
      <c r="R383" s="42"/>
      <c r="S383" s="175"/>
      <c r="T383" s="42"/>
      <c r="U383" s="42"/>
    </row>
    <row r="384" ht="15.75" customHeight="1">
      <c r="A384" s="42"/>
      <c r="B384" s="172"/>
      <c r="C384" s="173"/>
      <c r="D384" s="174"/>
      <c r="E384" s="174"/>
      <c r="F384" s="42"/>
      <c r="G384" s="42"/>
      <c r="H384" s="173"/>
      <c r="I384" s="173"/>
      <c r="J384" s="42"/>
      <c r="K384" s="175"/>
      <c r="L384" s="175"/>
      <c r="M384" s="42"/>
      <c r="N384" s="42"/>
      <c r="O384" s="42"/>
      <c r="P384" s="42"/>
      <c r="Q384" s="42"/>
      <c r="R384" s="42"/>
      <c r="S384" s="175"/>
      <c r="T384" s="42"/>
      <c r="U384" s="42"/>
    </row>
    <row r="385" ht="15.75" customHeight="1">
      <c r="A385" s="42"/>
      <c r="B385" s="172"/>
      <c r="C385" s="173"/>
      <c r="D385" s="174"/>
      <c r="E385" s="174"/>
      <c r="F385" s="42"/>
      <c r="G385" s="42"/>
      <c r="H385" s="173"/>
      <c r="I385" s="173"/>
      <c r="J385" s="42"/>
      <c r="K385" s="175"/>
      <c r="L385" s="175"/>
      <c r="M385" s="42"/>
      <c r="N385" s="42"/>
      <c r="O385" s="42"/>
      <c r="P385" s="42"/>
      <c r="Q385" s="42"/>
      <c r="R385" s="42"/>
      <c r="S385" s="175"/>
      <c r="T385" s="42"/>
      <c r="U385" s="42"/>
    </row>
    <row r="386" ht="15.75" customHeight="1">
      <c r="A386" s="42"/>
      <c r="B386" s="172"/>
      <c r="C386" s="173"/>
      <c r="D386" s="174"/>
      <c r="E386" s="174"/>
      <c r="F386" s="42"/>
      <c r="G386" s="42"/>
      <c r="H386" s="173"/>
      <c r="I386" s="173"/>
      <c r="J386" s="42"/>
      <c r="K386" s="175"/>
      <c r="L386" s="175"/>
      <c r="M386" s="42"/>
      <c r="N386" s="42"/>
      <c r="O386" s="42"/>
      <c r="P386" s="42"/>
      <c r="Q386" s="42"/>
      <c r="R386" s="42"/>
      <c r="S386" s="175"/>
      <c r="T386" s="42"/>
      <c r="U386" s="42"/>
    </row>
    <row r="387" ht="15.75" customHeight="1">
      <c r="A387" s="42"/>
      <c r="B387" s="172"/>
      <c r="C387" s="173"/>
      <c r="D387" s="174"/>
      <c r="E387" s="174"/>
      <c r="F387" s="42"/>
      <c r="G387" s="42"/>
      <c r="H387" s="173"/>
      <c r="I387" s="173"/>
      <c r="J387" s="42"/>
      <c r="K387" s="175"/>
      <c r="L387" s="175"/>
      <c r="M387" s="42"/>
      <c r="N387" s="42"/>
      <c r="O387" s="42"/>
      <c r="P387" s="42"/>
      <c r="Q387" s="42"/>
      <c r="R387" s="42"/>
      <c r="S387" s="175"/>
      <c r="T387" s="42"/>
      <c r="U387" s="42"/>
    </row>
    <row r="388" ht="15.75" customHeight="1">
      <c r="A388" s="42"/>
      <c r="B388" s="172"/>
      <c r="C388" s="173"/>
      <c r="D388" s="174"/>
      <c r="E388" s="174"/>
      <c r="F388" s="42"/>
      <c r="G388" s="42"/>
      <c r="H388" s="173"/>
      <c r="I388" s="173"/>
      <c r="J388" s="42"/>
      <c r="K388" s="175"/>
      <c r="L388" s="175"/>
      <c r="M388" s="42"/>
      <c r="N388" s="42"/>
      <c r="O388" s="42"/>
      <c r="P388" s="42"/>
      <c r="Q388" s="42"/>
      <c r="R388" s="42"/>
      <c r="S388" s="175"/>
      <c r="T388" s="42"/>
      <c r="U388" s="42"/>
    </row>
    <row r="389" ht="15.75" customHeight="1">
      <c r="A389" s="42"/>
      <c r="B389" s="172"/>
      <c r="C389" s="173"/>
      <c r="D389" s="174"/>
      <c r="E389" s="174"/>
      <c r="F389" s="42"/>
      <c r="G389" s="42"/>
      <c r="H389" s="173"/>
      <c r="I389" s="173"/>
      <c r="J389" s="42"/>
      <c r="K389" s="175"/>
      <c r="L389" s="175"/>
      <c r="M389" s="42"/>
      <c r="N389" s="42"/>
      <c r="O389" s="42"/>
      <c r="P389" s="42"/>
      <c r="Q389" s="42"/>
      <c r="R389" s="42"/>
      <c r="S389" s="175"/>
      <c r="T389" s="42"/>
      <c r="U389" s="42"/>
    </row>
    <row r="390" ht="15.75" customHeight="1">
      <c r="A390" s="42"/>
      <c r="B390" s="172"/>
      <c r="C390" s="173"/>
      <c r="D390" s="174"/>
      <c r="E390" s="174"/>
      <c r="F390" s="42"/>
      <c r="G390" s="42"/>
      <c r="H390" s="173"/>
      <c r="I390" s="173"/>
      <c r="J390" s="42"/>
      <c r="K390" s="175"/>
      <c r="L390" s="175"/>
      <c r="M390" s="42"/>
      <c r="N390" s="42"/>
      <c r="O390" s="42"/>
      <c r="P390" s="42"/>
      <c r="Q390" s="42"/>
      <c r="R390" s="42"/>
      <c r="S390" s="175"/>
      <c r="T390" s="42"/>
      <c r="U390" s="42"/>
    </row>
    <row r="391" ht="15.75" customHeight="1">
      <c r="A391" s="42"/>
      <c r="B391" s="172"/>
      <c r="C391" s="173"/>
      <c r="D391" s="174"/>
      <c r="E391" s="174"/>
      <c r="F391" s="42"/>
      <c r="G391" s="42"/>
      <c r="H391" s="173"/>
      <c r="I391" s="173"/>
      <c r="J391" s="42"/>
      <c r="K391" s="175"/>
      <c r="L391" s="175"/>
      <c r="M391" s="42"/>
      <c r="N391" s="42"/>
      <c r="O391" s="42"/>
      <c r="P391" s="42"/>
      <c r="Q391" s="42"/>
      <c r="R391" s="42"/>
      <c r="S391" s="175"/>
      <c r="T391" s="42"/>
      <c r="U391" s="42"/>
    </row>
    <row r="392" ht="15.75" customHeight="1">
      <c r="A392" s="42"/>
      <c r="B392" s="172"/>
      <c r="C392" s="173"/>
      <c r="D392" s="174"/>
      <c r="E392" s="174"/>
      <c r="F392" s="42"/>
      <c r="G392" s="42"/>
      <c r="H392" s="173"/>
      <c r="I392" s="173"/>
      <c r="J392" s="42"/>
      <c r="K392" s="175"/>
      <c r="L392" s="175"/>
      <c r="M392" s="42"/>
      <c r="N392" s="42"/>
      <c r="O392" s="42"/>
      <c r="P392" s="42"/>
      <c r="Q392" s="42"/>
      <c r="R392" s="42"/>
      <c r="S392" s="175"/>
      <c r="T392" s="42"/>
      <c r="U392" s="42"/>
    </row>
    <row r="393" ht="15.75" customHeight="1">
      <c r="A393" s="42"/>
      <c r="B393" s="172"/>
      <c r="C393" s="173"/>
      <c r="D393" s="174"/>
      <c r="E393" s="174"/>
      <c r="F393" s="42"/>
      <c r="G393" s="42"/>
      <c r="H393" s="173"/>
      <c r="I393" s="173"/>
      <c r="J393" s="42"/>
      <c r="K393" s="175"/>
      <c r="L393" s="175"/>
      <c r="M393" s="42"/>
      <c r="N393" s="42"/>
      <c r="O393" s="42"/>
      <c r="P393" s="42"/>
      <c r="Q393" s="42"/>
      <c r="R393" s="42"/>
      <c r="S393" s="175"/>
      <c r="T393" s="42"/>
      <c r="U393" s="42"/>
    </row>
    <row r="394" ht="15.75" customHeight="1">
      <c r="A394" s="42"/>
      <c r="B394" s="172"/>
      <c r="C394" s="173"/>
      <c r="D394" s="174"/>
      <c r="E394" s="174"/>
      <c r="F394" s="42"/>
      <c r="G394" s="42"/>
      <c r="H394" s="173"/>
      <c r="I394" s="173"/>
      <c r="J394" s="42"/>
      <c r="K394" s="175"/>
      <c r="L394" s="175"/>
      <c r="M394" s="42"/>
      <c r="N394" s="42"/>
      <c r="O394" s="42"/>
      <c r="P394" s="42"/>
      <c r="Q394" s="42"/>
      <c r="R394" s="42"/>
      <c r="S394" s="175"/>
      <c r="T394" s="42"/>
      <c r="U394" s="42"/>
    </row>
    <row r="395" ht="15.75" customHeight="1">
      <c r="A395" s="42"/>
      <c r="B395" s="172"/>
      <c r="C395" s="173"/>
      <c r="D395" s="174"/>
      <c r="E395" s="174"/>
      <c r="F395" s="42"/>
      <c r="G395" s="42"/>
      <c r="H395" s="173"/>
      <c r="I395" s="173"/>
      <c r="J395" s="42"/>
      <c r="K395" s="175"/>
      <c r="L395" s="175"/>
      <c r="M395" s="42"/>
      <c r="N395" s="42"/>
      <c r="O395" s="42"/>
      <c r="P395" s="42"/>
      <c r="Q395" s="42"/>
      <c r="R395" s="42"/>
      <c r="S395" s="175"/>
      <c r="T395" s="42"/>
      <c r="U395" s="42"/>
    </row>
    <row r="396" ht="15.75" customHeight="1">
      <c r="A396" s="42"/>
      <c r="B396" s="172"/>
      <c r="C396" s="173"/>
      <c r="D396" s="174"/>
      <c r="E396" s="174"/>
      <c r="F396" s="42"/>
      <c r="G396" s="42"/>
      <c r="H396" s="173"/>
      <c r="I396" s="173"/>
      <c r="J396" s="42"/>
      <c r="K396" s="175"/>
      <c r="L396" s="175"/>
      <c r="M396" s="42"/>
      <c r="N396" s="42"/>
      <c r="O396" s="42"/>
      <c r="P396" s="42"/>
      <c r="Q396" s="42"/>
      <c r="R396" s="42"/>
      <c r="S396" s="175"/>
      <c r="T396" s="42"/>
      <c r="U396" s="42"/>
    </row>
    <row r="397" ht="15.75" customHeight="1">
      <c r="A397" s="42"/>
      <c r="B397" s="172"/>
      <c r="C397" s="173"/>
      <c r="D397" s="174"/>
      <c r="E397" s="174"/>
      <c r="F397" s="42"/>
      <c r="G397" s="42"/>
      <c r="H397" s="173"/>
      <c r="I397" s="173"/>
      <c r="J397" s="42"/>
      <c r="K397" s="175"/>
      <c r="L397" s="175"/>
      <c r="M397" s="42"/>
      <c r="N397" s="42"/>
      <c r="O397" s="42"/>
      <c r="P397" s="42"/>
      <c r="Q397" s="42"/>
      <c r="R397" s="42"/>
      <c r="S397" s="175"/>
      <c r="T397" s="42"/>
      <c r="U397" s="42"/>
    </row>
    <row r="398" ht="15.75" customHeight="1">
      <c r="A398" s="42"/>
      <c r="B398" s="172"/>
      <c r="C398" s="173"/>
      <c r="D398" s="174"/>
      <c r="E398" s="174"/>
      <c r="F398" s="42"/>
      <c r="G398" s="42"/>
      <c r="H398" s="173"/>
      <c r="I398" s="173"/>
      <c r="J398" s="42"/>
      <c r="K398" s="175"/>
      <c r="L398" s="175"/>
      <c r="M398" s="42"/>
      <c r="N398" s="42"/>
      <c r="O398" s="42"/>
      <c r="P398" s="42"/>
      <c r="Q398" s="42"/>
      <c r="R398" s="42"/>
      <c r="S398" s="175"/>
      <c r="T398" s="42"/>
      <c r="U398" s="42"/>
    </row>
    <row r="399" ht="15.75" customHeight="1">
      <c r="A399" s="42"/>
      <c r="B399" s="172"/>
      <c r="C399" s="173"/>
      <c r="D399" s="174"/>
      <c r="E399" s="174"/>
      <c r="F399" s="42"/>
      <c r="G399" s="42"/>
      <c r="H399" s="173"/>
      <c r="I399" s="173"/>
      <c r="J399" s="42"/>
      <c r="K399" s="175"/>
      <c r="L399" s="175"/>
      <c r="M399" s="42"/>
      <c r="N399" s="42"/>
      <c r="O399" s="42"/>
      <c r="P399" s="42"/>
      <c r="Q399" s="42"/>
      <c r="R399" s="42"/>
      <c r="S399" s="175"/>
      <c r="T399" s="42"/>
      <c r="U399" s="42"/>
    </row>
    <row r="400" ht="15.75" customHeight="1">
      <c r="A400" s="42"/>
      <c r="B400" s="172"/>
      <c r="C400" s="173"/>
      <c r="D400" s="174"/>
      <c r="E400" s="174"/>
      <c r="F400" s="42"/>
      <c r="G400" s="42"/>
      <c r="H400" s="173"/>
      <c r="I400" s="173"/>
      <c r="J400" s="42"/>
      <c r="K400" s="175"/>
      <c r="L400" s="175"/>
      <c r="M400" s="42"/>
      <c r="N400" s="42"/>
      <c r="O400" s="42"/>
      <c r="P400" s="42"/>
      <c r="Q400" s="42"/>
      <c r="R400" s="42"/>
      <c r="S400" s="175"/>
      <c r="T400" s="42"/>
      <c r="U400" s="42"/>
    </row>
    <row r="401" ht="15.75" customHeight="1">
      <c r="A401" s="42"/>
      <c r="B401" s="172"/>
      <c r="C401" s="173"/>
      <c r="D401" s="174"/>
      <c r="E401" s="174"/>
      <c r="F401" s="42"/>
      <c r="G401" s="42"/>
      <c r="H401" s="173"/>
      <c r="I401" s="173"/>
      <c r="J401" s="42"/>
      <c r="K401" s="175"/>
      <c r="L401" s="175"/>
      <c r="M401" s="42"/>
      <c r="N401" s="42"/>
      <c r="O401" s="42"/>
      <c r="P401" s="42"/>
      <c r="Q401" s="42"/>
      <c r="R401" s="42"/>
      <c r="S401" s="175"/>
      <c r="T401" s="42"/>
      <c r="U401" s="42"/>
    </row>
    <row r="402" ht="15.75" customHeight="1">
      <c r="A402" s="42"/>
      <c r="B402" s="172"/>
      <c r="C402" s="173"/>
      <c r="D402" s="174"/>
      <c r="E402" s="174"/>
      <c r="F402" s="42"/>
      <c r="G402" s="42"/>
      <c r="H402" s="173"/>
      <c r="I402" s="173"/>
      <c r="J402" s="42"/>
      <c r="K402" s="175"/>
      <c r="L402" s="175"/>
      <c r="M402" s="42"/>
      <c r="N402" s="42"/>
      <c r="O402" s="42"/>
      <c r="P402" s="42"/>
      <c r="Q402" s="42"/>
      <c r="R402" s="42"/>
      <c r="S402" s="175"/>
      <c r="T402" s="42"/>
      <c r="U402" s="42"/>
    </row>
    <row r="403" ht="15.75" customHeight="1">
      <c r="A403" s="42"/>
      <c r="B403" s="172"/>
      <c r="C403" s="173"/>
      <c r="D403" s="174"/>
      <c r="E403" s="174"/>
      <c r="F403" s="42"/>
      <c r="G403" s="42"/>
      <c r="H403" s="173"/>
      <c r="I403" s="173"/>
      <c r="J403" s="42"/>
      <c r="K403" s="175"/>
      <c r="L403" s="175"/>
      <c r="M403" s="42"/>
      <c r="N403" s="42"/>
      <c r="O403" s="42"/>
      <c r="P403" s="42"/>
      <c r="Q403" s="42"/>
      <c r="R403" s="42"/>
      <c r="S403" s="175"/>
      <c r="T403" s="42"/>
      <c r="U403" s="42"/>
    </row>
    <row r="404" ht="15.75" customHeight="1">
      <c r="A404" s="42"/>
      <c r="B404" s="172"/>
      <c r="C404" s="173"/>
      <c r="D404" s="174"/>
      <c r="E404" s="174"/>
      <c r="F404" s="42"/>
      <c r="G404" s="42"/>
      <c r="H404" s="173"/>
      <c r="I404" s="173"/>
      <c r="J404" s="42"/>
      <c r="K404" s="175"/>
      <c r="L404" s="175"/>
      <c r="M404" s="42"/>
      <c r="N404" s="42"/>
      <c r="O404" s="42"/>
      <c r="P404" s="42"/>
      <c r="Q404" s="42"/>
      <c r="R404" s="42"/>
      <c r="S404" s="175"/>
      <c r="T404" s="42"/>
      <c r="U404" s="42"/>
    </row>
    <row r="405" ht="15.75" customHeight="1">
      <c r="A405" s="42"/>
      <c r="B405" s="172"/>
      <c r="C405" s="173"/>
      <c r="D405" s="174"/>
      <c r="E405" s="174"/>
      <c r="F405" s="42"/>
      <c r="G405" s="42"/>
      <c r="H405" s="173"/>
      <c r="I405" s="173"/>
      <c r="J405" s="42"/>
      <c r="K405" s="175"/>
      <c r="L405" s="175"/>
      <c r="M405" s="42"/>
      <c r="N405" s="42"/>
      <c r="O405" s="42"/>
      <c r="P405" s="42"/>
      <c r="Q405" s="42"/>
      <c r="R405" s="42"/>
      <c r="S405" s="175"/>
      <c r="T405" s="42"/>
      <c r="U405" s="42"/>
    </row>
    <row r="406" ht="15.75" customHeight="1">
      <c r="A406" s="42"/>
      <c r="B406" s="172"/>
      <c r="C406" s="173"/>
      <c r="D406" s="174"/>
      <c r="E406" s="174"/>
      <c r="F406" s="42"/>
      <c r="G406" s="42"/>
      <c r="H406" s="173"/>
      <c r="I406" s="173"/>
      <c r="J406" s="42"/>
      <c r="K406" s="175"/>
      <c r="L406" s="175"/>
      <c r="M406" s="42"/>
      <c r="N406" s="42"/>
      <c r="O406" s="42"/>
      <c r="P406" s="42"/>
      <c r="Q406" s="42"/>
      <c r="R406" s="42"/>
      <c r="S406" s="175"/>
      <c r="T406" s="42"/>
      <c r="U406" s="42"/>
    </row>
    <row r="407" ht="15.75" customHeight="1">
      <c r="A407" s="42"/>
      <c r="B407" s="172"/>
      <c r="C407" s="173"/>
      <c r="D407" s="174"/>
      <c r="E407" s="174"/>
      <c r="F407" s="42"/>
      <c r="G407" s="42"/>
      <c r="H407" s="173"/>
      <c r="I407" s="173"/>
      <c r="J407" s="42"/>
      <c r="K407" s="175"/>
      <c r="L407" s="175"/>
      <c r="M407" s="42"/>
      <c r="N407" s="42"/>
      <c r="O407" s="42"/>
      <c r="P407" s="42"/>
      <c r="Q407" s="42"/>
      <c r="R407" s="42"/>
      <c r="S407" s="175"/>
      <c r="T407" s="42"/>
      <c r="U407" s="42"/>
    </row>
    <row r="408" ht="15.75" customHeight="1">
      <c r="A408" s="42"/>
      <c r="B408" s="172"/>
      <c r="C408" s="173"/>
      <c r="D408" s="174"/>
      <c r="E408" s="174"/>
      <c r="F408" s="42"/>
      <c r="G408" s="42"/>
      <c r="H408" s="173"/>
      <c r="I408" s="173"/>
      <c r="J408" s="42"/>
      <c r="K408" s="175"/>
      <c r="L408" s="175"/>
      <c r="M408" s="42"/>
      <c r="N408" s="42"/>
      <c r="O408" s="42"/>
      <c r="P408" s="42"/>
      <c r="Q408" s="42"/>
      <c r="R408" s="42"/>
      <c r="S408" s="175"/>
      <c r="T408" s="42"/>
      <c r="U408" s="42"/>
    </row>
    <row r="409" ht="15.75" customHeight="1">
      <c r="A409" s="42"/>
      <c r="B409" s="172"/>
      <c r="C409" s="173"/>
      <c r="D409" s="174"/>
      <c r="E409" s="174"/>
      <c r="F409" s="42"/>
      <c r="G409" s="42"/>
      <c r="H409" s="173"/>
      <c r="I409" s="173"/>
      <c r="J409" s="42"/>
      <c r="K409" s="175"/>
      <c r="L409" s="175"/>
      <c r="M409" s="42"/>
      <c r="N409" s="42"/>
      <c r="O409" s="42"/>
      <c r="P409" s="42"/>
      <c r="Q409" s="42"/>
      <c r="R409" s="42"/>
      <c r="S409" s="175"/>
      <c r="T409" s="42"/>
      <c r="U409" s="42"/>
    </row>
    <row r="410" ht="15.75" customHeight="1">
      <c r="A410" s="42"/>
      <c r="B410" s="172"/>
      <c r="C410" s="173"/>
      <c r="D410" s="174"/>
      <c r="E410" s="174"/>
      <c r="F410" s="42"/>
      <c r="G410" s="42"/>
      <c r="H410" s="173"/>
      <c r="I410" s="173"/>
      <c r="J410" s="42"/>
      <c r="K410" s="175"/>
      <c r="L410" s="175"/>
      <c r="M410" s="42"/>
      <c r="N410" s="42"/>
      <c r="O410" s="42"/>
      <c r="P410" s="42"/>
      <c r="Q410" s="42"/>
      <c r="R410" s="42"/>
      <c r="S410" s="175"/>
      <c r="T410" s="42"/>
      <c r="U410" s="42"/>
    </row>
    <row r="411" ht="15.75" customHeight="1">
      <c r="A411" s="42"/>
      <c r="B411" s="172"/>
      <c r="C411" s="173"/>
      <c r="D411" s="174"/>
      <c r="E411" s="174"/>
      <c r="F411" s="42"/>
      <c r="G411" s="42"/>
      <c r="H411" s="173"/>
      <c r="I411" s="173"/>
      <c r="J411" s="42"/>
      <c r="K411" s="175"/>
      <c r="L411" s="175"/>
      <c r="M411" s="42"/>
      <c r="N411" s="42"/>
      <c r="O411" s="42"/>
      <c r="P411" s="42"/>
      <c r="Q411" s="42"/>
      <c r="R411" s="42"/>
      <c r="S411" s="175"/>
      <c r="T411" s="42"/>
      <c r="U411" s="42"/>
    </row>
    <row r="412" ht="15.75" customHeight="1">
      <c r="A412" s="42"/>
      <c r="B412" s="172"/>
      <c r="C412" s="173"/>
      <c r="D412" s="174"/>
      <c r="E412" s="174"/>
      <c r="F412" s="42"/>
      <c r="G412" s="42"/>
      <c r="H412" s="173"/>
      <c r="I412" s="173"/>
      <c r="J412" s="42"/>
      <c r="K412" s="175"/>
      <c r="L412" s="175"/>
      <c r="M412" s="42"/>
      <c r="N412" s="42"/>
      <c r="O412" s="42"/>
      <c r="P412" s="42"/>
      <c r="Q412" s="42"/>
      <c r="R412" s="42"/>
      <c r="S412" s="175"/>
      <c r="T412" s="42"/>
      <c r="U412" s="42"/>
    </row>
    <row r="413" ht="15.75" customHeight="1">
      <c r="A413" s="42"/>
      <c r="B413" s="172"/>
      <c r="C413" s="173"/>
      <c r="D413" s="174"/>
      <c r="E413" s="174"/>
      <c r="F413" s="42"/>
      <c r="G413" s="42"/>
      <c r="H413" s="173"/>
      <c r="I413" s="173"/>
      <c r="J413" s="42"/>
      <c r="K413" s="175"/>
      <c r="L413" s="175"/>
      <c r="M413" s="42"/>
      <c r="N413" s="42"/>
      <c r="O413" s="42"/>
      <c r="P413" s="42"/>
      <c r="Q413" s="42"/>
      <c r="R413" s="42"/>
      <c r="S413" s="175"/>
      <c r="T413" s="42"/>
      <c r="U413" s="42"/>
    </row>
    <row r="414" ht="15.75" customHeight="1">
      <c r="A414" s="42"/>
      <c r="B414" s="172"/>
      <c r="C414" s="173"/>
      <c r="D414" s="174"/>
      <c r="E414" s="174"/>
      <c r="F414" s="42"/>
      <c r="G414" s="42"/>
      <c r="H414" s="173"/>
      <c r="I414" s="173"/>
      <c r="J414" s="42"/>
      <c r="K414" s="175"/>
      <c r="L414" s="175"/>
      <c r="M414" s="42"/>
      <c r="N414" s="42"/>
      <c r="O414" s="42"/>
      <c r="P414" s="42"/>
      <c r="Q414" s="42"/>
      <c r="R414" s="42"/>
      <c r="S414" s="175"/>
      <c r="T414" s="42"/>
      <c r="U414" s="42"/>
    </row>
    <row r="415" ht="15.75" customHeight="1">
      <c r="A415" s="42"/>
      <c r="B415" s="172"/>
      <c r="C415" s="173"/>
      <c r="D415" s="174"/>
      <c r="E415" s="174"/>
      <c r="F415" s="42"/>
      <c r="G415" s="42"/>
      <c r="H415" s="173"/>
      <c r="I415" s="173"/>
      <c r="J415" s="42"/>
      <c r="K415" s="175"/>
      <c r="L415" s="175"/>
      <c r="M415" s="42"/>
      <c r="N415" s="42"/>
      <c r="O415" s="42"/>
      <c r="P415" s="42"/>
      <c r="Q415" s="42"/>
      <c r="R415" s="42"/>
      <c r="S415" s="175"/>
      <c r="T415" s="42"/>
      <c r="U415" s="42"/>
    </row>
    <row r="416" ht="15.75" customHeight="1">
      <c r="A416" s="42"/>
      <c r="B416" s="172"/>
      <c r="C416" s="173"/>
      <c r="D416" s="174"/>
      <c r="E416" s="174"/>
      <c r="F416" s="42"/>
      <c r="G416" s="42"/>
      <c r="H416" s="173"/>
      <c r="I416" s="173"/>
      <c r="J416" s="42"/>
      <c r="K416" s="175"/>
      <c r="L416" s="175"/>
      <c r="M416" s="42"/>
      <c r="N416" s="42"/>
      <c r="O416" s="42"/>
      <c r="P416" s="42"/>
      <c r="Q416" s="42"/>
      <c r="R416" s="42"/>
      <c r="S416" s="175"/>
      <c r="T416" s="42"/>
      <c r="U416" s="42"/>
    </row>
    <row r="417" ht="15.75" customHeight="1">
      <c r="A417" s="42"/>
      <c r="B417" s="172"/>
      <c r="C417" s="173"/>
      <c r="D417" s="174"/>
      <c r="E417" s="174"/>
      <c r="F417" s="42"/>
      <c r="G417" s="42"/>
      <c r="H417" s="173"/>
      <c r="I417" s="173"/>
      <c r="J417" s="42"/>
      <c r="K417" s="175"/>
      <c r="L417" s="175"/>
      <c r="M417" s="42"/>
      <c r="N417" s="42"/>
      <c r="O417" s="42"/>
      <c r="P417" s="42"/>
      <c r="Q417" s="42"/>
      <c r="R417" s="42"/>
      <c r="S417" s="175"/>
      <c r="T417" s="42"/>
      <c r="U417" s="42"/>
    </row>
    <row r="418" ht="15.75" customHeight="1">
      <c r="A418" s="42"/>
      <c r="B418" s="172"/>
      <c r="C418" s="173"/>
      <c r="D418" s="174"/>
      <c r="E418" s="174"/>
      <c r="F418" s="42"/>
      <c r="G418" s="42"/>
      <c r="H418" s="173"/>
      <c r="I418" s="173"/>
      <c r="J418" s="42"/>
      <c r="K418" s="175"/>
      <c r="L418" s="175"/>
      <c r="M418" s="42"/>
      <c r="N418" s="42"/>
      <c r="O418" s="42"/>
      <c r="P418" s="42"/>
      <c r="Q418" s="42"/>
      <c r="R418" s="42"/>
      <c r="S418" s="175"/>
      <c r="T418" s="42"/>
      <c r="U418" s="42"/>
    </row>
    <row r="419" ht="15.75" customHeight="1">
      <c r="A419" s="42"/>
      <c r="B419" s="172"/>
      <c r="C419" s="173"/>
      <c r="D419" s="174"/>
      <c r="E419" s="174"/>
      <c r="F419" s="42"/>
      <c r="G419" s="42"/>
      <c r="H419" s="173"/>
      <c r="I419" s="173"/>
      <c r="J419" s="42"/>
      <c r="K419" s="175"/>
      <c r="L419" s="175"/>
      <c r="M419" s="42"/>
      <c r="N419" s="42"/>
      <c r="O419" s="42"/>
      <c r="P419" s="42"/>
      <c r="Q419" s="42"/>
      <c r="R419" s="42"/>
      <c r="S419" s="175"/>
      <c r="T419" s="42"/>
      <c r="U419" s="42"/>
    </row>
    <row r="420" ht="15.75" customHeight="1">
      <c r="A420" s="42"/>
      <c r="B420" s="172"/>
      <c r="C420" s="173"/>
      <c r="D420" s="174"/>
      <c r="E420" s="174"/>
      <c r="F420" s="42"/>
      <c r="G420" s="42"/>
      <c r="H420" s="173"/>
      <c r="I420" s="173"/>
      <c r="J420" s="42"/>
      <c r="K420" s="175"/>
      <c r="L420" s="175"/>
      <c r="M420" s="42"/>
      <c r="N420" s="42"/>
      <c r="O420" s="42"/>
      <c r="P420" s="42"/>
      <c r="Q420" s="42"/>
      <c r="R420" s="42"/>
      <c r="S420" s="175"/>
      <c r="T420" s="42"/>
      <c r="U420" s="42"/>
    </row>
    <row r="421" ht="15.75" customHeight="1">
      <c r="A421" s="42"/>
      <c r="B421" s="172"/>
      <c r="C421" s="173"/>
      <c r="D421" s="174"/>
      <c r="E421" s="174"/>
      <c r="F421" s="42"/>
      <c r="G421" s="42"/>
      <c r="H421" s="173"/>
      <c r="I421" s="173"/>
      <c r="J421" s="42"/>
      <c r="K421" s="175"/>
      <c r="L421" s="175"/>
      <c r="M421" s="42"/>
      <c r="N421" s="42"/>
      <c r="O421" s="42"/>
      <c r="P421" s="42"/>
      <c r="Q421" s="42"/>
      <c r="R421" s="42"/>
      <c r="S421" s="175"/>
      <c r="T421" s="42"/>
      <c r="U421" s="42"/>
    </row>
    <row r="422" ht="15.75" customHeight="1">
      <c r="A422" s="42"/>
      <c r="B422" s="172"/>
      <c r="C422" s="173"/>
      <c r="D422" s="174"/>
      <c r="E422" s="174"/>
      <c r="F422" s="42"/>
      <c r="G422" s="42"/>
      <c r="H422" s="173"/>
      <c r="I422" s="173"/>
      <c r="J422" s="42"/>
      <c r="K422" s="175"/>
      <c r="L422" s="175"/>
      <c r="M422" s="42"/>
      <c r="N422" s="42"/>
      <c r="O422" s="42"/>
      <c r="P422" s="42"/>
      <c r="Q422" s="42"/>
      <c r="R422" s="42"/>
      <c r="S422" s="175"/>
      <c r="T422" s="42"/>
      <c r="U422" s="42"/>
    </row>
    <row r="423" ht="15.75" customHeight="1">
      <c r="A423" s="42"/>
      <c r="B423" s="172"/>
      <c r="C423" s="173"/>
      <c r="D423" s="174"/>
      <c r="E423" s="174"/>
      <c r="F423" s="42"/>
      <c r="G423" s="42"/>
      <c r="H423" s="173"/>
      <c r="I423" s="173"/>
      <c r="J423" s="42"/>
      <c r="K423" s="175"/>
      <c r="L423" s="175"/>
      <c r="M423" s="42"/>
      <c r="N423" s="42"/>
      <c r="O423" s="42"/>
      <c r="P423" s="42"/>
      <c r="Q423" s="42"/>
      <c r="R423" s="42"/>
      <c r="S423" s="175"/>
      <c r="T423" s="42"/>
      <c r="U423" s="42"/>
    </row>
    <row r="424" ht="15.75" customHeight="1">
      <c r="B424" s="177"/>
      <c r="C424" s="14"/>
      <c r="D424" s="22"/>
      <c r="E424" s="22"/>
      <c r="H424" s="24"/>
      <c r="I424" s="24"/>
      <c r="K424" s="16"/>
      <c r="L424" s="16"/>
      <c r="M424" s="9"/>
      <c r="S424" s="16"/>
    </row>
    <row r="425" ht="15.75" customHeight="1">
      <c r="B425" s="177"/>
      <c r="C425" s="14"/>
      <c r="D425" s="22"/>
      <c r="E425" s="22"/>
      <c r="H425" s="24"/>
      <c r="I425" s="24"/>
      <c r="K425" s="16"/>
      <c r="L425" s="16"/>
      <c r="M425" s="9"/>
      <c r="S425" s="16"/>
    </row>
    <row r="426" ht="15.75" customHeight="1">
      <c r="B426" s="177"/>
      <c r="C426" s="14"/>
      <c r="D426" s="22"/>
      <c r="E426" s="22"/>
      <c r="H426" s="24"/>
      <c r="I426" s="24"/>
      <c r="K426" s="16"/>
      <c r="L426" s="16"/>
      <c r="M426" s="9"/>
      <c r="S426" s="16"/>
    </row>
    <row r="427" ht="15.75" customHeight="1">
      <c r="B427" s="177"/>
      <c r="C427" s="14"/>
      <c r="D427" s="22"/>
      <c r="E427" s="22"/>
      <c r="H427" s="24"/>
      <c r="I427" s="24"/>
      <c r="K427" s="16"/>
      <c r="L427" s="16"/>
      <c r="M427" s="9"/>
      <c r="S427" s="16"/>
    </row>
    <row r="428" ht="15.75" customHeight="1">
      <c r="B428" s="177"/>
      <c r="C428" s="14"/>
      <c r="D428" s="22"/>
      <c r="E428" s="22"/>
      <c r="H428" s="24"/>
      <c r="I428" s="24"/>
      <c r="K428" s="16"/>
      <c r="L428" s="16"/>
      <c r="M428" s="9"/>
      <c r="S428" s="16"/>
    </row>
    <row r="429" ht="15.75" customHeight="1">
      <c r="B429" s="177"/>
      <c r="C429" s="14"/>
      <c r="D429" s="22"/>
      <c r="E429" s="22"/>
      <c r="H429" s="24"/>
      <c r="I429" s="24"/>
      <c r="K429" s="16"/>
      <c r="L429" s="16"/>
      <c r="M429" s="9"/>
      <c r="S429" s="16"/>
    </row>
    <row r="430" ht="15.75" customHeight="1">
      <c r="B430" s="177"/>
      <c r="C430" s="14"/>
      <c r="D430" s="22"/>
      <c r="E430" s="22"/>
      <c r="H430" s="24"/>
      <c r="I430" s="24"/>
      <c r="K430" s="16"/>
      <c r="L430" s="16"/>
      <c r="M430" s="9"/>
      <c r="S430" s="16"/>
    </row>
    <row r="431" ht="15.75" customHeight="1">
      <c r="B431" s="177"/>
      <c r="C431" s="14"/>
      <c r="D431" s="22"/>
      <c r="E431" s="22"/>
      <c r="H431" s="24"/>
      <c r="I431" s="24"/>
      <c r="K431" s="16"/>
      <c r="L431" s="16"/>
      <c r="M431" s="9"/>
      <c r="S431" s="16"/>
    </row>
    <row r="432" ht="15.75" customHeight="1">
      <c r="B432" s="177"/>
      <c r="C432" s="14"/>
      <c r="D432" s="22"/>
      <c r="E432" s="22"/>
      <c r="H432" s="24"/>
      <c r="I432" s="24"/>
      <c r="K432" s="16"/>
      <c r="L432" s="16"/>
      <c r="M432" s="9"/>
      <c r="S432" s="16"/>
    </row>
    <row r="433" ht="15.75" customHeight="1">
      <c r="B433" s="177"/>
      <c r="C433" s="14"/>
      <c r="D433" s="22"/>
      <c r="E433" s="22"/>
      <c r="H433" s="24"/>
      <c r="I433" s="24"/>
      <c r="K433" s="16"/>
      <c r="L433" s="16"/>
      <c r="M433" s="9"/>
      <c r="S433" s="16"/>
    </row>
    <row r="434" ht="15.75" customHeight="1">
      <c r="B434" s="177"/>
      <c r="C434" s="14"/>
      <c r="D434" s="22"/>
      <c r="E434" s="22"/>
      <c r="H434" s="24"/>
      <c r="I434" s="24"/>
      <c r="K434" s="16"/>
      <c r="L434" s="16"/>
      <c r="M434" s="9"/>
      <c r="S434" s="16"/>
    </row>
    <row r="435" ht="15.75" customHeight="1">
      <c r="B435" s="177"/>
      <c r="C435" s="14"/>
      <c r="D435" s="22"/>
      <c r="E435" s="22"/>
      <c r="H435" s="24"/>
      <c r="I435" s="24"/>
      <c r="K435" s="16"/>
      <c r="L435" s="16"/>
      <c r="M435" s="9"/>
      <c r="S435" s="16"/>
    </row>
    <row r="436" ht="15.75" customHeight="1">
      <c r="B436" s="177"/>
      <c r="C436" s="14"/>
      <c r="D436" s="22"/>
      <c r="E436" s="22"/>
      <c r="H436" s="24"/>
      <c r="I436" s="24"/>
      <c r="K436" s="16"/>
      <c r="L436" s="16"/>
      <c r="M436" s="9"/>
      <c r="S436" s="16"/>
    </row>
    <row r="437" ht="15.75" customHeight="1">
      <c r="B437" s="177"/>
      <c r="C437" s="14"/>
      <c r="D437" s="22"/>
      <c r="E437" s="22"/>
      <c r="H437" s="24"/>
      <c r="I437" s="24"/>
      <c r="K437" s="16"/>
      <c r="L437" s="16"/>
      <c r="M437" s="9"/>
      <c r="S437" s="16"/>
    </row>
    <row r="438" ht="15.75" customHeight="1">
      <c r="B438" s="177"/>
      <c r="C438" s="14"/>
      <c r="D438" s="22"/>
      <c r="E438" s="22"/>
      <c r="H438" s="24"/>
      <c r="I438" s="24"/>
      <c r="K438" s="16"/>
      <c r="L438" s="16"/>
      <c r="M438" s="9"/>
      <c r="S438" s="16"/>
    </row>
    <row r="439" ht="15.75" customHeight="1">
      <c r="B439" s="177"/>
      <c r="C439" s="14"/>
      <c r="D439" s="22"/>
      <c r="E439" s="22"/>
      <c r="H439" s="24"/>
      <c r="I439" s="24"/>
      <c r="K439" s="16"/>
      <c r="L439" s="16"/>
      <c r="M439" s="9"/>
      <c r="S439" s="16"/>
    </row>
    <row r="440" ht="15.75" customHeight="1">
      <c r="B440" s="177"/>
      <c r="C440" s="14"/>
      <c r="D440" s="22"/>
      <c r="E440" s="22"/>
      <c r="H440" s="24"/>
      <c r="I440" s="24"/>
      <c r="K440" s="16"/>
      <c r="L440" s="16"/>
      <c r="M440" s="9"/>
      <c r="S440" s="16"/>
    </row>
    <row r="441" ht="15.75" customHeight="1">
      <c r="B441" s="177"/>
      <c r="C441" s="14"/>
      <c r="D441" s="22"/>
      <c r="E441" s="22"/>
      <c r="H441" s="24"/>
      <c r="I441" s="24"/>
      <c r="K441" s="16"/>
      <c r="L441" s="16"/>
      <c r="M441" s="9"/>
      <c r="S441" s="16"/>
    </row>
    <row r="442" ht="15.75" customHeight="1">
      <c r="B442" s="177"/>
      <c r="C442" s="14"/>
      <c r="D442" s="22"/>
      <c r="E442" s="22"/>
      <c r="H442" s="24"/>
      <c r="I442" s="24"/>
      <c r="K442" s="16"/>
      <c r="L442" s="16"/>
      <c r="M442" s="9"/>
      <c r="S442" s="16"/>
    </row>
    <row r="443" ht="15.75" customHeight="1">
      <c r="B443" s="177"/>
      <c r="C443" s="14"/>
      <c r="D443" s="22"/>
      <c r="E443" s="22"/>
      <c r="H443" s="24"/>
      <c r="I443" s="24"/>
      <c r="K443" s="16"/>
      <c r="L443" s="16"/>
      <c r="M443" s="9"/>
      <c r="S443" s="16"/>
    </row>
    <row r="444" ht="15.75" customHeight="1">
      <c r="B444" s="177"/>
      <c r="C444" s="14"/>
      <c r="D444" s="22"/>
      <c r="E444" s="22"/>
      <c r="H444" s="24"/>
      <c r="I444" s="24"/>
      <c r="K444" s="16"/>
      <c r="L444" s="16"/>
      <c r="M444" s="9"/>
      <c r="S444" s="16"/>
    </row>
    <row r="445" ht="15.75" customHeight="1">
      <c r="B445" s="177"/>
      <c r="C445" s="14"/>
      <c r="D445" s="22"/>
      <c r="E445" s="22"/>
      <c r="H445" s="24"/>
      <c r="I445" s="24"/>
      <c r="K445" s="16"/>
      <c r="L445" s="16"/>
      <c r="M445" s="9"/>
      <c r="S445" s="16"/>
    </row>
    <row r="446" ht="15.75" customHeight="1">
      <c r="B446" s="177"/>
      <c r="C446" s="14"/>
      <c r="D446" s="22"/>
      <c r="E446" s="22"/>
      <c r="H446" s="24"/>
      <c r="I446" s="24"/>
      <c r="K446" s="16"/>
      <c r="L446" s="16"/>
      <c r="M446" s="9"/>
      <c r="S446" s="16"/>
    </row>
    <row r="447" ht="15.75" customHeight="1">
      <c r="B447" s="177"/>
      <c r="C447" s="14"/>
      <c r="D447" s="22"/>
      <c r="E447" s="22"/>
      <c r="H447" s="24"/>
      <c r="I447" s="24"/>
      <c r="K447" s="16"/>
      <c r="L447" s="16"/>
      <c r="M447" s="9"/>
      <c r="S447" s="16"/>
    </row>
    <row r="448" ht="15.75" customHeight="1">
      <c r="B448" s="177"/>
      <c r="C448" s="14"/>
      <c r="D448" s="22"/>
      <c r="E448" s="22"/>
      <c r="H448" s="24"/>
      <c r="I448" s="24"/>
      <c r="K448" s="16"/>
      <c r="L448" s="16"/>
      <c r="M448" s="9"/>
      <c r="S448" s="16"/>
    </row>
    <row r="449" ht="15.75" customHeight="1">
      <c r="B449" s="177"/>
      <c r="C449" s="14"/>
      <c r="D449" s="22"/>
      <c r="E449" s="22"/>
      <c r="H449" s="24"/>
      <c r="I449" s="24"/>
      <c r="K449" s="16"/>
      <c r="L449" s="16"/>
      <c r="M449" s="9"/>
      <c r="S449" s="16"/>
    </row>
    <row r="450" ht="15.75" customHeight="1">
      <c r="B450" s="177"/>
      <c r="C450" s="14"/>
      <c r="D450" s="22"/>
      <c r="E450" s="22"/>
      <c r="H450" s="24"/>
      <c r="I450" s="24"/>
      <c r="K450" s="16"/>
      <c r="L450" s="16"/>
      <c r="M450" s="9"/>
      <c r="S450" s="16"/>
    </row>
    <row r="451" ht="15.75" customHeight="1">
      <c r="B451" s="177"/>
      <c r="C451" s="14"/>
      <c r="D451" s="22"/>
      <c r="E451" s="22"/>
      <c r="H451" s="24"/>
      <c r="I451" s="24"/>
      <c r="K451" s="16"/>
      <c r="L451" s="16"/>
      <c r="M451" s="9"/>
      <c r="S451" s="16"/>
    </row>
    <row r="452" ht="15.75" customHeight="1">
      <c r="B452" s="177"/>
      <c r="C452" s="14"/>
      <c r="D452" s="22"/>
      <c r="E452" s="22"/>
      <c r="H452" s="24"/>
      <c r="I452" s="24"/>
      <c r="K452" s="16"/>
      <c r="L452" s="16"/>
      <c r="M452" s="9"/>
      <c r="S452" s="16"/>
    </row>
    <row r="453" ht="15.75" customHeight="1">
      <c r="B453" s="177"/>
      <c r="C453" s="14"/>
      <c r="D453" s="22"/>
      <c r="E453" s="22"/>
      <c r="H453" s="24"/>
      <c r="I453" s="24"/>
      <c r="K453" s="16"/>
      <c r="L453" s="16"/>
      <c r="M453" s="9"/>
      <c r="S453" s="16"/>
    </row>
    <row r="454" ht="15.75" customHeight="1">
      <c r="B454" s="177"/>
      <c r="C454" s="14"/>
      <c r="D454" s="22"/>
      <c r="E454" s="22"/>
      <c r="H454" s="24"/>
      <c r="I454" s="24"/>
      <c r="K454" s="16"/>
      <c r="L454" s="16"/>
      <c r="M454" s="9"/>
      <c r="S454" s="16"/>
    </row>
    <row r="455" ht="15.75" customHeight="1">
      <c r="B455" s="177"/>
      <c r="C455" s="14"/>
      <c r="D455" s="22"/>
      <c r="E455" s="22"/>
      <c r="H455" s="24"/>
      <c r="I455" s="24"/>
      <c r="K455" s="16"/>
      <c r="L455" s="16"/>
      <c r="M455" s="9"/>
      <c r="S455" s="16"/>
    </row>
    <row r="456" ht="15.75" customHeight="1">
      <c r="B456" s="177"/>
      <c r="C456" s="14"/>
      <c r="D456" s="22"/>
      <c r="E456" s="22"/>
      <c r="H456" s="24"/>
      <c r="I456" s="24"/>
      <c r="K456" s="16"/>
      <c r="L456" s="16"/>
      <c r="M456" s="9"/>
      <c r="S456" s="16"/>
    </row>
    <row r="457" ht="15.75" customHeight="1">
      <c r="B457" s="177"/>
      <c r="C457" s="14"/>
      <c r="D457" s="22"/>
      <c r="E457" s="22"/>
      <c r="H457" s="24"/>
      <c r="I457" s="24"/>
      <c r="K457" s="16"/>
      <c r="L457" s="16"/>
      <c r="M457" s="9"/>
      <c r="S457" s="16"/>
    </row>
    <row r="458" ht="15.75" customHeight="1">
      <c r="B458" s="177"/>
      <c r="C458" s="14"/>
      <c r="D458" s="22"/>
      <c r="E458" s="22"/>
      <c r="H458" s="24"/>
      <c r="I458" s="24"/>
      <c r="K458" s="16"/>
      <c r="L458" s="16"/>
      <c r="M458" s="9"/>
      <c r="S458" s="16"/>
    </row>
    <row r="459" ht="15.75" customHeight="1">
      <c r="B459" s="177"/>
      <c r="C459" s="14"/>
      <c r="D459" s="22"/>
      <c r="E459" s="22"/>
      <c r="H459" s="24"/>
      <c r="I459" s="24"/>
      <c r="K459" s="16"/>
      <c r="L459" s="16"/>
      <c r="M459" s="9"/>
      <c r="S459" s="16"/>
    </row>
    <row r="460" ht="15.75" customHeight="1">
      <c r="B460" s="177"/>
      <c r="C460" s="14"/>
      <c r="D460" s="22"/>
      <c r="E460" s="22"/>
      <c r="H460" s="24"/>
      <c r="I460" s="24"/>
      <c r="K460" s="16"/>
      <c r="L460" s="16"/>
      <c r="M460" s="9"/>
      <c r="S460" s="16"/>
    </row>
    <row r="461" ht="15.75" customHeight="1">
      <c r="B461" s="177"/>
      <c r="C461" s="14"/>
      <c r="D461" s="22"/>
      <c r="E461" s="22"/>
      <c r="H461" s="24"/>
      <c r="I461" s="24"/>
      <c r="K461" s="16"/>
      <c r="L461" s="16"/>
      <c r="M461" s="9"/>
      <c r="S461" s="16"/>
    </row>
    <row r="462" ht="15.75" customHeight="1">
      <c r="B462" s="177"/>
      <c r="C462" s="14"/>
      <c r="D462" s="22"/>
      <c r="E462" s="22"/>
      <c r="H462" s="24"/>
      <c r="I462" s="24"/>
      <c r="K462" s="16"/>
      <c r="L462" s="16"/>
      <c r="M462" s="9"/>
      <c r="S462" s="16"/>
    </row>
    <row r="463" ht="15.75" customHeight="1">
      <c r="B463" s="177"/>
      <c r="C463" s="14"/>
      <c r="D463" s="22"/>
      <c r="E463" s="22"/>
      <c r="H463" s="24"/>
      <c r="I463" s="24"/>
      <c r="K463" s="16"/>
      <c r="L463" s="16"/>
      <c r="M463" s="9"/>
      <c r="S463" s="16"/>
    </row>
    <row r="464" ht="15.75" customHeight="1">
      <c r="B464" s="177"/>
      <c r="C464" s="14"/>
      <c r="D464" s="22"/>
      <c r="E464" s="22"/>
      <c r="H464" s="24"/>
      <c r="I464" s="24"/>
      <c r="K464" s="16"/>
      <c r="L464" s="16"/>
      <c r="M464" s="9"/>
      <c r="S464" s="16"/>
    </row>
    <row r="465" ht="15.75" customHeight="1">
      <c r="B465" s="177"/>
      <c r="C465" s="14"/>
      <c r="D465" s="22"/>
      <c r="E465" s="22"/>
      <c r="H465" s="24"/>
      <c r="I465" s="24"/>
      <c r="K465" s="16"/>
      <c r="L465" s="16"/>
      <c r="M465" s="9"/>
      <c r="S465" s="16"/>
    </row>
    <row r="466" ht="15.75" customHeight="1">
      <c r="B466" s="177"/>
      <c r="C466" s="14"/>
      <c r="D466" s="22"/>
      <c r="E466" s="22"/>
      <c r="H466" s="24"/>
      <c r="I466" s="24"/>
      <c r="K466" s="16"/>
      <c r="L466" s="16"/>
      <c r="M466" s="9"/>
      <c r="S466" s="16"/>
    </row>
    <row r="467" ht="15.75" customHeight="1">
      <c r="B467" s="177"/>
      <c r="C467" s="14"/>
      <c r="D467" s="22"/>
      <c r="E467" s="22"/>
      <c r="H467" s="24"/>
      <c r="I467" s="24"/>
      <c r="K467" s="16"/>
      <c r="L467" s="16"/>
      <c r="M467" s="9"/>
      <c r="S467" s="16"/>
    </row>
    <row r="468" ht="15.75" customHeight="1">
      <c r="B468" s="177"/>
      <c r="C468" s="14"/>
      <c r="D468" s="22"/>
      <c r="E468" s="22"/>
      <c r="H468" s="24"/>
      <c r="I468" s="24"/>
      <c r="K468" s="16"/>
      <c r="L468" s="16"/>
      <c r="M468" s="9"/>
      <c r="S468" s="16"/>
    </row>
    <row r="469" ht="15.75" customHeight="1">
      <c r="B469" s="177"/>
      <c r="C469" s="14"/>
      <c r="D469" s="22"/>
      <c r="E469" s="22"/>
      <c r="H469" s="24"/>
      <c r="I469" s="24"/>
      <c r="K469" s="16"/>
      <c r="L469" s="16"/>
      <c r="M469" s="9"/>
      <c r="S469" s="16"/>
    </row>
    <row r="470" ht="15.75" customHeight="1">
      <c r="B470" s="177"/>
      <c r="C470" s="14"/>
      <c r="D470" s="22"/>
      <c r="E470" s="22"/>
      <c r="H470" s="24"/>
      <c r="I470" s="24"/>
      <c r="K470" s="16"/>
      <c r="L470" s="16"/>
      <c r="M470" s="9"/>
      <c r="S470" s="16"/>
    </row>
    <row r="471" ht="15.75" customHeight="1">
      <c r="B471" s="177"/>
      <c r="C471" s="14"/>
      <c r="D471" s="22"/>
      <c r="E471" s="22"/>
      <c r="H471" s="24"/>
      <c r="I471" s="24"/>
      <c r="K471" s="16"/>
      <c r="L471" s="16"/>
      <c r="M471" s="9"/>
      <c r="S471" s="16"/>
    </row>
    <row r="472" ht="15.75" customHeight="1">
      <c r="B472" s="177"/>
      <c r="C472" s="14"/>
      <c r="D472" s="22"/>
      <c r="E472" s="22"/>
      <c r="H472" s="24"/>
      <c r="I472" s="24"/>
      <c r="K472" s="16"/>
      <c r="L472" s="16"/>
      <c r="M472" s="9"/>
      <c r="S472" s="16"/>
    </row>
    <row r="473" ht="15.75" customHeight="1">
      <c r="B473" s="177"/>
      <c r="C473" s="14"/>
      <c r="D473" s="22"/>
      <c r="E473" s="22"/>
      <c r="H473" s="24"/>
      <c r="I473" s="24"/>
      <c r="K473" s="16"/>
      <c r="L473" s="16"/>
      <c r="M473" s="9"/>
      <c r="S473" s="16"/>
    </row>
    <row r="474" ht="15.75" customHeight="1">
      <c r="B474" s="177"/>
      <c r="C474" s="14"/>
      <c r="D474" s="22"/>
      <c r="E474" s="22"/>
      <c r="H474" s="24"/>
      <c r="I474" s="24"/>
      <c r="K474" s="16"/>
      <c r="L474" s="16"/>
      <c r="M474" s="9"/>
      <c r="S474" s="16"/>
    </row>
    <row r="475" ht="15.75" customHeight="1">
      <c r="B475" s="177"/>
      <c r="C475" s="14"/>
      <c r="D475" s="22"/>
      <c r="E475" s="22"/>
      <c r="H475" s="24"/>
      <c r="I475" s="24"/>
      <c r="K475" s="16"/>
      <c r="L475" s="16"/>
      <c r="M475" s="9"/>
      <c r="S475" s="16"/>
    </row>
    <row r="476" ht="15.75" customHeight="1">
      <c r="B476" s="177"/>
      <c r="C476" s="14"/>
      <c r="D476" s="22"/>
      <c r="E476" s="22"/>
      <c r="H476" s="24"/>
      <c r="I476" s="24"/>
      <c r="K476" s="16"/>
      <c r="L476" s="16"/>
      <c r="M476" s="9"/>
      <c r="S476" s="16"/>
    </row>
    <row r="477" ht="15.75" customHeight="1">
      <c r="B477" s="177"/>
      <c r="C477" s="14"/>
      <c r="D477" s="22"/>
      <c r="E477" s="22"/>
      <c r="H477" s="24"/>
      <c r="I477" s="24"/>
      <c r="K477" s="16"/>
      <c r="L477" s="16"/>
      <c r="M477" s="9"/>
      <c r="S477" s="16"/>
    </row>
    <row r="478" ht="15.75" customHeight="1">
      <c r="B478" s="177"/>
      <c r="C478" s="14"/>
      <c r="D478" s="22"/>
      <c r="E478" s="22"/>
      <c r="H478" s="24"/>
      <c r="I478" s="24"/>
      <c r="K478" s="16"/>
      <c r="L478" s="16"/>
      <c r="M478" s="9"/>
      <c r="S478" s="16"/>
    </row>
    <row r="479" ht="15.75" customHeight="1">
      <c r="B479" s="177"/>
      <c r="C479" s="14"/>
      <c r="D479" s="22"/>
      <c r="E479" s="22"/>
      <c r="H479" s="24"/>
      <c r="I479" s="24"/>
      <c r="K479" s="16"/>
      <c r="L479" s="16"/>
      <c r="M479" s="9"/>
      <c r="S479" s="16"/>
    </row>
    <row r="480" ht="15.75" customHeight="1">
      <c r="B480" s="177"/>
      <c r="C480" s="14"/>
      <c r="D480" s="22"/>
      <c r="E480" s="22"/>
      <c r="H480" s="24"/>
      <c r="I480" s="24"/>
      <c r="K480" s="16"/>
      <c r="L480" s="16"/>
      <c r="M480" s="9"/>
      <c r="S480" s="16"/>
    </row>
    <row r="481" ht="15.75" customHeight="1">
      <c r="B481" s="177"/>
      <c r="C481" s="14"/>
      <c r="D481" s="22"/>
      <c r="E481" s="22"/>
      <c r="H481" s="24"/>
      <c r="I481" s="24"/>
      <c r="K481" s="16"/>
      <c r="L481" s="16"/>
      <c r="M481" s="9"/>
      <c r="S481" s="16"/>
    </row>
    <row r="482" ht="15.75" customHeight="1">
      <c r="B482" s="177"/>
      <c r="C482" s="14"/>
      <c r="D482" s="22"/>
      <c r="E482" s="22"/>
      <c r="H482" s="24"/>
      <c r="I482" s="24"/>
      <c r="K482" s="16"/>
      <c r="L482" s="16"/>
      <c r="M482" s="9"/>
      <c r="S482" s="16"/>
    </row>
    <row r="483" ht="15.75" customHeight="1">
      <c r="B483" s="177"/>
      <c r="C483" s="14"/>
      <c r="D483" s="22"/>
      <c r="E483" s="22"/>
      <c r="H483" s="24"/>
      <c r="I483" s="24"/>
      <c r="K483" s="16"/>
      <c r="L483" s="16"/>
      <c r="M483" s="9"/>
      <c r="S483" s="16"/>
    </row>
    <row r="484" ht="15.75" customHeight="1">
      <c r="B484" s="177"/>
      <c r="C484" s="14"/>
      <c r="D484" s="22"/>
      <c r="E484" s="22"/>
      <c r="H484" s="24"/>
      <c r="I484" s="24"/>
      <c r="K484" s="16"/>
      <c r="L484" s="16"/>
      <c r="M484" s="9"/>
      <c r="S484" s="16"/>
    </row>
    <row r="485" ht="15.75" customHeight="1">
      <c r="B485" s="177"/>
      <c r="C485" s="14"/>
      <c r="D485" s="22"/>
      <c r="E485" s="22"/>
      <c r="H485" s="24"/>
      <c r="I485" s="24"/>
      <c r="K485" s="16"/>
      <c r="L485" s="16"/>
      <c r="M485" s="9"/>
      <c r="S485" s="16"/>
    </row>
    <row r="486" ht="15.75" customHeight="1">
      <c r="B486" s="177"/>
      <c r="C486" s="14"/>
      <c r="D486" s="22"/>
      <c r="E486" s="22"/>
      <c r="H486" s="24"/>
      <c r="I486" s="24"/>
      <c r="K486" s="16"/>
      <c r="L486" s="16"/>
      <c r="M486" s="9"/>
      <c r="S486" s="16"/>
    </row>
    <row r="487" ht="15.75" customHeight="1">
      <c r="B487" s="177"/>
      <c r="C487" s="14"/>
      <c r="D487" s="22"/>
      <c r="E487" s="22"/>
      <c r="H487" s="24"/>
      <c r="I487" s="24"/>
      <c r="K487" s="16"/>
      <c r="L487" s="16"/>
      <c r="M487" s="9"/>
      <c r="S487" s="16"/>
    </row>
    <row r="488" ht="15.75" customHeight="1">
      <c r="B488" s="177"/>
      <c r="C488" s="14"/>
      <c r="D488" s="22"/>
      <c r="E488" s="22"/>
      <c r="H488" s="24"/>
      <c r="I488" s="24"/>
      <c r="K488" s="16"/>
      <c r="L488" s="16"/>
      <c r="M488" s="9"/>
      <c r="S488" s="16"/>
    </row>
    <row r="489" ht="15.75" customHeight="1">
      <c r="B489" s="177"/>
      <c r="C489" s="14"/>
      <c r="D489" s="22"/>
      <c r="E489" s="22"/>
      <c r="H489" s="24"/>
      <c r="I489" s="24"/>
      <c r="K489" s="16"/>
      <c r="L489" s="16"/>
      <c r="M489" s="9"/>
      <c r="S489" s="16"/>
    </row>
    <row r="490" ht="15.75" customHeight="1">
      <c r="B490" s="177"/>
      <c r="C490" s="14"/>
      <c r="D490" s="22"/>
      <c r="E490" s="22"/>
      <c r="H490" s="24"/>
      <c r="I490" s="24"/>
      <c r="K490" s="16"/>
      <c r="L490" s="16"/>
      <c r="M490" s="9"/>
      <c r="S490" s="16"/>
    </row>
    <row r="491" ht="15.75" customHeight="1">
      <c r="B491" s="177"/>
      <c r="C491" s="14"/>
      <c r="D491" s="22"/>
      <c r="E491" s="22"/>
      <c r="H491" s="24"/>
      <c r="I491" s="24"/>
      <c r="K491" s="16"/>
      <c r="L491" s="16"/>
      <c r="M491" s="9"/>
      <c r="S491" s="16"/>
    </row>
    <row r="492" ht="15.75" customHeight="1">
      <c r="B492" s="177"/>
      <c r="C492" s="14"/>
      <c r="D492" s="22"/>
      <c r="E492" s="22"/>
      <c r="H492" s="24"/>
      <c r="I492" s="24"/>
      <c r="K492" s="16"/>
      <c r="L492" s="16"/>
      <c r="M492" s="9"/>
      <c r="S492" s="16"/>
    </row>
    <row r="493" ht="15.75" customHeight="1">
      <c r="B493" s="177"/>
      <c r="C493" s="14"/>
      <c r="D493" s="22"/>
      <c r="E493" s="22"/>
      <c r="H493" s="24"/>
      <c r="I493" s="24"/>
      <c r="K493" s="16"/>
      <c r="L493" s="16"/>
      <c r="M493" s="9"/>
      <c r="S493" s="16"/>
    </row>
    <row r="494" ht="15.75" customHeight="1">
      <c r="B494" s="177"/>
      <c r="C494" s="14"/>
      <c r="D494" s="22"/>
      <c r="E494" s="22"/>
      <c r="H494" s="24"/>
      <c r="I494" s="24"/>
      <c r="K494" s="16"/>
      <c r="L494" s="16"/>
      <c r="M494" s="9"/>
      <c r="S494" s="16"/>
    </row>
    <row r="495" ht="15.75" customHeight="1">
      <c r="B495" s="177"/>
      <c r="C495" s="14"/>
      <c r="D495" s="22"/>
      <c r="E495" s="22"/>
      <c r="H495" s="24"/>
      <c r="I495" s="24"/>
      <c r="K495" s="16"/>
      <c r="L495" s="16"/>
      <c r="M495" s="9"/>
      <c r="S495" s="16"/>
    </row>
    <row r="496" ht="15.75" customHeight="1">
      <c r="B496" s="177"/>
      <c r="C496" s="14"/>
      <c r="D496" s="22"/>
      <c r="E496" s="22"/>
      <c r="H496" s="24"/>
      <c r="I496" s="24"/>
      <c r="K496" s="16"/>
      <c r="L496" s="16"/>
      <c r="M496" s="9"/>
      <c r="S496" s="16"/>
    </row>
    <row r="497" ht="15.75" customHeight="1">
      <c r="B497" s="177"/>
      <c r="C497" s="14"/>
      <c r="D497" s="22"/>
      <c r="E497" s="22"/>
      <c r="H497" s="24"/>
      <c r="I497" s="24"/>
      <c r="K497" s="16"/>
      <c r="L497" s="16"/>
      <c r="M497" s="9"/>
      <c r="S497" s="16"/>
    </row>
    <row r="498" ht="15.75" customHeight="1">
      <c r="B498" s="177"/>
      <c r="C498" s="14"/>
      <c r="D498" s="22"/>
      <c r="E498" s="22"/>
      <c r="H498" s="24"/>
      <c r="I498" s="24"/>
      <c r="K498" s="16"/>
      <c r="L498" s="16"/>
      <c r="M498" s="9"/>
      <c r="S498" s="16"/>
    </row>
    <row r="499" ht="15.75" customHeight="1">
      <c r="B499" s="177"/>
      <c r="C499" s="14"/>
      <c r="D499" s="22"/>
      <c r="E499" s="22"/>
      <c r="H499" s="24"/>
      <c r="I499" s="24"/>
      <c r="K499" s="16"/>
      <c r="L499" s="16"/>
      <c r="M499" s="9"/>
      <c r="S499" s="16"/>
    </row>
    <row r="500" ht="15.75" customHeight="1">
      <c r="B500" s="177"/>
      <c r="C500" s="14"/>
      <c r="D500" s="22"/>
      <c r="E500" s="22"/>
      <c r="H500" s="24"/>
      <c r="I500" s="24"/>
      <c r="K500" s="16"/>
      <c r="L500" s="16"/>
      <c r="M500" s="9"/>
      <c r="S500" s="16"/>
    </row>
    <row r="501" ht="15.75" customHeight="1">
      <c r="B501" s="177"/>
      <c r="C501" s="14"/>
      <c r="D501" s="22"/>
      <c r="E501" s="22"/>
      <c r="H501" s="24"/>
      <c r="I501" s="24"/>
      <c r="K501" s="16"/>
      <c r="L501" s="16"/>
      <c r="M501" s="9"/>
      <c r="S501" s="16"/>
    </row>
    <row r="502" ht="15.75" customHeight="1">
      <c r="B502" s="177"/>
      <c r="C502" s="14"/>
      <c r="D502" s="22"/>
      <c r="E502" s="22"/>
      <c r="H502" s="24"/>
      <c r="I502" s="24"/>
      <c r="K502" s="16"/>
      <c r="L502" s="16"/>
      <c r="M502" s="9"/>
      <c r="S502" s="16"/>
    </row>
    <row r="503" ht="15.75" customHeight="1">
      <c r="B503" s="177"/>
      <c r="C503" s="14"/>
      <c r="D503" s="22"/>
      <c r="E503" s="22"/>
      <c r="H503" s="24"/>
      <c r="I503" s="24"/>
      <c r="K503" s="16"/>
      <c r="L503" s="16"/>
      <c r="M503" s="9"/>
      <c r="S503" s="16"/>
    </row>
    <row r="504" ht="15.75" customHeight="1">
      <c r="B504" s="177"/>
      <c r="C504" s="14"/>
      <c r="D504" s="22"/>
      <c r="E504" s="22"/>
      <c r="H504" s="24"/>
      <c r="I504" s="24"/>
      <c r="K504" s="16"/>
      <c r="L504" s="16"/>
      <c r="M504" s="9"/>
      <c r="S504" s="16"/>
    </row>
    <row r="505" ht="15.75" customHeight="1">
      <c r="B505" s="177"/>
      <c r="C505" s="14"/>
      <c r="D505" s="22"/>
      <c r="E505" s="22"/>
      <c r="H505" s="24"/>
      <c r="I505" s="24"/>
      <c r="K505" s="16"/>
      <c r="L505" s="16"/>
      <c r="M505" s="9"/>
      <c r="S505" s="16"/>
    </row>
    <row r="506" ht="15.75" customHeight="1">
      <c r="B506" s="177"/>
      <c r="C506" s="14"/>
      <c r="D506" s="22"/>
      <c r="E506" s="22"/>
      <c r="H506" s="24"/>
      <c r="I506" s="24"/>
      <c r="K506" s="16"/>
      <c r="L506" s="16"/>
      <c r="M506" s="9"/>
      <c r="S506" s="16"/>
    </row>
    <row r="507" ht="15.75" customHeight="1">
      <c r="B507" s="177"/>
      <c r="C507" s="14"/>
      <c r="D507" s="22"/>
      <c r="E507" s="22"/>
      <c r="H507" s="24"/>
      <c r="I507" s="24"/>
      <c r="K507" s="16"/>
      <c r="L507" s="16"/>
      <c r="M507" s="9"/>
      <c r="S507" s="16"/>
    </row>
    <row r="508" ht="15.75" customHeight="1">
      <c r="B508" s="177"/>
      <c r="C508" s="14"/>
      <c r="D508" s="22"/>
      <c r="E508" s="22"/>
      <c r="H508" s="24"/>
      <c r="I508" s="24"/>
      <c r="K508" s="16"/>
      <c r="L508" s="16"/>
      <c r="M508" s="9"/>
      <c r="S508" s="16"/>
    </row>
    <row r="509" ht="15.75" customHeight="1">
      <c r="B509" s="177"/>
      <c r="C509" s="14"/>
      <c r="D509" s="22"/>
      <c r="E509" s="22"/>
      <c r="H509" s="24"/>
      <c r="I509" s="24"/>
      <c r="K509" s="16"/>
      <c r="L509" s="16"/>
      <c r="M509" s="9"/>
      <c r="S509" s="16"/>
    </row>
    <row r="510" ht="15.75" customHeight="1">
      <c r="B510" s="177"/>
      <c r="C510" s="14"/>
      <c r="D510" s="22"/>
      <c r="E510" s="22"/>
      <c r="H510" s="24"/>
      <c r="I510" s="24"/>
      <c r="K510" s="16"/>
      <c r="L510" s="16"/>
      <c r="M510" s="9"/>
      <c r="S510" s="16"/>
    </row>
    <row r="511" ht="15.75" customHeight="1">
      <c r="B511" s="177"/>
      <c r="C511" s="14"/>
      <c r="D511" s="22"/>
      <c r="E511" s="22"/>
      <c r="H511" s="24"/>
      <c r="I511" s="24"/>
      <c r="K511" s="16"/>
      <c r="L511" s="16"/>
      <c r="M511" s="9"/>
      <c r="S511" s="16"/>
    </row>
    <row r="512" ht="15.75" customHeight="1">
      <c r="B512" s="177"/>
      <c r="C512" s="14"/>
      <c r="D512" s="22"/>
      <c r="E512" s="22"/>
      <c r="H512" s="24"/>
      <c r="I512" s="24"/>
      <c r="K512" s="16"/>
      <c r="L512" s="16"/>
      <c r="M512" s="9"/>
      <c r="S512" s="16"/>
    </row>
    <row r="513" ht="15.75" customHeight="1">
      <c r="B513" s="177"/>
      <c r="C513" s="14"/>
      <c r="D513" s="22"/>
      <c r="E513" s="22"/>
      <c r="H513" s="24"/>
      <c r="I513" s="24"/>
      <c r="K513" s="16"/>
      <c r="L513" s="16"/>
      <c r="M513" s="9"/>
      <c r="S513" s="16"/>
    </row>
    <row r="514" ht="15.75" customHeight="1">
      <c r="B514" s="177"/>
      <c r="C514" s="14"/>
      <c r="D514" s="22"/>
      <c r="E514" s="22"/>
      <c r="H514" s="24"/>
      <c r="I514" s="24"/>
      <c r="K514" s="16"/>
      <c r="L514" s="16"/>
      <c r="M514" s="9"/>
      <c r="S514" s="16"/>
    </row>
    <row r="515" ht="15.75" customHeight="1">
      <c r="B515" s="177"/>
      <c r="C515" s="14"/>
      <c r="D515" s="22"/>
      <c r="E515" s="22"/>
      <c r="H515" s="24"/>
      <c r="I515" s="24"/>
      <c r="K515" s="16"/>
      <c r="L515" s="16"/>
      <c r="M515" s="9"/>
      <c r="S515" s="16"/>
    </row>
    <row r="516" ht="15.75" customHeight="1">
      <c r="B516" s="177"/>
      <c r="C516" s="14"/>
      <c r="D516" s="22"/>
      <c r="E516" s="22"/>
      <c r="H516" s="24"/>
      <c r="I516" s="24"/>
      <c r="K516" s="16"/>
      <c r="L516" s="16"/>
      <c r="M516" s="9"/>
      <c r="S516" s="16"/>
    </row>
    <row r="517" ht="15.75" customHeight="1">
      <c r="B517" s="177"/>
      <c r="C517" s="14"/>
      <c r="D517" s="22"/>
      <c r="E517" s="22"/>
      <c r="H517" s="24"/>
      <c r="I517" s="24"/>
      <c r="K517" s="16"/>
      <c r="L517" s="16"/>
      <c r="M517" s="9"/>
      <c r="S517" s="16"/>
    </row>
    <row r="518" ht="15.75" customHeight="1">
      <c r="B518" s="177"/>
      <c r="C518" s="14"/>
      <c r="D518" s="22"/>
      <c r="E518" s="22"/>
      <c r="H518" s="24"/>
      <c r="I518" s="24"/>
      <c r="K518" s="16"/>
      <c r="L518" s="16"/>
      <c r="M518" s="9"/>
      <c r="S518" s="16"/>
    </row>
    <row r="519" ht="15.75" customHeight="1">
      <c r="B519" s="177"/>
      <c r="C519" s="14"/>
      <c r="D519" s="22"/>
      <c r="E519" s="22"/>
      <c r="H519" s="24"/>
      <c r="I519" s="24"/>
      <c r="K519" s="16"/>
      <c r="L519" s="16"/>
      <c r="M519" s="9"/>
      <c r="S519" s="16"/>
    </row>
    <row r="520" ht="15.75" customHeight="1">
      <c r="B520" s="177"/>
      <c r="C520" s="14"/>
      <c r="D520" s="22"/>
      <c r="E520" s="22"/>
      <c r="H520" s="24"/>
      <c r="I520" s="24"/>
      <c r="K520" s="16"/>
      <c r="L520" s="16"/>
      <c r="M520" s="9"/>
      <c r="S520" s="16"/>
    </row>
    <row r="521" ht="15.75" customHeight="1">
      <c r="B521" s="177"/>
      <c r="C521" s="14"/>
      <c r="D521" s="22"/>
      <c r="E521" s="22"/>
      <c r="H521" s="24"/>
      <c r="I521" s="24"/>
      <c r="K521" s="16"/>
      <c r="L521" s="16"/>
      <c r="M521" s="9"/>
      <c r="S521" s="16"/>
    </row>
    <row r="522" ht="15.75" customHeight="1">
      <c r="B522" s="177"/>
      <c r="C522" s="14"/>
      <c r="D522" s="22"/>
      <c r="E522" s="22"/>
      <c r="H522" s="24"/>
      <c r="I522" s="24"/>
      <c r="K522" s="16"/>
      <c r="L522" s="16"/>
      <c r="M522" s="9"/>
      <c r="S522" s="16"/>
    </row>
    <row r="523" ht="15.75" customHeight="1">
      <c r="B523" s="177"/>
      <c r="C523" s="14"/>
      <c r="D523" s="22"/>
      <c r="E523" s="22"/>
      <c r="H523" s="24"/>
      <c r="I523" s="24"/>
      <c r="K523" s="16"/>
      <c r="L523" s="16"/>
      <c r="M523" s="9"/>
      <c r="S523" s="16"/>
    </row>
    <row r="524" ht="15.75" customHeight="1">
      <c r="B524" s="177"/>
      <c r="C524" s="14"/>
      <c r="D524" s="22"/>
      <c r="E524" s="22"/>
      <c r="H524" s="24"/>
      <c r="I524" s="24"/>
      <c r="K524" s="16"/>
      <c r="L524" s="16"/>
      <c r="M524" s="9"/>
      <c r="S524" s="16"/>
    </row>
    <row r="525" ht="15.75" customHeight="1">
      <c r="B525" s="177"/>
      <c r="C525" s="14"/>
      <c r="D525" s="22"/>
      <c r="E525" s="22"/>
      <c r="H525" s="24"/>
      <c r="I525" s="24"/>
      <c r="K525" s="16"/>
      <c r="L525" s="16"/>
      <c r="M525" s="9"/>
      <c r="S525" s="16"/>
    </row>
    <row r="526" ht="15.75" customHeight="1">
      <c r="B526" s="177"/>
      <c r="C526" s="14"/>
      <c r="D526" s="22"/>
      <c r="E526" s="22"/>
      <c r="H526" s="24"/>
      <c r="I526" s="24"/>
      <c r="K526" s="16"/>
      <c r="L526" s="16"/>
      <c r="M526" s="9"/>
      <c r="S526" s="16"/>
    </row>
    <row r="527" ht="15.75" customHeight="1">
      <c r="B527" s="177"/>
      <c r="C527" s="14"/>
      <c r="D527" s="22"/>
      <c r="E527" s="22"/>
      <c r="H527" s="24"/>
      <c r="I527" s="24"/>
      <c r="K527" s="16"/>
      <c r="L527" s="16"/>
      <c r="M527" s="9"/>
      <c r="S527" s="16"/>
    </row>
    <row r="528" ht="15.75" customHeight="1">
      <c r="B528" s="177"/>
      <c r="C528" s="14"/>
      <c r="D528" s="22"/>
      <c r="E528" s="22"/>
      <c r="H528" s="24"/>
      <c r="I528" s="24"/>
      <c r="K528" s="16"/>
      <c r="L528" s="16"/>
      <c r="M528" s="9"/>
      <c r="S528" s="16"/>
    </row>
    <row r="529" ht="15.75" customHeight="1">
      <c r="B529" s="177"/>
      <c r="C529" s="14"/>
      <c r="D529" s="22"/>
      <c r="E529" s="22"/>
      <c r="H529" s="24"/>
      <c r="I529" s="24"/>
      <c r="K529" s="16"/>
      <c r="L529" s="16"/>
      <c r="M529" s="9"/>
      <c r="S529" s="16"/>
    </row>
    <row r="530" ht="15.75" customHeight="1">
      <c r="B530" s="177"/>
      <c r="C530" s="14"/>
      <c r="D530" s="22"/>
      <c r="E530" s="22"/>
      <c r="H530" s="24"/>
      <c r="I530" s="24"/>
      <c r="K530" s="16"/>
      <c r="L530" s="16"/>
      <c r="M530" s="9"/>
      <c r="S530" s="16"/>
    </row>
    <row r="531" ht="15.75" customHeight="1">
      <c r="B531" s="177"/>
      <c r="C531" s="14"/>
      <c r="D531" s="22"/>
      <c r="E531" s="22"/>
      <c r="H531" s="24"/>
      <c r="I531" s="24"/>
      <c r="K531" s="16"/>
      <c r="L531" s="16"/>
      <c r="M531" s="9"/>
      <c r="S531" s="16"/>
    </row>
    <row r="532" ht="15.75" customHeight="1">
      <c r="B532" s="177"/>
      <c r="C532" s="14"/>
      <c r="D532" s="22"/>
      <c r="E532" s="22"/>
      <c r="H532" s="24"/>
      <c r="I532" s="24"/>
      <c r="K532" s="16"/>
      <c r="L532" s="16"/>
      <c r="M532" s="9"/>
      <c r="S532" s="16"/>
    </row>
    <row r="533" ht="15.75" customHeight="1">
      <c r="B533" s="177"/>
      <c r="C533" s="14"/>
      <c r="D533" s="22"/>
      <c r="E533" s="22"/>
      <c r="H533" s="24"/>
      <c r="I533" s="24"/>
      <c r="K533" s="16"/>
      <c r="L533" s="16"/>
      <c r="M533" s="9"/>
      <c r="S533" s="16"/>
    </row>
    <row r="534" ht="15.75" customHeight="1">
      <c r="B534" s="177"/>
      <c r="C534" s="14"/>
      <c r="D534" s="22"/>
      <c r="E534" s="22"/>
      <c r="H534" s="24"/>
      <c r="I534" s="24"/>
      <c r="K534" s="16"/>
      <c r="L534" s="16"/>
      <c r="M534" s="9"/>
      <c r="S534" s="16"/>
    </row>
    <row r="535" ht="15.75" customHeight="1">
      <c r="B535" s="177"/>
      <c r="C535" s="14"/>
      <c r="D535" s="22"/>
      <c r="E535" s="22"/>
      <c r="H535" s="24"/>
      <c r="I535" s="24"/>
      <c r="K535" s="16"/>
      <c r="L535" s="16"/>
      <c r="M535" s="9"/>
      <c r="S535" s="16"/>
    </row>
    <row r="536" ht="15.75" customHeight="1">
      <c r="B536" s="177"/>
      <c r="C536" s="14"/>
      <c r="D536" s="22"/>
      <c r="E536" s="22"/>
      <c r="H536" s="24"/>
      <c r="I536" s="24"/>
      <c r="K536" s="16"/>
      <c r="L536" s="16"/>
      <c r="M536" s="9"/>
      <c r="S536" s="16"/>
    </row>
    <row r="537" ht="15.75" customHeight="1">
      <c r="B537" s="177"/>
      <c r="C537" s="14"/>
      <c r="D537" s="22"/>
      <c r="E537" s="22"/>
      <c r="H537" s="24"/>
      <c r="I537" s="24"/>
      <c r="K537" s="16"/>
      <c r="L537" s="16"/>
      <c r="M537" s="9"/>
      <c r="S537" s="16"/>
    </row>
    <row r="538" ht="15.75" customHeight="1">
      <c r="B538" s="177"/>
      <c r="C538" s="14"/>
      <c r="D538" s="22"/>
      <c r="E538" s="22"/>
      <c r="H538" s="24"/>
      <c r="I538" s="24"/>
      <c r="K538" s="16"/>
      <c r="L538" s="16"/>
      <c r="M538" s="9"/>
      <c r="S538" s="16"/>
    </row>
    <row r="539" ht="15.75" customHeight="1">
      <c r="B539" s="177"/>
      <c r="C539" s="14"/>
      <c r="D539" s="22"/>
      <c r="E539" s="22"/>
      <c r="H539" s="24"/>
      <c r="I539" s="24"/>
      <c r="K539" s="16"/>
      <c r="L539" s="16"/>
      <c r="M539" s="9"/>
      <c r="S539" s="16"/>
    </row>
    <row r="540" ht="15.75" customHeight="1">
      <c r="B540" s="177"/>
      <c r="C540" s="14"/>
      <c r="D540" s="22"/>
      <c r="E540" s="22"/>
      <c r="H540" s="24"/>
      <c r="I540" s="24"/>
      <c r="K540" s="16"/>
      <c r="L540" s="16"/>
      <c r="M540" s="9"/>
      <c r="S540" s="16"/>
    </row>
    <row r="541" ht="15.75" customHeight="1">
      <c r="B541" s="177"/>
      <c r="C541" s="14"/>
      <c r="D541" s="22"/>
      <c r="E541" s="22"/>
      <c r="H541" s="24"/>
      <c r="I541" s="24"/>
      <c r="K541" s="16"/>
      <c r="L541" s="16"/>
      <c r="M541" s="9"/>
      <c r="S541" s="16"/>
    </row>
    <row r="542" ht="15.75" customHeight="1">
      <c r="B542" s="177"/>
      <c r="C542" s="14"/>
      <c r="D542" s="22"/>
      <c r="E542" s="22"/>
      <c r="H542" s="24"/>
      <c r="I542" s="24"/>
      <c r="K542" s="16"/>
      <c r="L542" s="16"/>
      <c r="M542" s="9"/>
      <c r="S542" s="16"/>
    </row>
    <row r="543" ht="15.75" customHeight="1">
      <c r="B543" s="177"/>
      <c r="C543" s="14"/>
      <c r="D543" s="22"/>
      <c r="E543" s="22"/>
      <c r="H543" s="24"/>
      <c r="I543" s="24"/>
      <c r="K543" s="16"/>
      <c r="L543" s="16"/>
      <c r="M543" s="9"/>
      <c r="S543" s="16"/>
    </row>
    <row r="544" ht="15.75" customHeight="1">
      <c r="B544" s="177"/>
      <c r="C544" s="14"/>
      <c r="D544" s="22"/>
      <c r="E544" s="22"/>
      <c r="H544" s="24"/>
      <c r="I544" s="24"/>
      <c r="K544" s="16"/>
      <c r="L544" s="16"/>
      <c r="M544" s="9"/>
      <c r="S544" s="16"/>
    </row>
    <row r="545" ht="15.75" customHeight="1">
      <c r="B545" s="177"/>
      <c r="C545" s="14"/>
      <c r="D545" s="22"/>
      <c r="E545" s="22"/>
      <c r="H545" s="24"/>
      <c r="I545" s="24"/>
      <c r="K545" s="16"/>
      <c r="L545" s="16"/>
      <c r="M545" s="9"/>
      <c r="S545" s="16"/>
    </row>
    <row r="546" ht="15.75" customHeight="1">
      <c r="B546" s="177"/>
      <c r="C546" s="14"/>
      <c r="D546" s="22"/>
      <c r="E546" s="22"/>
      <c r="H546" s="24"/>
      <c r="I546" s="24"/>
      <c r="K546" s="16"/>
      <c r="L546" s="16"/>
      <c r="M546" s="9"/>
      <c r="S546" s="16"/>
    </row>
    <row r="547" ht="15.75" customHeight="1">
      <c r="B547" s="177"/>
      <c r="C547" s="14"/>
      <c r="D547" s="22"/>
      <c r="E547" s="22"/>
      <c r="H547" s="24"/>
      <c r="I547" s="24"/>
      <c r="K547" s="16"/>
      <c r="L547" s="16"/>
      <c r="M547" s="9"/>
      <c r="S547" s="16"/>
    </row>
    <row r="548" ht="15.75" customHeight="1">
      <c r="B548" s="177"/>
      <c r="C548" s="14"/>
      <c r="D548" s="22"/>
      <c r="E548" s="22"/>
      <c r="H548" s="24"/>
      <c r="I548" s="24"/>
      <c r="K548" s="16"/>
      <c r="L548" s="16"/>
      <c r="M548" s="9"/>
      <c r="S548" s="16"/>
    </row>
    <row r="549" ht="15.75" customHeight="1">
      <c r="B549" s="177"/>
      <c r="C549" s="14"/>
      <c r="D549" s="22"/>
      <c r="E549" s="22"/>
      <c r="H549" s="24"/>
      <c r="I549" s="24"/>
      <c r="K549" s="16"/>
      <c r="L549" s="16"/>
      <c r="M549" s="9"/>
      <c r="S549" s="16"/>
    </row>
    <row r="550" ht="15.75" customHeight="1">
      <c r="B550" s="177"/>
      <c r="C550" s="14"/>
      <c r="D550" s="22"/>
      <c r="E550" s="22"/>
      <c r="H550" s="24"/>
      <c r="I550" s="24"/>
      <c r="K550" s="16"/>
      <c r="L550" s="16"/>
      <c r="M550" s="9"/>
      <c r="S550" s="16"/>
    </row>
    <row r="551" ht="15.75" customHeight="1">
      <c r="B551" s="177"/>
      <c r="C551" s="14"/>
      <c r="D551" s="22"/>
      <c r="E551" s="22"/>
      <c r="H551" s="24"/>
      <c r="I551" s="24"/>
      <c r="K551" s="16"/>
      <c r="L551" s="16"/>
      <c r="M551" s="9"/>
      <c r="S551" s="16"/>
    </row>
    <row r="552" ht="15.75" customHeight="1">
      <c r="B552" s="177"/>
      <c r="C552" s="14"/>
      <c r="D552" s="22"/>
      <c r="E552" s="22"/>
      <c r="H552" s="24"/>
      <c r="I552" s="24"/>
      <c r="K552" s="16"/>
      <c r="L552" s="16"/>
      <c r="M552" s="9"/>
      <c r="S552" s="16"/>
    </row>
    <row r="553" ht="15.75" customHeight="1">
      <c r="B553" s="177"/>
      <c r="C553" s="14"/>
      <c r="D553" s="22"/>
      <c r="E553" s="22"/>
      <c r="H553" s="24"/>
      <c r="I553" s="24"/>
      <c r="K553" s="16"/>
      <c r="L553" s="16"/>
      <c r="M553" s="9"/>
      <c r="S553" s="16"/>
    </row>
    <row r="554" ht="15.75" customHeight="1">
      <c r="B554" s="177"/>
      <c r="C554" s="14"/>
      <c r="D554" s="22"/>
      <c r="E554" s="22"/>
      <c r="H554" s="24"/>
      <c r="I554" s="24"/>
      <c r="K554" s="16"/>
      <c r="L554" s="16"/>
      <c r="M554" s="9"/>
      <c r="S554" s="16"/>
    </row>
    <row r="555" ht="15.75" customHeight="1">
      <c r="B555" s="177"/>
      <c r="C555" s="14"/>
      <c r="D555" s="22"/>
      <c r="E555" s="22"/>
      <c r="H555" s="24"/>
      <c r="I555" s="24"/>
      <c r="K555" s="16"/>
      <c r="L555" s="16"/>
      <c r="M555" s="9"/>
      <c r="S555" s="16"/>
    </row>
    <row r="556" ht="15.75" customHeight="1">
      <c r="B556" s="177"/>
      <c r="C556" s="14"/>
      <c r="D556" s="22"/>
      <c r="E556" s="22"/>
      <c r="H556" s="24"/>
      <c r="I556" s="24"/>
      <c r="K556" s="16"/>
      <c r="L556" s="16"/>
      <c r="M556" s="9"/>
      <c r="S556" s="16"/>
    </row>
    <row r="557" ht="15.75" customHeight="1">
      <c r="B557" s="177"/>
      <c r="C557" s="14"/>
      <c r="D557" s="22"/>
      <c r="E557" s="22"/>
      <c r="H557" s="24"/>
      <c r="I557" s="24"/>
      <c r="K557" s="16"/>
      <c r="L557" s="16"/>
      <c r="M557" s="9"/>
      <c r="S557" s="16"/>
    </row>
    <row r="558" ht="15.75" customHeight="1">
      <c r="B558" s="177"/>
      <c r="C558" s="14"/>
      <c r="D558" s="22"/>
      <c r="E558" s="22"/>
      <c r="H558" s="24"/>
      <c r="I558" s="24"/>
      <c r="K558" s="16"/>
      <c r="L558" s="16"/>
      <c r="M558" s="9"/>
      <c r="S558" s="16"/>
    </row>
    <row r="559" ht="15.75" customHeight="1">
      <c r="B559" s="177"/>
      <c r="C559" s="14"/>
      <c r="D559" s="22"/>
      <c r="E559" s="22"/>
      <c r="H559" s="24"/>
      <c r="I559" s="24"/>
      <c r="K559" s="16"/>
      <c r="L559" s="16"/>
      <c r="M559" s="9"/>
      <c r="S559" s="16"/>
    </row>
    <row r="560" ht="15.75" customHeight="1">
      <c r="B560" s="177"/>
      <c r="C560" s="14"/>
      <c r="D560" s="22"/>
      <c r="E560" s="22"/>
      <c r="H560" s="24"/>
      <c r="I560" s="24"/>
      <c r="K560" s="16"/>
      <c r="L560" s="16"/>
      <c r="M560" s="9"/>
      <c r="S560" s="16"/>
    </row>
    <row r="561" ht="15.75" customHeight="1">
      <c r="B561" s="177"/>
      <c r="C561" s="14"/>
      <c r="D561" s="22"/>
      <c r="E561" s="22"/>
      <c r="H561" s="24"/>
      <c r="I561" s="24"/>
      <c r="K561" s="16"/>
      <c r="L561" s="16"/>
      <c r="M561" s="9"/>
      <c r="S561" s="16"/>
    </row>
    <row r="562" ht="15.75" customHeight="1">
      <c r="B562" s="177"/>
      <c r="C562" s="14"/>
      <c r="D562" s="22"/>
      <c r="E562" s="22"/>
      <c r="H562" s="24"/>
      <c r="I562" s="24"/>
      <c r="K562" s="16"/>
      <c r="L562" s="16"/>
      <c r="M562" s="9"/>
      <c r="S562" s="16"/>
    </row>
    <row r="563" ht="15.75" customHeight="1">
      <c r="B563" s="177"/>
      <c r="C563" s="14"/>
      <c r="D563" s="22"/>
      <c r="E563" s="22"/>
      <c r="H563" s="24"/>
      <c r="I563" s="24"/>
      <c r="K563" s="16"/>
      <c r="L563" s="16"/>
      <c r="M563" s="9"/>
      <c r="S563" s="16"/>
    </row>
    <row r="564" ht="15.75" customHeight="1">
      <c r="B564" s="177"/>
      <c r="C564" s="14"/>
      <c r="D564" s="22"/>
      <c r="E564" s="22"/>
      <c r="H564" s="24"/>
      <c r="I564" s="24"/>
      <c r="K564" s="16"/>
      <c r="L564" s="16"/>
      <c r="M564" s="9"/>
      <c r="S564" s="16"/>
    </row>
    <row r="565" ht="15.75" customHeight="1">
      <c r="B565" s="177"/>
      <c r="C565" s="14"/>
      <c r="D565" s="22"/>
      <c r="E565" s="22"/>
      <c r="H565" s="24"/>
      <c r="I565" s="24"/>
      <c r="K565" s="16"/>
      <c r="L565" s="16"/>
      <c r="M565" s="9"/>
      <c r="S565" s="16"/>
    </row>
    <row r="566" ht="15.75" customHeight="1">
      <c r="B566" s="177"/>
      <c r="C566" s="14"/>
      <c r="D566" s="22"/>
      <c r="E566" s="22"/>
      <c r="H566" s="24"/>
      <c r="I566" s="24"/>
      <c r="K566" s="16"/>
      <c r="L566" s="16"/>
      <c r="M566" s="9"/>
      <c r="S566" s="16"/>
    </row>
    <row r="567" ht="15.75" customHeight="1">
      <c r="B567" s="177"/>
      <c r="C567" s="14"/>
      <c r="D567" s="22"/>
      <c r="E567" s="22"/>
      <c r="H567" s="24"/>
      <c r="I567" s="24"/>
      <c r="K567" s="16"/>
      <c r="L567" s="16"/>
      <c r="M567" s="9"/>
      <c r="S567" s="16"/>
    </row>
    <row r="568" ht="15.75" customHeight="1">
      <c r="B568" s="177"/>
      <c r="C568" s="14"/>
      <c r="D568" s="22"/>
      <c r="E568" s="22"/>
      <c r="H568" s="24"/>
      <c r="I568" s="24"/>
      <c r="K568" s="16"/>
      <c r="L568" s="16"/>
      <c r="M568" s="9"/>
      <c r="S568" s="16"/>
    </row>
    <row r="569" ht="15.75" customHeight="1">
      <c r="B569" s="177"/>
      <c r="C569" s="14"/>
      <c r="D569" s="22"/>
      <c r="E569" s="22"/>
      <c r="H569" s="24"/>
      <c r="I569" s="24"/>
      <c r="K569" s="16"/>
      <c r="L569" s="16"/>
      <c r="M569" s="9"/>
      <c r="S569" s="16"/>
    </row>
    <row r="570" ht="15.75" customHeight="1">
      <c r="B570" s="177"/>
      <c r="C570" s="14"/>
      <c r="D570" s="22"/>
      <c r="E570" s="22"/>
      <c r="H570" s="24"/>
      <c r="I570" s="24"/>
      <c r="K570" s="16"/>
      <c r="L570" s="16"/>
      <c r="M570" s="9"/>
      <c r="S570" s="16"/>
    </row>
    <row r="571" ht="15.75" customHeight="1">
      <c r="B571" s="177"/>
      <c r="C571" s="14"/>
      <c r="D571" s="22"/>
      <c r="E571" s="22"/>
      <c r="H571" s="24"/>
      <c r="I571" s="24"/>
      <c r="K571" s="16"/>
      <c r="L571" s="16"/>
      <c r="M571" s="9"/>
      <c r="S571" s="16"/>
    </row>
    <row r="572" ht="15.75" customHeight="1">
      <c r="B572" s="177"/>
      <c r="C572" s="14"/>
      <c r="D572" s="22"/>
      <c r="E572" s="22"/>
      <c r="H572" s="24"/>
      <c r="I572" s="24"/>
      <c r="K572" s="16"/>
      <c r="L572" s="16"/>
      <c r="M572" s="9"/>
      <c r="S572" s="16"/>
    </row>
    <row r="573" ht="15.75" customHeight="1">
      <c r="B573" s="177"/>
      <c r="C573" s="14"/>
      <c r="D573" s="22"/>
      <c r="E573" s="22"/>
      <c r="H573" s="24"/>
      <c r="I573" s="24"/>
      <c r="K573" s="16"/>
      <c r="L573" s="16"/>
      <c r="M573" s="9"/>
      <c r="S573" s="16"/>
    </row>
    <row r="574" ht="15.75" customHeight="1">
      <c r="B574" s="177"/>
      <c r="C574" s="14"/>
      <c r="D574" s="22"/>
      <c r="E574" s="22"/>
      <c r="H574" s="24"/>
      <c r="I574" s="24"/>
      <c r="K574" s="16"/>
      <c r="L574" s="16"/>
      <c r="M574" s="9"/>
      <c r="S574" s="16"/>
    </row>
    <row r="575" ht="15.75" customHeight="1">
      <c r="B575" s="177"/>
      <c r="C575" s="14"/>
      <c r="D575" s="22"/>
      <c r="E575" s="22"/>
      <c r="H575" s="24"/>
      <c r="I575" s="24"/>
      <c r="K575" s="16"/>
      <c r="L575" s="16"/>
      <c r="M575" s="9"/>
      <c r="S575" s="16"/>
    </row>
    <row r="576" ht="15.75" customHeight="1">
      <c r="B576" s="177"/>
      <c r="C576" s="14"/>
      <c r="D576" s="22"/>
      <c r="E576" s="22"/>
      <c r="H576" s="24"/>
      <c r="I576" s="24"/>
      <c r="K576" s="16"/>
      <c r="L576" s="16"/>
      <c r="M576" s="9"/>
      <c r="S576" s="16"/>
    </row>
    <row r="577" ht="15.75" customHeight="1">
      <c r="B577" s="177"/>
      <c r="C577" s="14"/>
      <c r="D577" s="22"/>
      <c r="E577" s="22"/>
      <c r="H577" s="24"/>
      <c r="I577" s="24"/>
      <c r="K577" s="16"/>
      <c r="L577" s="16"/>
      <c r="M577" s="9"/>
      <c r="S577" s="16"/>
    </row>
    <row r="578" ht="15.75" customHeight="1">
      <c r="B578" s="177"/>
      <c r="C578" s="14"/>
      <c r="D578" s="22"/>
      <c r="E578" s="22"/>
      <c r="H578" s="24"/>
      <c r="I578" s="24"/>
      <c r="K578" s="16"/>
      <c r="L578" s="16"/>
      <c r="M578" s="9"/>
      <c r="S578" s="16"/>
    </row>
    <row r="579" ht="15.75" customHeight="1">
      <c r="B579" s="177"/>
      <c r="C579" s="14"/>
      <c r="D579" s="22"/>
      <c r="E579" s="22"/>
      <c r="H579" s="24"/>
      <c r="I579" s="24"/>
      <c r="K579" s="16"/>
      <c r="L579" s="16"/>
      <c r="M579" s="9"/>
      <c r="S579" s="16"/>
    </row>
    <row r="580" ht="15.75" customHeight="1">
      <c r="B580" s="177"/>
      <c r="C580" s="14"/>
      <c r="D580" s="22"/>
      <c r="E580" s="22"/>
      <c r="H580" s="24"/>
      <c r="I580" s="24"/>
      <c r="K580" s="16"/>
      <c r="L580" s="16"/>
      <c r="M580" s="9"/>
      <c r="S580" s="16"/>
    </row>
    <row r="581" ht="15.75" customHeight="1">
      <c r="B581" s="177"/>
      <c r="C581" s="14"/>
      <c r="D581" s="22"/>
      <c r="E581" s="22"/>
      <c r="H581" s="24"/>
      <c r="I581" s="24"/>
      <c r="K581" s="16"/>
      <c r="L581" s="16"/>
      <c r="M581" s="9"/>
      <c r="S581" s="16"/>
    </row>
    <row r="582" ht="15.75" customHeight="1">
      <c r="B582" s="177"/>
      <c r="C582" s="14"/>
      <c r="D582" s="22"/>
      <c r="E582" s="22"/>
      <c r="H582" s="24"/>
      <c r="I582" s="24"/>
      <c r="K582" s="16"/>
      <c r="L582" s="16"/>
      <c r="M582" s="9"/>
      <c r="S582" s="16"/>
    </row>
    <row r="583" ht="15.75" customHeight="1">
      <c r="B583" s="177"/>
      <c r="C583" s="14"/>
      <c r="D583" s="22"/>
      <c r="E583" s="22"/>
      <c r="H583" s="24"/>
      <c r="I583" s="24"/>
      <c r="K583" s="16"/>
      <c r="L583" s="16"/>
      <c r="M583" s="9"/>
      <c r="S583" s="16"/>
    </row>
    <row r="584" ht="15.75" customHeight="1">
      <c r="B584" s="177"/>
      <c r="C584" s="14"/>
      <c r="D584" s="22"/>
      <c r="E584" s="22"/>
      <c r="H584" s="24"/>
      <c r="I584" s="24"/>
      <c r="K584" s="16"/>
      <c r="L584" s="16"/>
      <c r="M584" s="9"/>
      <c r="S584" s="16"/>
    </row>
    <row r="585" ht="15.75" customHeight="1">
      <c r="B585" s="177"/>
      <c r="C585" s="14"/>
      <c r="D585" s="22"/>
      <c r="E585" s="22"/>
      <c r="H585" s="24"/>
      <c r="I585" s="24"/>
      <c r="K585" s="16"/>
      <c r="L585" s="16"/>
      <c r="M585" s="9"/>
      <c r="S585" s="16"/>
    </row>
    <row r="586" ht="15.75" customHeight="1">
      <c r="B586" s="177"/>
      <c r="C586" s="14"/>
      <c r="D586" s="22"/>
      <c r="E586" s="22"/>
      <c r="H586" s="24"/>
      <c r="I586" s="24"/>
      <c r="K586" s="16"/>
      <c r="L586" s="16"/>
      <c r="M586" s="9"/>
      <c r="S586" s="16"/>
    </row>
    <row r="587" ht="15.75" customHeight="1">
      <c r="B587" s="177"/>
      <c r="C587" s="14"/>
      <c r="D587" s="22"/>
      <c r="E587" s="22"/>
      <c r="H587" s="24"/>
      <c r="I587" s="24"/>
      <c r="K587" s="16"/>
      <c r="L587" s="16"/>
      <c r="M587" s="9"/>
      <c r="S587" s="16"/>
    </row>
    <row r="588" ht="15.75" customHeight="1">
      <c r="B588" s="177"/>
      <c r="C588" s="14"/>
      <c r="D588" s="22"/>
      <c r="E588" s="22"/>
      <c r="H588" s="24"/>
      <c r="I588" s="24"/>
      <c r="K588" s="16"/>
      <c r="L588" s="16"/>
      <c r="M588" s="9"/>
      <c r="S588" s="16"/>
    </row>
    <row r="589" ht="15.75" customHeight="1">
      <c r="B589" s="177"/>
      <c r="C589" s="14"/>
      <c r="D589" s="22"/>
      <c r="E589" s="22"/>
      <c r="H589" s="24"/>
      <c r="I589" s="24"/>
      <c r="K589" s="16"/>
      <c r="L589" s="16"/>
      <c r="M589" s="9"/>
      <c r="S589" s="16"/>
    </row>
    <row r="590" ht="15.75" customHeight="1">
      <c r="B590" s="177"/>
      <c r="C590" s="14"/>
      <c r="D590" s="22"/>
      <c r="E590" s="22"/>
      <c r="H590" s="24"/>
      <c r="I590" s="24"/>
      <c r="K590" s="16"/>
      <c r="L590" s="16"/>
      <c r="M590" s="9"/>
      <c r="S590" s="16"/>
    </row>
    <row r="591" ht="15.75" customHeight="1">
      <c r="B591" s="177"/>
      <c r="C591" s="14"/>
      <c r="D591" s="22"/>
      <c r="E591" s="22"/>
      <c r="H591" s="24"/>
      <c r="I591" s="24"/>
      <c r="K591" s="16"/>
      <c r="L591" s="16"/>
      <c r="M591" s="9"/>
      <c r="S591" s="16"/>
    </row>
    <row r="592" ht="15.75" customHeight="1">
      <c r="B592" s="177"/>
      <c r="C592" s="14"/>
      <c r="D592" s="22"/>
      <c r="E592" s="22"/>
      <c r="H592" s="24"/>
      <c r="I592" s="24"/>
      <c r="K592" s="16"/>
      <c r="L592" s="16"/>
      <c r="M592" s="9"/>
      <c r="S592" s="16"/>
    </row>
    <row r="593" ht="15.75" customHeight="1">
      <c r="B593" s="177"/>
      <c r="C593" s="14"/>
      <c r="D593" s="22"/>
      <c r="E593" s="22"/>
      <c r="H593" s="24"/>
      <c r="I593" s="24"/>
      <c r="K593" s="16"/>
      <c r="L593" s="16"/>
      <c r="M593" s="9"/>
      <c r="S593" s="16"/>
    </row>
    <row r="594" ht="15.75" customHeight="1">
      <c r="B594" s="177"/>
      <c r="C594" s="14"/>
      <c r="D594" s="22"/>
      <c r="E594" s="22"/>
      <c r="H594" s="24"/>
      <c r="I594" s="24"/>
      <c r="K594" s="16"/>
      <c r="L594" s="16"/>
      <c r="M594" s="9"/>
      <c r="S594" s="16"/>
    </row>
    <row r="595" ht="15.75" customHeight="1">
      <c r="B595" s="177"/>
      <c r="C595" s="14"/>
      <c r="D595" s="22"/>
      <c r="E595" s="22"/>
      <c r="H595" s="24"/>
      <c r="I595" s="24"/>
      <c r="K595" s="16"/>
      <c r="L595" s="16"/>
      <c r="M595" s="9"/>
      <c r="S595" s="16"/>
    </row>
    <row r="596" ht="15.75" customHeight="1">
      <c r="B596" s="177"/>
      <c r="C596" s="14"/>
      <c r="D596" s="22"/>
      <c r="E596" s="22"/>
      <c r="H596" s="24"/>
      <c r="I596" s="24"/>
      <c r="K596" s="16"/>
      <c r="L596" s="16"/>
      <c r="M596" s="9"/>
      <c r="S596" s="16"/>
    </row>
    <row r="597" ht="15.75" customHeight="1">
      <c r="B597" s="177"/>
      <c r="C597" s="14"/>
      <c r="D597" s="22"/>
      <c r="E597" s="22"/>
      <c r="H597" s="24"/>
      <c r="I597" s="24"/>
      <c r="K597" s="16"/>
      <c r="L597" s="16"/>
      <c r="M597" s="9"/>
      <c r="S597" s="16"/>
    </row>
    <row r="598" ht="15.75" customHeight="1">
      <c r="B598" s="177"/>
      <c r="C598" s="14"/>
      <c r="D598" s="22"/>
      <c r="E598" s="22"/>
      <c r="H598" s="24"/>
      <c r="I598" s="24"/>
      <c r="K598" s="16"/>
      <c r="L598" s="16"/>
      <c r="M598" s="9"/>
      <c r="S598" s="16"/>
    </row>
    <row r="599" ht="15.75" customHeight="1">
      <c r="B599" s="177"/>
      <c r="C599" s="14"/>
      <c r="D599" s="22"/>
      <c r="E599" s="22"/>
      <c r="H599" s="24"/>
      <c r="I599" s="24"/>
      <c r="K599" s="16"/>
      <c r="L599" s="16"/>
      <c r="M599" s="9"/>
      <c r="S599" s="16"/>
    </row>
    <row r="600" ht="15.75" customHeight="1">
      <c r="B600" s="177"/>
      <c r="C600" s="14"/>
      <c r="D600" s="22"/>
      <c r="E600" s="22"/>
      <c r="H600" s="24"/>
      <c r="I600" s="24"/>
      <c r="K600" s="16"/>
      <c r="L600" s="16"/>
      <c r="M600" s="9"/>
      <c r="S600" s="16"/>
    </row>
    <row r="601" ht="15.75" customHeight="1">
      <c r="B601" s="177"/>
      <c r="C601" s="14"/>
      <c r="D601" s="22"/>
      <c r="E601" s="22"/>
      <c r="H601" s="24"/>
      <c r="I601" s="24"/>
      <c r="K601" s="16"/>
      <c r="L601" s="16"/>
      <c r="M601" s="9"/>
      <c r="S601" s="16"/>
    </row>
    <row r="602" ht="15.75" customHeight="1">
      <c r="B602" s="177"/>
      <c r="C602" s="14"/>
      <c r="D602" s="22"/>
      <c r="E602" s="22"/>
      <c r="H602" s="24"/>
      <c r="I602" s="24"/>
      <c r="K602" s="16"/>
      <c r="L602" s="16"/>
      <c r="M602" s="9"/>
      <c r="S602" s="16"/>
    </row>
    <row r="603" ht="15.75" customHeight="1">
      <c r="B603" s="177"/>
      <c r="C603" s="14"/>
      <c r="D603" s="22"/>
      <c r="E603" s="22"/>
      <c r="H603" s="24"/>
      <c r="I603" s="24"/>
      <c r="K603" s="16"/>
      <c r="L603" s="16"/>
      <c r="M603" s="9"/>
      <c r="S603" s="16"/>
    </row>
    <row r="604" ht="15.75" customHeight="1">
      <c r="B604" s="177"/>
      <c r="C604" s="14"/>
      <c r="D604" s="22"/>
      <c r="E604" s="22"/>
      <c r="H604" s="24"/>
      <c r="I604" s="24"/>
      <c r="K604" s="16"/>
      <c r="L604" s="16"/>
      <c r="M604" s="9"/>
      <c r="S604" s="16"/>
    </row>
    <row r="605" ht="15.75" customHeight="1">
      <c r="B605" s="177"/>
      <c r="C605" s="14"/>
      <c r="D605" s="22"/>
      <c r="E605" s="22"/>
      <c r="H605" s="24"/>
      <c r="I605" s="24"/>
      <c r="K605" s="16"/>
      <c r="L605" s="16"/>
      <c r="M605" s="9"/>
      <c r="S605" s="16"/>
    </row>
    <row r="606" ht="15.75" customHeight="1">
      <c r="B606" s="177"/>
      <c r="C606" s="14"/>
      <c r="D606" s="22"/>
      <c r="E606" s="22"/>
      <c r="H606" s="24"/>
      <c r="I606" s="24"/>
      <c r="K606" s="16"/>
      <c r="L606" s="16"/>
      <c r="M606" s="9"/>
      <c r="S606" s="16"/>
    </row>
    <row r="607" ht="15.75" customHeight="1">
      <c r="B607" s="177"/>
      <c r="C607" s="14"/>
      <c r="D607" s="22"/>
      <c r="E607" s="22"/>
      <c r="H607" s="24"/>
      <c r="I607" s="24"/>
      <c r="K607" s="16"/>
      <c r="L607" s="16"/>
      <c r="M607" s="9"/>
      <c r="S607" s="16"/>
    </row>
    <row r="608" ht="15.75" customHeight="1">
      <c r="B608" s="177"/>
      <c r="C608" s="14"/>
      <c r="D608" s="22"/>
      <c r="E608" s="22"/>
      <c r="H608" s="24"/>
      <c r="I608" s="24"/>
      <c r="K608" s="16"/>
      <c r="L608" s="16"/>
      <c r="M608" s="9"/>
      <c r="S608" s="16"/>
    </row>
    <row r="609" ht="15.75" customHeight="1">
      <c r="B609" s="177"/>
      <c r="C609" s="14"/>
      <c r="D609" s="22"/>
      <c r="E609" s="22"/>
      <c r="H609" s="24"/>
      <c r="I609" s="24"/>
      <c r="K609" s="16"/>
      <c r="L609" s="16"/>
      <c r="M609" s="9"/>
      <c r="S609" s="16"/>
    </row>
    <row r="610" ht="15.75" customHeight="1">
      <c r="B610" s="177"/>
      <c r="C610" s="14"/>
      <c r="D610" s="22"/>
      <c r="E610" s="22"/>
      <c r="H610" s="24"/>
      <c r="I610" s="24"/>
      <c r="K610" s="16"/>
      <c r="L610" s="16"/>
      <c r="M610" s="9"/>
      <c r="S610" s="16"/>
    </row>
    <row r="611" ht="15.75" customHeight="1">
      <c r="B611" s="177"/>
      <c r="C611" s="14"/>
      <c r="D611" s="22"/>
      <c r="E611" s="22"/>
      <c r="H611" s="24"/>
      <c r="I611" s="24"/>
      <c r="K611" s="16"/>
      <c r="L611" s="16"/>
      <c r="M611" s="9"/>
      <c r="S611" s="16"/>
    </row>
    <row r="612" ht="15.75" customHeight="1">
      <c r="B612" s="177"/>
      <c r="C612" s="14"/>
      <c r="D612" s="22"/>
      <c r="E612" s="22"/>
      <c r="H612" s="24"/>
      <c r="I612" s="24"/>
      <c r="K612" s="16"/>
      <c r="L612" s="16"/>
      <c r="M612" s="9"/>
      <c r="S612" s="16"/>
    </row>
    <row r="613" ht="15.75" customHeight="1">
      <c r="B613" s="177"/>
      <c r="C613" s="14"/>
      <c r="D613" s="22"/>
      <c r="E613" s="22"/>
      <c r="H613" s="24"/>
      <c r="I613" s="24"/>
      <c r="K613" s="16"/>
      <c r="L613" s="16"/>
      <c r="M613" s="9"/>
      <c r="S613" s="16"/>
    </row>
    <row r="614" ht="15.75" customHeight="1">
      <c r="B614" s="177"/>
      <c r="C614" s="14"/>
      <c r="D614" s="22"/>
      <c r="E614" s="22"/>
      <c r="H614" s="24"/>
      <c r="I614" s="24"/>
      <c r="K614" s="16"/>
      <c r="L614" s="16"/>
      <c r="M614" s="9"/>
      <c r="S614" s="16"/>
    </row>
    <row r="615" ht="15.75" customHeight="1">
      <c r="B615" s="177"/>
      <c r="C615" s="14"/>
      <c r="D615" s="22"/>
      <c r="E615" s="22"/>
      <c r="H615" s="24"/>
      <c r="I615" s="24"/>
      <c r="K615" s="16"/>
      <c r="L615" s="16"/>
      <c r="M615" s="9"/>
      <c r="S615" s="16"/>
    </row>
    <row r="616" ht="15.75" customHeight="1">
      <c r="B616" s="177"/>
      <c r="C616" s="14"/>
      <c r="D616" s="22"/>
      <c r="E616" s="22"/>
      <c r="H616" s="24"/>
      <c r="I616" s="24"/>
      <c r="K616" s="16"/>
      <c r="L616" s="16"/>
      <c r="M616" s="9"/>
      <c r="S616" s="16"/>
    </row>
    <row r="617" ht="15.75" customHeight="1">
      <c r="B617" s="177"/>
      <c r="C617" s="14"/>
      <c r="D617" s="22"/>
      <c r="E617" s="22"/>
      <c r="H617" s="24"/>
      <c r="I617" s="24"/>
      <c r="K617" s="16"/>
      <c r="L617" s="16"/>
      <c r="M617" s="9"/>
      <c r="S617" s="16"/>
    </row>
    <row r="618" ht="15.75" customHeight="1">
      <c r="B618" s="177"/>
      <c r="C618" s="14"/>
      <c r="D618" s="22"/>
      <c r="E618" s="22"/>
      <c r="H618" s="24"/>
      <c r="I618" s="24"/>
      <c r="K618" s="16"/>
      <c r="L618" s="16"/>
      <c r="M618" s="9"/>
      <c r="S618" s="16"/>
    </row>
    <row r="619" ht="15.75" customHeight="1">
      <c r="B619" s="177"/>
      <c r="C619" s="14"/>
      <c r="D619" s="22"/>
      <c r="E619" s="22"/>
      <c r="H619" s="24"/>
      <c r="I619" s="24"/>
      <c r="K619" s="16"/>
      <c r="L619" s="16"/>
      <c r="M619" s="9"/>
      <c r="S619" s="16"/>
    </row>
    <row r="620" ht="15.75" customHeight="1">
      <c r="B620" s="177"/>
      <c r="C620" s="14"/>
      <c r="D620" s="22"/>
      <c r="E620" s="22"/>
      <c r="H620" s="24"/>
      <c r="I620" s="24"/>
      <c r="K620" s="16"/>
      <c r="L620" s="16"/>
      <c r="M620" s="9"/>
      <c r="S620" s="16"/>
    </row>
    <row r="621" ht="15.75" customHeight="1">
      <c r="B621" s="177"/>
      <c r="C621" s="14"/>
      <c r="D621" s="22"/>
      <c r="E621" s="22"/>
      <c r="H621" s="24"/>
      <c r="I621" s="24"/>
      <c r="K621" s="16"/>
      <c r="L621" s="16"/>
      <c r="M621" s="9"/>
      <c r="S621" s="16"/>
    </row>
    <row r="622" ht="15.75" customHeight="1">
      <c r="B622" s="177"/>
      <c r="C622" s="14"/>
      <c r="D622" s="22"/>
      <c r="E622" s="22"/>
      <c r="H622" s="24"/>
      <c r="I622" s="24"/>
      <c r="K622" s="16"/>
      <c r="L622" s="16"/>
      <c r="M622" s="9"/>
      <c r="S622" s="16"/>
    </row>
    <row r="623" ht="15.75" customHeight="1">
      <c r="B623" s="177"/>
      <c r="C623" s="14"/>
      <c r="D623" s="22"/>
      <c r="E623" s="22"/>
      <c r="H623" s="24"/>
      <c r="I623" s="24"/>
      <c r="K623" s="16"/>
      <c r="L623" s="16"/>
      <c r="M623" s="9"/>
      <c r="S623" s="16"/>
    </row>
    <row r="624" ht="15.75" customHeight="1">
      <c r="B624" s="177"/>
      <c r="C624" s="14"/>
      <c r="D624" s="22"/>
      <c r="E624" s="22"/>
      <c r="H624" s="24"/>
      <c r="I624" s="24"/>
      <c r="K624" s="16"/>
      <c r="L624" s="16"/>
      <c r="M624" s="9"/>
      <c r="S624" s="16"/>
    </row>
    <row r="625" ht="15.75" customHeight="1">
      <c r="B625" s="177"/>
      <c r="C625" s="14"/>
      <c r="D625" s="22"/>
      <c r="E625" s="22"/>
      <c r="H625" s="24"/>
      <c r="I625" s="24"/>
      <c r="K625" s="16"/>
      <c r="L625" s="16"/>
      <c r="M625" s="9"/>
      <c r="S625" s="16"/>
    </row>
    <row r="626" ht="15.75" customHeight="1">
      <c r="B626" s="177"/>
      <c r="C626" s="14"/>
      <c r="D626" s="22"/>
      <c r="E626" s="22"/>
      <c r="H626" s="24"/>
      <c r="I626" s="24"/>
      <c r="K626" s="16"/>
      <c r="L626" s="16"/>
      <c r="M626" s="9"/>
      <c r="S626" s="16"/>
    </row>
    <row r="627" ht="15.75" customHeight="1">
      <c r="B627" s="177"/>
      <c r="C627" s="14"/>
      <c r="D627" s="22"/>
      <c r="E627" s="22"/>
      <c r="H627" s="24"/>
      <c r="I627" s="24"/>
      <c r="K627" s="16"/>
      <c r="L627" s="16"/>
      <c r="M627" s="9"/>
      <c r="S627" s="16"/>
    </row>
    <row r="628" ht="15.75" customHeight="1">
      <c r="B628" s="177"/>
      <c r="C628" s="14"/>
      <c r="D628" s="22"/>
      <c r="E628" s="22"/>
      <c r="H628" s="24"/>
      <c r="I628" s="24"/>
      <c r="K628" s="16"/>
      <c r="L628" s="16"/>
      <c r="M628" s="9"/>
      <c r="S628" s="16"/>
    </row>
    <row r="629" ht="15.75" customHeight="1">
      <c r="B629" s="177"/>
      <c r="C629" s="14"/>
      <c r="D629" s="22"/>
      <c r="E629" s="22"/>
      <c r="H629" s="24"/>
      <c r="I629" s="24"/>
      <c r="K629" s="16"/>
      <c r="L629" s="16"/>
      <c r="M629" s="9"/>
      <c r="S629" s="16"/>
    </row>
    <row r="630" ht="15.75" customHeight="1">
      <c r="B630" s="177"/>
      <c r="C630" s="14"/>
      <c r="D630" s="22"/>
      <c r="E630" s="22"/>
      <c r="H630" s="24"/>
      <c r="I630" s="24"/>
      <c r="K630" s="16"/>
      <c r="L630" s="16"/>
      <c r="M630" s="9"/>
      <c r="S630" s="16"/>
    </row>
    <row r="631" ht="15.75" customHeight="1">
      <c r="B631" s="177"/>
      <c r="C631" s="14"/>
      <c r="D631" s="22"/>
      <c r="E631" s="22"/>
      <c r="H631" s="24"/>
      <c r="I631" s="24"/>
      <c r="K631" s="16"/>
      <c r="L631" s="16"/>
      <c r="M631" s="9"/>
      <c r="S631" s="16"/>
    </row>
    <row r="632" ht="15.75" customHeight="1">
      <c r="B632" s="177"/>
      <c r="C632" s="14"/>
      <c r="D632" s="22"/>
      <c r="E632" s="22"/>
      <c r="H632" s="24"/>
      <c r="I632" s="24"/>
      <c r="K632" s="16"/>
      <c r="L632" s="16"/>
      <c r="M632" s="9"/>
      <c r="S632" s="16"/>
    </row>
    <row r="633" ht="15.75" customHeight="1">
      <c r="B633" s="177"/>
      <c r="C633" s="14"/>
      <c r="D633" s="22"/>
      <c r="E633" s="22"/>
      <c r="H633" s="24"/>
      <c r="I633" s="24"/>
      <c r="K633" s="16"/>
      <c r="L633" s="16"/>
      <c r="M633" s="9"/>
      <c r="S633" s="16"/>
    </row>
    <row r="634" ht="15.75" customHeight="1">
      <c r="B634" s="177"/>
      <c r="C634" s="14"/>
      <c r="D634" s="22"/>
      <c r="E634" s="22"/>
      <c r="H634" s="24"/>
      <c r="I634" s="24"/>
      <c r="K634" s="16"/>
      <c r="L634" s="16"/>
      <c r="M634" s="9"/>
      <c r="S634" s="16"/>
    </row>
    <row r="635" ht="15.75" customHeight="1">
      <c r="B635" s="177"/>
      <c r="C635" s="14"/>
      <c r="D635" s="22"/>
      <c r="E635" s="22"/>
      <c r="H635" s="24"/>
      <c r="I635" s="24"/>
      <c r="K635" s="16"/>
      <c r="L635" s="16"/>
      <c r="M635" s="9"/>
      <c r="S635" s="16"/>
    </row>
    <row r="636" ht="15.75" customHeight="1">
      <c r="B636" s="177"/>
      <c r="C636" s="14"/>
      <c r="D636" s="22"/>
      <c r="E636" s="22"/>
      <c r="H636" s="24"/>
      <c r="I636" s="24"/>
      <c r="K636" s="16"/>
      <c r="L636" s="16"/>
      <c r="M636" s="9"/>
      <c r="S636" s="16"/>
    </row>
    <row r="637" ht="15.75" customHeight="1">
      <c r="B637" s="177"/>
      <c r="C637" s="14"/>
      <c r="D637" s="22"/>
      <c r="E637" s="22"/>
      <c r="H637" s="24"/>
      <c r="I637" s="24"/>
      <c r="K637" s="16"/>
      <c r="L637" s="16"/>
      <c r="M637" s="9"/>
      <c r="S637" s="16"/>
    </row>
    <row r="638" ht="15.75" customHeight="1">
      <c r="B638" s="177"/>
      <c r="C638" s="14"/>
      <c r="D638" s="22"/>
      <c r="E638" s="22"/>
      <c r="H638" s="24"/>
      <c r="I638" s="24"/>
      <c r="K638" s="16"/>
      <c r="L638" s="16"/>
      <c r="M638" s="9"/>
      <c r="S638" s="16"/>
    </row>
    <row r="639" ht="15.75" customHeight="1">
      <c r="B639" s="177"/>
      <c r="C639" s="14"/>
      <c r="D639" s="22"/>
      <c r="E639" s="22"/>
      <c r="H639" s="24"/>
      <c r="I639" s="24"/>
      <c r="K639" s="16"/>
      <c r="L639" s="16"/>
      <c r="M639" s="9"/>
      <c r="S639" s="16"/>
    </row>
    <row r="640" ht="15.75" customHeight="1">
      <c r="B640" s="177"/>
      <c r="C640" s="14"/>
      <c r="D640" s="22"/>
      <c r="E640" s="22"/>
      <c r="H640" s="24"/>
      <c r="I640" s="24"/>
      <c r="K640" s="16"/>
      <c r="L640" s="16"/>
      <c r="M640" s="9"/>
      <c r="S640" s="16"/>
    </row>
    <row r="641" ht="15.75" customHeight="1">
      <c r="B641" s="177"/>
      <c r="C641" s="14"/>
      <c r="D641" s="22"/>
      <c r="E641" s="22"/>
      <c r="H641" s="24"/>
      <c r="I641" s="24"/>
      <c r="K641" s="16"/>
      <c r="L641" s="16"/>
      <c r="M641" s="9"/>
      <c r="S641" s="16"/>
    </row>
    <row r="642" ht="15.75" customHeight="1">
      <c r="B642" s="177"/>
      <c r="C642" s="14"/>
      <c r="D642" s="22"/>
      <c r="E642" s="22"/>
      <c r="H642" s="24"/>
      <c r="I642" s="24"/>
      <c r="K642" s="16"/>
      <c r="L642" s="16"/>
      <c r="M642" s="9"/>
      <c r="S642" s="16"/>
    </row>
    <row r="643" ht="15.75" customHeight="1">
      <c r="B643" s="177"/>
      <c r="C643" s="14"/>
      <c r="D643" s="22"/>
      <c r="E643" s="22"/>
      <c r="H643" s="24"/>
      <c r="I643" s="24"/>
      <c r="K643" s="16"/>
      <c r="L643" s="16"/>
      <c r="M643" s="9"/>
      <c r="S643" s="16"/>
    </row>
    <row r="644" ht="15.75" customHeight="1">
      <c r="B644" s="177"/>
      <c r="C644" s="14"/>
      <c r="D644" s="22"/>
      <c r="E644" s="22"/>
      <c r="H644" s="24"/>
      <c r="I644" s="24"/>
      <c r="K644" s="16"/>
      <c r="L644" s="16"/>
      <c r="M644" s="9"/>
      <c r="S644" s="16"/>
    </row>
    <row r="645" ht="15.75" customHeight="1">
      <c r="B645" s="177"/>
      <c r="C645" s="14"/>
      <c r="D645" s="22"/>
      <c r="E645" s="22"/>
      <c r="H645" s="24"/>
      <c r="I645" s="24"/>
      <c r="K645" s="16"/>
      <c r="L645" s="16"/>
      <c r="M645" s="9"/>
      <c r="S645" s="16"/>
    </row>
    <row r="646" ht="15.75" customHeight="1">
      <c r="B646" s="177"/>
      <c r="C646" s="14"/>
      <c r="D646" s="22"/>
      <c r="E646" s="22"/>
      <c r="H646" s="24"/>
      <c r="I646" s="24"/>
      <c r="K646" s="16"/>
      <c r="L646" s="16"/>
      <c r="M646" s="9"/>
      <c r="S646" s="16"/>
    </row>
    <row r="647" ht="15.75" customHeight="1">
      <c r="B647" s="177"/>
      <c r="C647" s="14"/>
      <c r="D647" s="22"/>
      <c r="E647" s="22"/>
      <c r="H647" s="24"/>
      <c r="I647" s="24"/>
      <c r="K647" s="16"/>
      <c r="L647" s="16"/>
      <c r="M647" s="9"/>
      <c r="S647" s="16"/>
    </row>
    <row r="648" ht="15.75" customHeight="1">
      <c r="B648" s="177"/>
      <c r="C648" s="14"/>
      <c r="D648" s="22"/>
      <c r="E648" s="22"/>
      <c r="H648" s="24"/>
      <c r="I648" s="24"/>
      <c r="K648" s="16"/>
      <c r="L648" s="16"/>
      <c r="M648" s="9"/>
      <c r="S648" s="16"/>
    </row>
    <row r="649" ht="15.75" customHeight="1">
      <c r="B649" s="177"/>
      <c r="C649" s="14"/>
      <c r="D649" s="22"/>
      <c r="E649" s="22"/>
      <c r="H649" s="24"/>
      <c r="I649" s="24"/>
      <c r="K649" s="16"/>
      <c r="L649" s="16"/>
      <c r="M649" s="9"/>
      <c r="S649" s="16"/>
    </row>
    <row r="650" ht="15.75" customHeight="1">
      <c r="B650" s="177"/>
      <c r="C650" s="14"/>
      <c r="D650" s="22"/>
      <c r="E650" s="22"/>
      <c r="H650" s="24"/>
      <c r="I650" s="24"/>
      <c r="K650" s="16"/>
      <c r="L650" s="16"/>
      <c r="M650" s="9"/>
      <c r="S650" s="16"/>
    </row>
    <row r="651" ht="15.75" customHeight="1">
      <c r="B651" s="177"/>
      <c r="C651" s="14"/>
      <c r="D651" s="22"/>
      <c r="E651" s="22"/>
      <c r="H651" s="24"/>
      <c r="I651" s="24"/>
      <c r="K651" s="16"/>
      <c r="L651" s="16"/>
      <c r="M651" s="9"/>
      <c r="S651" s="16"/>
    </row>
    <row r="652" ht="15.75" customHeight="1">
      <c r="B652" s="177"/>
      <c r="C652" s="14"/>
      <c r="D652" s="22"/>
      <c r="E652" s="22"/>
      <c r="H652" s="24"/>
      <c r="I652" s="24"/>
      <c r="K652" s="16"/>
      <c r="L652" s="16"/>
      <c r="M652" s="9"/>
      <c r="S652" s="16"/>
    </row>
    <row r="653" ht="15.75" customHeight="1">
      <c r="B653" s="177"/>
      <c r="C653" s="14"/>
      <c r="D653" s="22"/>
      <c r="E653" s="22"/>
      <c r="H653" s="24"/>
      <c r="I653" s="24"/>
      <c r="K653" s="16"/>
      <c r="L653" s="16"/>
      <c r="M653" s="9"/>
      <c r="S653" s="16"/>
    </row>
    <row r="654" ht="15.75" customHeight="1">
      <c r="B654" s="177"/>
      <c r="C654" s="14"/>
      <c r="D654" s="22"/>
      <c r="E654" s="22"/>
      <c r="H654" s="24"/>
      <c r="I654" s="24"/>
      <c r="K654" s="16"/>
      <c r="L654" s="16"/>
      <c r="M654" s="9"/>
      <c r="S654" s="16"/>
    </row>
    <row r="655" ht="15.75" customHeight="1">
      <c r="B655" s="177"/>
      <c r="C655" s="14"/>
      <c r="D655" s="22"/>
      <c r="E655" s="22"/>
      <c r="H655" s="24"/>
      <c r="I655" s="24"/>
      <c r="K655" s="16"/>
      <c r="L655" s="16"/>
      <c r="M655" s="9"/>
      <c r="S655" s="16"/>
    </row>
    <row r="656" ht="15.75" customHeight="1">
      <c r="B656" s="177"/>
      <c r="C656" s="14"/>
      <c r="D656" s="22"/>
      <c r="E656" s="22"/>
      <c r="H656" s="24"/>
      <c r="I656" s="24"/>
      <c r="K656" s="16"/>
      <c r="L656" s="16"/>
      <c r="M656" s="9"/>
      <c r="S656" s="16"/>
    </row>
    <row r="657" ht="15.75" customHeight="1">
      <c r="B657" s="177"/>
      <c r="C657" s="14"/>
      <c r="D657" s="22"/>
      <c r="E657" s="22"/>
      <c r="H657" s="24"/>
      <c r="I657" s="24"/>
      <c r="K657" s="16"/>
      <c r="L657" s="16"/>
      <c r="M657" s="9"/>
      <c r="S657" s="16"/>
    </row>
    <row r="658" ht="15.75" customHeight="1">
      <c r="B658" s="177"/>
      <c r="C658" s="14"/>
      <c r="D658" s="22"/>
      <c r="E658" s="22"/>
      <c r="H658" s="24"/>
      <c r="I658" s="24"/>
      <c r="K658" s="16"/>
      <c r="L658" s="16"/>
      <c r="M658" s="9"/>
      <c r="S658" s="16"/>
    </row>
    <row r="659" ht="15.75" customHeight="1">
      <c r="B659" s="177"/>
      <c r="C659" s="14"/>
      <c r="D659" s="22"/>
      <c r="E659" s="22"/>
      <c r="H659" s="24"/>
      <c r="I659" s="24"/>
      <c r="K659" s="16"/>
      <c r="L659" s="16"/>
      <c r="M659" s="9"/>
      <c r="S659" s="16"/>
    </row>
    <row r="660" ht="15.75" customHeight="1">
      <c r="B660" s="177"/>
      <c r="C660" s="14"/>
      <c r="D660" s="22"/>
      <c r="E660" s="22"/>
      <c r="H660" s="24"/>
      <c r="I660" s="24"/>
      <c r="K660" s="16"/>
      <c r="L660" s="16"/>
      <c r="M660" s="9"/>
      <c r="S660" s="16"/>
    </row>
    <row r="661" ht="15.75" customHeight="1">
      <c r="B661" s="177"/>
      <c r="C661" s="14"/>
      <c r="D661" s="22"/>
      <c r="E661" s="22"/>
      <c r="H661" s="24"/>
      <c r="I661" s="24"/>
      <c r="K661" s="16"/>
      <c r="L661" s="16"/>
      <c r="M661" s="9"/>
      <c r="S661" s="16"/>
    </row>
    <row r="662" ht="15.75" customHeight="1">
      <c r="B662" s="177"/>
      <c r="C662" s="14"/>
      <c r="D662" s="22"/>
      <c r="E662" s="22"/>
      <c r="H662" s="24"/>
      <c r="I662" s="24"/>
      <c r="K662" s="16"/>
      <c r="L662" s="16"/>
      <c r="M662" s="9"/>
      <c r="S662" s="16"/>
    </row>
    <row r="663" ht="15.75" customHeight="1">
      <c r="B663" s="177"/>
      <c r="C663" s="14"/>
      <c r="D663" s="22"/>
      <c r="E663" s="22"/>
      <c r="H663" s="24"/>
      <c r="I663" s="24"/>
      <c r="K663" s="16"/>
      <c r="L663" s="16"/>
      <c r="M663" s="9"/>
      <c r="S663" s="16"/>
    </row>
    <row r="664" ht="15.75" customHeight="1">
      <c r="B664" s="177"/>
      <c r="C664" s="14"/>
      <c r="D664" s="22"/>
      <c r="E664" s="22"/>
      <c r="H664" s="24"/>
      <c r="I664" s="24"/>
      <c r="K664" s="16"/>
      <c r="L664" s="16"/>
      <c r="M664" s="9"/>
      <c r="S664" s="16"/>
    </row>
    <row r="665" ht="15.75" customHeight="1">
      <c r="B665" s="177"/>
      <c r="C665" s="14"/>
      <c r="D665" s="22"/>
      <c r="E665" s="22"/>
      <c r="H665" s="24"/>
      <c r="I665" s="24"/>
      <c r="K665" s="16"/>
      <c r="L665" s="16"/>
      <c r="M665" s="9"/>
      <c r="S665" s="16"/>
    </row>
    <row r="666" ht="15.75" customHeight="1">
      <c r="B666" s="177"/>
      <c r="C666" s="14"/>
      <c r="D666" s="22"/>
      <c r="E666" s="22"/>
      <c r="H666" s="24"/>
      <c r="I666" s="24"/>
      <c r="K666" s="16"/>
      <c r="L666" s="16"/>
      <c r="M666" s="9"/>
      <c r="S666" s="16"/>
    </row>
    <row r="667" ht="15.75" customHeight="1">
      <c r="B667" s="177"/>
      <c r="C667" s="14"/>
      <c r="D667" s="22"/>
      <c r="E667" s="22"/>
      <c r="H667" s="24"/>
      <c r="I667" s="24"/>
      <c r="K667" s="16"/>
      <c r="L667" s="16"/>
      <c r="M667" s="9"/>
      <c r="S667" s="16"/>
    </row>
    <row r="668" ht="15.75" customHeight="1">
      <c r="B668" s="177"/>
      <c r="C668" s="14"/>
      <c r="D668" s="22"/>
      <c r="E668" s="22"/>
      <c r="H668" s="24"/>
      <c r="I668" s="24"/>
      <c r="K668" s="16"/>
      <c r="L668" s="16"/>
      <c r="M668" s="9"/>
      <c r="S668" s="16"/>
    </row>
    <row r="669" ht="15.75" customHeight="1">
      <c r="B669" s="177"/>
      <c r="C669" s="14"/>
      <c r="D669" s="22"/>
      <c r="E669" s="22"/>
      <c r="H669" s="24"/>
      <c r="I669" s="24"/>
      <c r="K669" s="16"/>
      <c r="L669" s="16"/>
      <c r="M669" s="9"/>
      <c r="S669" s="16"/>
    </row>
    <row r="670" ht="15.75" customHeight="1">
      <c r="B670" s="177"/>
      <c r="C670" s="14"/>
      <c r="D670" s="22"/>
      <c r="E670" s="22"/>
      <c r="H670" s="24"/>
      <c r="I670" s="24"/>
      <c r="K670" s="16"/>
      <c r="L670" s="16"/>
      <c r="M670" s="9"/>
      <c r="S670" s="16"/>
    </row>
    <row r="671" ht="15.75" customHeight="1">
      <c r="B671" s="177"/>
      <c r="C671" s="14"/>
      <c r="D671" s="22"/>
      <c r="E671" s="22"/>
      <c r="H671" s="24"/>
      <c r="I671" s="24"/>
      <c r="K671" s="16"/>
      <c r="L671" s="16"/>
      <c r="M671" s="9"/>
      <c r="S671" s="16"/>
    </row>
    <row r="672" ht="15.75" customHeight="1">
      <c r="B672" s="177"/>
      <c r="C672" s="14"/>
      <c r="D672" s="22"/>
      <c r="E672" s="22"/>
      <c r="H672" s="24"/>
      <c r="I672" s="24"/>
      <c r="K672" s="16"/>
      <c r="L672" s="16"/>
      <c r="M672" s="9"/>
      <c r="S672" s="16"/>
    </row>
    <row r="673" ht="15.75" customHeight="1">
      <c r="B673" s="177"/>
      <c r="C673" s="14"/>
      <c r="D673" s="22"/>
      <c r="E673" s="22"/>
      <c r="H673" s="24"/>
      <c r="I673" s="24"/>
      <c r="K673" s="16"/>
      <c r="L673" s="16"/>
      <c r="M673" s="9"/>
      <c r="S673" s="16"/>
    </row>
    <row r="674" ht="15.75" customHeight="1">
      <c r="B674" s="177"/>
      <c r="C674" s="14"/>
      <c r="D674" s="22"/>
      <c r="E674" s="22"/>
      <c r="H674" s="24"/>
      <c r="I674" s="24"/>
      <c r="K674" s="16"/>
      <c r="L674" s="16"/>
      <c r="M674" s="9"/>
      <c r="S674" s="16"/>
    </row>
    <row r="675" ht="15.75" customHeight="1">
      <c r="B675" s="177"/>
      <c r="C675" s="14"/>
      <c r="D675" s="22"/>
      <c r="E675" s="22"/>
      <c r="H675" s="24"/>
      <c r="I675" s="24"/>
      <c r="K675" s="16"/>
      <c r="L675" s="16"/>
      <c r="M675" s="9"/>
      <c r="S675" s="16"/>
    </row>
    <row r="676" ht="15.75" customHeight="1">
      <c r="B676" s="177"/>
      <c r="C676" s="14"/>
      <c r="D676" s="22"/>
      <c r="E676" s="22"/>
      <c r="H676" s="24"/>
      <c r="I676" s="24"/>
      <c r="K676" s="16"/>
      <c r="L676" s="16"/>
      <c r="M676" s="9"/>
      <c r="S676" s="16"/>
    </row>
    <row r="677" ht="15.75" customHeight="1">
      <c r="B677" s="177"/>
      <c r="C677" s="14"/>
      <c r="D677" s="22"/>
      <c r="E677" s="22"/>
      <c r="H677" s="24"/>
      <c r="I677" s="24"/>
      <c r="K677" s="16"/>
      <c r="L677" s="16"/>
      <c r="M677" s="9"/>
      <c r="S677" s="16"/>
    </row>
    <row r="678" ht="15.75" customHeight="1">
      <c r="B678" s="177"/>
      <c r="C678" s="14"/>
      <c r="D678" s="22"/>
      <c r="E678" s="22"/>
      <c r="H678" s="24"/>
      <c r="I678" s="24"/>
      <c r="K678" s="16"/>
      <c r="L678" s="16"/>
      <c r="M678" s="9"/>
      <c r="S678" s="16"/>
    </row>
    <row r="679" ht="15.75" customHeight="1">
      <c r="B679" s="177"/>
      <c r="C679" s="14"/>
      <c r="D679" s="22"/>
      <c r="E679" s="22"/>
      <c r="H679" s="24"/>
      <c r="I679" s="24"/>
      <c r="K679" s="16"/>
      <c r="L679" s="16"/>
      <c r="M679" s="9"/>
      <c r="S679" s="16"/>
    </row>
    <row r="680" ht="15.75" customHeight="1">
      <c r="B680" s="177"/>
      <c r="C680" s="14"/>
      <c r="D680" s="22"/>
      <c r="E680" s="22"/>
      <c r="H680" s="24"/>
      <c r="I680" s="24"/>
      <c r="K680" s="16"/>
      <c r="L680" s="16"/>
      <c r="M680" s="9"/>
      <c r="S680" s="16"/>
    </row>
    <row r="681" ht="15.75" customHeight="1">
      <c r="B681" s="177"/>
      <c r="C681" s="14"/>
      <c r="D681" s="22"/>
      <c r="E681" s="22"/>
      <c r="H681" s="24"/>
      <c r="I681" s="24"/>
      <c r="K681" s="16"/>
      <c r="L681" s="16"/>
      <c r="M681" s="9"/>
      <c r="S681" s="16"/>
    </row>
    <row r="682" ht="15.75" customHeight="1">
      <c r="B682" s="177"/>
      <c r="C682" s="14"/>
      <c r="D682" s="22"/>
      <c r="E682" s="22"/>
      <c r="H682" s="24"/>
      <c r="I682" s="24"/>
      <c r="K682" s="16"/>
      <c r="L682" s="16"/>
      <c r="M682" s="9"/>
      <c r="S682" s="16"/>
    </row>
    <row r="683" ht="15.75" customHeight="1">
      <c r="B683" s="177"/>
      <c r="C683" s="14"/>
      <c r="D683" s="22"/>
      <c r="E683" s="22"/>
      <c r="H683" s="24"/>
      <c r="I683" s="24"/>
      <c r="K683" s="16"/>
      <c r="L683" s="16"/>
      <c r="M683" s="9"/>
      <c r="S683" s="16"/>
    </row>
    <row r="684" ht="15.75" customHeight="1">
      <c r="B684" s="177"/>
      <c r="C684" s="14"/>
      <c r="D684" s="22"/>
      <c r="E684" s="22"/>
      <c r="H684" s="24"/>
      <c r="I684" s="24"/>
      <c r="K684" s="16"/>
      <c r="L684" s="16"/>
      <c r="M684" s="9"/>
      <c r="S684" s="16"/>
    </row>
    <row r="685" ht="15.75" customHeight="1">
      <c r="B685" s="177"/>
      <c r="C685" s="14"/>
      <c r="D685" s="22"/>
      <c r="E685" s="22"/>
      <c r="H685" s="24"/>
      <c r="I685" s="24"/>
      <c r="K685" s="16"/>
      <c r="L685" s="16"/>
      <c r="M685" s="9"/>
      <c r="S685" s="16"/>
    </row>
    <row r="686" ht="15.75" customHeight="1">
      <c r="B686" s="177"/>
      <c r="C686" s="14"/>
      <c r="D686" s="22"/>
      <c r="E686" s="22"/>
      <c r="H686" s="24"/>
      <c r="I686" s="24"/>
      <c r="K686" s="16"/>
      <c r="L686" s="16"/>
      <c r="M686" s="9"/>
      <c r="S686" s="16"/>
    </row>
    <row r="687" ht="15.75" customHeight="1">
      <c r="B687" s="177"/>
      <c r="C687" s="14"/>
      <c r="D687" s="22"/>
      <c r="E687" s="22"/>
      <c r="H687" s="24"/>
      <c r="I687" s="24"/>
      <c r="K687" s="16"/>
      <c r="L687" s="16"/>
      <c r="M687" s="9"/>
      <c r="S687" s="16"/>
    </row>
    <row r="688" ht="15.75" customHeight="1">
      <c r="B688" s="177"/>
      <c r="C688" s="14"/>
      <c r="D688" s="22"/>
      <c r="E688" s="22"/>
      <c r="H688" s="24"/>
      <c r="I688" s="24"/>
      <c r="K688" s="16"/>
      <c r="L688" s="16"/>
      <c r="M688" s="9"/>
      <c r="S688" s="16"/>
    </row>
    <row r="689" ht="15.75" customHeight="1">
      <c r="B689" s="177"/>
      <c r="C689" s="14"/>
      <c r="D689" s="22"/>
      <c r="E689" s="22"/>
      <c r="H689" s="24"/>
      <c r="I689" s="24"/>
      <c r="K689" s="16"/>
      <c r="L689" s="16"/>
      <c r="M689" s="9"/>
      <c r="S689" s="16"/>
    </row>
    <row r="690" ht="15.75" customHeight="1">
      <c r="B690" s="177"/>
      <c r="C690" s="14"/>
      <c r="D690" s="22"/>
      <c r="E690" s="22"/>
      <c r="H690" s="24"/>
      <c r="I690" s="24"/>
      <c r="K690" s="16"/>
      <c r="L690" s="16"/>
      <c r="M690" s="9"/>
      <c r="S690" s="16"/>
    </row>
    <row r="691" ht="15.75" customHeight="1">
      <c r="B691" s="177"/>
      <c r="C691" s="14"/>
      <c r="D691" s="22"/>
      <c r="E691" s="22"/>
      <c r="H691" s="24"/>
      <c r="I691" s="24"/>
      <c r="K691" s="16"/>
      <c r="L691" s="16"/>
      <c r="M691" s="9"/>
      <c r="S691" s="16"/>
    </row>
    <row r="692" ht="15.75" customHeight="1">
      <c r="B692" s="177"/>
      <c r="C692" s="14"/>
      <c r="D692" s="22"/>
      <c r="E692" s="22"/>
      <c r="H692" s="24"/>
      <c r="I692" s="24"/>
      <c r="K692" s="16"/>
      <c r="L692" s="16"/>
      <c r="M692" s="9"/>
      <c r="S692" s="16"/>
    </row>
    <row r="693" ht="15.75" customHeight="1">
      <c r="B693" s="177"/>
      <c r="C693" s="14"/>
      <c r="D693" s="22"/>
      <c r="E693" s="22"/>
      <c r="H693" s="24"/>
      <c r="I693" s="24"/>
      <c r="K693" s="16"/>
      <c r="L693" s="16"/>
      <c r="M693" s="9"/>
      <c r="S693" s="16"/>
    </row>
    <row r="694" ht="15.75" customHeight="1">
      <c r="B694" s="177"/>
      <c r="C694" s="14"/>
      <c r="D694" s="22"/>
      <c r="E694" s="22"/>
      <c r="H694" s="24"/>
      <c r="I694" s="24"/>
      <c r="K694" s="16"/>
      <c r="L694" s="16"/>
      <c r="M694" s="9"/>
      <c r="S694" s="16"/>
    </row>
    <row r="695" ht="15.75" customHeight="1">
      <c r="B695" s="177"/>
      <c r="C695" s="14"/>
      <c r="D695" s="22"/>
      <c r="E695" s="22"/>
      <c r="H695" s="24"/>
      <c r="I695" s="24"/>
      <c r="K695" s="16"/>
      <c r="L695" s="16"/>
      <c r="M695" s="9"/>
      <c r="S695" s="16"/>
    </row>
    <row r="696" ht="15.75" customHeight="1">
      <c r="B696" s="177"/>
      <c r="C696" s="14"/>
      <c r="D696" s="22"/>
      <c r="E696" s="22"/>
      <c r="H696" s="24"/>
      <c r="I696" s="24"/>
      <c r="K696" s="16"/>
      <c r="L696" s="16"/>
      <c r="M696" s="9"/>
      <c r="S696" s="16"/>
    </row>
    <row r="697" ht="15.75" customHeight="1">
      <c r="B697" s="177"/>
      <c r="C697" s="14"/>
      <c r="D697" s="22"/>
      <c r="E697" s="22"/>
      <c r="H697" s="24"/>
      <c r="I697" s="24"/>
      <c r="K697" s="16"/>
      <c r="L697" s="16"/>
      <c r="M697" s="9"/>
      <c r="S697" s="16"/>
    </row>
    <row r="698" ht="15.75" customHeight="1">
      <c r="B698" s="177"/>
      <c r="C698" s="14"/>
      <c r="D698" s="22"/>
      <c r="E698" s="22"/>
      <c r="H698" s="24"/>
      <c r="I698" s="24"/>
      <c r="K698" s="16"/>
      <c r="L698" s="16"/>
      <c r="M698" s="9"/>
      <c r="S698" s="16"/>
    </row>
    <row r="699" ht="15.75" customHeight="1">
      <c r="B699" s="177"/>
      <c r="C699" s="14"/>
      <c r="D699" s="22"/>
      <c r="E699" s="22"/>
      <c r="H699" s="24"/>
      <c r="I699" s="24"/>
      <c r="K699" s="16"/>
      <c r="L699" s="16"/>
      <c r="M699" s="9"/>
      <c r="S699" s="16"/>
    </row>
    <row r="700" ht="15.75" customHeight="1">
      <c r="B700" s="177"/>
      <c r="C700" s="14"/>
      <c r="D700" s="22"/>
      <c r="E700" s="22"/>
      <c r="H700" s="24"/>
      <c r="I700" s="24"/>
      <c r="K700" s="16"/>
      <c r="L700" s="16"/>
      <c r="M700" s="9"/>
      <c r="S700" s="16"/>
    </row>
    <row r="701" ht="15.75" customHeight="1">
      <c r="B701" s="177"/>
      <c r="C701" s="14"/>
      <c r="D701" s="22"/>
      <c r="E701" s="22"/>
      <c r="H701" s="24"/>
      <c r="I701" s="24"/>
      <c r="K701" s="16"/>
      <c r="L701" s="16"/>
      <c r="M701" s="9"/>
      <c r="S701" s="16"/>
    </row>
    <row r="702" ht="15.75" customHeight="1">
      <c r="B702" s="177"/>
      <c r="C702" s="14"/>
      <c r="D702" s="22"/>
      <c r="E702" s="22"/>
      <c r="H702" s="24"/>
      <c r="I702" s="24"/>
      <c r="K702" s="16"/>
      <c r="L702" s="16"/>
      <c r="M702" s="9"/>
      <c r="S702" s="16"/>
    </row>
    <row r="703" ht="15.75" customHeight="1">
      <c r="B703" s="177"/>
      <c r="C703" s="14"/>
      <c r="D703" s="22"/>
      <c r="E703" s="22"/>
      <c r="H703" s="24"/>
      <c r="I703" s="24"/>
      <c r="K703" s="16"/>
      <c r="L703" s="16"/>
      <c r="M703" s="9"/>
      <c r="S703" s="16"/>
    </row>
    <row r="704" ht="15.75" customHeight="1">
      <c r="B704" s="177"/>
      <c r="C704" s="14"/>
      <c r="D704" s="22"/>
      <c r="E704" s="22"/>
      <c r="H704" s="24"/>
      <c r="I704" s="24"/>
      <c r="K704" s="16"/>
      <c r="L704" s="16"/>
      <c r="M704" s="9"/>
      <c r="S704" s="16"/>
    </row>
    <row r="705" ht="15.75" customHeight="1">
      <c r="B705" s="177"/>
      <c r="C705" s="14"/>
      <c r="D705" s="22"/>
      <c r="E705" s="22"/>
      <c r="H705" s="24"/>
      <c r="I705" s="24"/>
      <c r="K705" s="16"/>
      <c r="L705" s="16"/>
      <c r="M705" s="9"/>
      <c r="S705" s="16"/>
    </row>
    <row r="706" ht="15.75" customHeight="1">
      <c r="B706" s="177"/>
      <c r="C706" s="14"/>
      <c r="D706" s="22"/>
      <c r="E706" s="22"/>
      <c r="H706" s="24"/>
      <c r="I706" s="24"/>
      <c r="K706" s="16"/>
      <c r="L706" s="16"/>
      <c r="M706" s="9"/>
      <c r="S706" s="16"/>
    </row>
    <row r="707" ht="15.75" customHeight="1">
      <c r="B707" s="177"/>
      <c r="C707" s="14"/>
      <c r="D707" s="22"/>
      <c r="E707" s="22"/>
      <c r="H707" s="24"/>
      <c r="I707" s="24"/>
      <c r="K707" s="16"/>
      <c r="L707" s="16"/>
      <c r="M707" s="9"/>
      <c r="S707" s="16"/>
    </row>
    <row r="708" ht="15.75" customHeight="1">
      <c r="B708" s="177"/>
      <c r="C708" s="14"/>
      <c r="D708" s="22"/>
      <c r="E708" s="22"/>
      <c r="H708" s="24"/>
      <c r="I708" s="24"/>
      <c r="K708" s="16"/>
      <c r="L708" s="16"/>
      <c r="M708" s="9"/>
      <c r="S708" s="16"/>
    </row>
    <row r="709" ht="15.75" customHeight="1">
      <c r="B709" s="177"/>
      <c r="C709" s="14"/>
      <c r="D709" s="22"/>
      <c r="E709" s="22"/>
      <c r="H709" s="24"/>
      <c r="I709" s="24"/>
      <c r="K709" s="16"/>
      <c r="L709" s="16"/>
      <c r="M709" s="9"/>
      <c r="S709" s="16"/>
    </row>
    <row r="710" ht="15.75" customHeight="1">
      <c r="B710" s="177"/>
      <c r="C710" s="14"/>
      <c r="D710" s="22"/>
      <c r="E710" s="22"/>
      <c r="H710" s="24"/>
      <c r="I710" s="24"/>
      <c r="K710" s="16"/>
      <c r="L710" s="16"/>
      <c r="M710" s="9"/>
      <c r="S710" s="16"/>
    </row>
    <row r="711" ht="15.75" customHeight="1">
      <c r="B711" s="177"/>
      <c r="C711" s="14"/>
      <c r="D711" s="22"/>
      <c r="E711" s="22"/>
      <c r="H711" s="24"/>
      <c r="I711" s="24"/>
      <c r="K711" s="16"/>
      <c r="L711" s="16"/>
      <c r="M711" s="9"/>
      <c r="S711" s="16"/>
    </row>
    <row r="712" ht="15.75" customHeight="1">
      <c r="B712" s="177"/>
      <c r="C712" s="14"/>
      <c r="D712" s="22"/>
      <c r="E712" s="22"/>
      <c r="H712" s="24"/>
      <c r="I712" s="24"/>
      <c r="K712" s="16"/>
      <c r="L712" s="16"/>
      <c r="M712" s="9"/>
      <c r="S712" s="16"/>
    </row>
    <row r="713" ht="15.75" customHeight="1">
      <c r="B713" s="177"/>
      <c r="C713" s="14"/>
      <c r="D713" s="22"/>
      <c r="E713" s="22"/>
      <c r="H713" s="24"/>
      <c r="I713" s="24"/>
      <c r="K713" s="16"/>
      <c r="L713" s="16"/>
      <c r="M713" s="9"/>
      <c r="S713" s="16"/>
    </row>
    <row r="714" ht="15.75" customHeight="1">
      <c r="B714" s="177"/>
      <c r="C714" s="14"/>
      <c r="D714" s="22"/>
      <c r="E714" s="22"/>
      <c r="H714" s="24"/>
      <c r="I714" s="24"/>
      <c r="K714" s="16"/>
      <c r="L714" s="16"/>
      <c r="M714" s="9"/>
      <c r="S714" s="16"/>
    </row>
    <row r="715" ht="15.75" customHeight="1">
      <c r="B715" s="177"/>
      <c r="C715" s="14"/>
      <c r="D715" s="22"/>
      <c r="E715" s="22"/>
      <c r="H715" s="24"/>
      <c r="I715" s="24"/>
      <c r="K715" s="16"/>
      <c r="L715" s="16"/>
      <c r="M715" s="9"/>
      <c r="S715" s="16"/>
    </row>
    <row r="716" ht="15.75" customHeight="1">
      <c r="B716" s="177"/>
      <c r="C716" s="14"/>
      <c r="D716" s="22"/>
      <c r="E716" s="22"/>
      <c r="H716" s="24"/>
      <c r="I716" s="24"/>
      <c r="K716" s="16"/>
      <c r="L716" s="16"/>
      <c r="M716" s="9"/>
      <c r="S716" s="16"/>
    </row>
    <row r="717" ht="15.75" customHeight="1">
      <c r="B717" s="177"/>
      <c r="C717" s="14"/>
      <c r="D717" s="22"/>
      <c r="E717" s="22"/>
      <c r="H717" s="24"/>
      <c r="I717" s="24"/>
      <c r="K717" s="16"/>
      <c r="L717" s="16"/>
      <c r="M717" s="9"/>
      <c r="S717" s="16"/>
    </row>
    <row r="718" ht="15.75" customHeight="1">
      <c r="B718" s="177"/>
      <c r="C718" s="14"/>
      <c r="D718" s="22"/>
      <c r="E718" s="22"/>
      <c r="H718" s="24"/>
      <c r="I718" s="24"/>
      <c r="K718" s="16"/>
      <c r="L718" s="16"/>
      <c r="M718" s="9"/>
      <c r="S718" s="16"/>
    </row>
    <row r="719" ht="15.75" customHeight="1">
      <c r="B719" s="177"/>
      <c r="C719" s="14"/>
      <c r="D719" s="22"/>
      <c r="E719" s="22"/>
      <c r="H719" s="24"/>
      <c r="I719" s="24"/>
      <c r="K719" s="16"/>
      <c r="L719" s="16"/>
      <c r="M719" s="9"/>
      <c r="S719" s="16"/>
    </row>
    <row r="720" ht="15.75" customHeight="1">
      <c r="B720" s="177"/>
      <c r="C720" s="14"/>
      <c r="D720" s="22"/>
      <c r="E720" s="22"/>
      <c r="H720" s="24"/>
      <c r="I720" s="24"/>
      <c r="K720" s="16"/>
      <c r="L720" s="16"/>
      <c r="M720" s="9"/>
      <c r="S720" s="16"/>
    </row>
    <row r="721" ht="15.75" customHeight="1">
      <c r="B721" s="177"/>
      <c r="C721" s="14"/>
      <c r="D721" s="22"/>
      <c r="E721" s="22"/>
      <c r="H721" s="24"/>
      <c r="I721" s="24"/>
      <c r="K721" s="16"/>
      <c r="L721" s="16"/>
      <c r="M721" s="9"/>
      <c r="S721" s="16"/>
    </row>
    <row r="722" ht="15.75" customHeight="1">
      <c r="B722" s="177"/>
      <c r="C722" s="14"/>
      <c r="D722" s="22"/>
      <c r="E722" s="22"/>
      <c r="H722" s="24"/>
      <c r="I722" s="24"/>
      <c r="K722" s="16"/>
      <c r="L722" s="16"/>
      <c r="M722" s="9"/>
      <c r="S722" s="16"/>
    </row>
    <row r="723" ht="15.75" customHeight="1">
      <c r="B723" s="177"/>
      <c r="C723" s="14"/>
      <c r="D723" s="22"/>
      <c r="E723" s="22"/>
      <c r="H723" s="24"/>
      <c r="I723" s="24"/>
      <c r="K723" s="16"/>
      <c r="L723" s="16"/>
      <c r="M723" s="9"/>
      <c r="S723" s="16"/>
    </row>
    <row r="724" ht="15.75" customHeight="1">
      <c r="B724" s="177"/>
      <c r="C724" s="14"/>
      <c r="D724" s="22"/>
      <c r="E724" s="22"/>
      <c r="H724" s="24"/>
      <c r="I724" s="24"/>
      <c r="K724" s="16"/>
      <c r="L724" s="16"/>
      <c r="M724" s="9"/>
      <c r="S724" s="16"/>
    </row>
    <row r="725" ht="15.75" customHeight="1">
      <c r="B725" s="177"/>
      <c r="C725" s="14"/>
      <c r="D725" s="22"/>
      <c r="E725" s="22"/>
      <c r="H725" s="24"/>
      <c r="I725" s="24"/>
      <c r="K725" s="16"/>
      <c r="L725" s="16"/>
      <c r="M725" s="9"/>
      <c r="S725" s="16"/>
    </row>
    <row r="726" ht="15.75" customHeight="1">
      <c r="B726" s="177"/>
      <c r="C726" s="14"/>
      <c r="D726" s="22"/>
      <c r="E726" s="22"/>
      <c r="H726" s="24"/>
      <c r="I726" s="24"/>
      <c r="K726" s="16"/>
      <c r="L726" s="16"/>
      <c r="M726" s="9"/>
      <c r="S726" s="16"/>
    </row>
    <row r="727" ht="15.75" customHeight="1">
      <c r="B727" s="177"/>
      <c r="C727" s="14"/>
      <c r="D727" s="22"/>
      <c r="E727" s="22"/>
      <c r="H727" s="24"/>
      <c r="I727" s="24"/>
      <c r="K727" s="16"/>
      <c r="L727" s="16"/>
      <c r="M727" s="9"/>
      <c r="S727" s="16"/>
    </row>
    <row r="728" ht="15.75" customHeight="1">
      <c r="B728" s="177"/>
      <c r="C728" s="14"/>
      <c r="D728" s="22"/>
      <c r="E728" s="22"/>
      <c r="H728" s="24"/>
      <c r="I728" s="24"/>
      <c r="K728" s="16"/>
      <c r="L728" s="16"/>
      <c r="M728" s="9"/>
      <c r="S728" s="16"/>
    </row>
    <row r="729" ht="15.75" customHeight="1">
      <c r="B729" s="177"/>
      <c r="C729" s="14"/>
      <c r="D729" s="22"/>
      <c r="E729" s="22"/>
      <c r="H729" s="24"/>
      <c r="I729" s="24"/>
      <c r="K729" s="16"/>
      <c r="L729" s="16"/>
      <c r="M729" s="9"/>
      <c r="S729" s="16"/>
    </row>
    <row r="730" ht="15.75" customHeight="1">
      <c r="B730" s="177"/>
      <c r="C730" s="14"/>
      <c r="D730" s="22"/>
      <c r="E730" s="22"/>
      <c r="H730" s="24"/>
      <c r="I730" s="24"/>
      <c r="K730" s="16"/>
      <c r="L730" s="16"/>
      <c r="M730" s="9"/>
      <c r="S730" s="16"/>
    </row>
    <row r="731" ht="15.75" customHeight="1">
      <c r="B731" s="177"/>
      <c r="C731" s="14"/>
      <c r="D731" s="22"/>
      <c r="E731" s="22"/>
      <c r="H731" s="24"/>
      <c r="I731" s="24"/>
      <c r="K731" s="16"/>
      <c r="L731" s="16"/>
      <c r="M731" s="9"/>
      <c r="S731" s="16"/>
    </row>
    <row r="732" ht="15.75" customHeight="1">
      <c r="B732" s="177"/>
      <c r="C732" s="14"/>
      <c r="D732" s="22"/>
      <c r="E732" s="22"/>
      <c r="H732" s="24"/>
      <c r="I732" s="24"/>
      <c r="K732" s="16"/>
      <c r="L732" s="16"/>
      <c r="M732" s="9"/>
      <c r="S732" s="16"/>
    </row>
    <row r="733" ht="15.75" customHeight="1">
      <c r="B733" s="177"/>
      <c r="C733" s="14"/>
      <c r="D733" s="22"/>
      <c r="E733" s="22"/>
      <c r="H733" s="24"/>
      <c r="I733" s="24"/>
      <c r="K733" s="16"/>
      <c r="L733" s="16"/>
      <c r="M733" s="9"/>
      <c r="S733" s="16"/>
    </row>
    <row r="734" ht="15.75" customHeight="1">
      <c r="B734" s="177"/>
      <c r="C734" s="14"/>
      <c r="D734" s="22"/>
      <c r="E734" s="22"/>
      <c r="H734" s="24"/>
      <c r="I734" s="24"/>
      <c r="K734" s="16"/>
      <c r="L734" s="16"/>
      <c r="M734" s="9"/>
      <c r="S734" s="16"/>
    </row>
    <row r="735" ht="15.75" customHeight="1">
      <c r="B735" s="177"/>
      <c r="C735" s="14"/>
      <c r="D735" s="22"/>
      <c r="E735" s="22"/>
      <c r="H735" s="24"/>
      <c r="I735" s="24"/>
      <c r="K735" s="16"/>
      <c r="L735" s="16"/>
      <c r="M735" s="9"/>
      <c r="S735" s="16"/>
    </row>
    <row r="736" ht="15.75" customHeight="1">
      <c r="B736" s="177"/>
      <c r="C736" s="14"/>
      <c r="D736" s="22"/>
      <c r="E736" s="22"/>
      <c r="H736" s="24"/>
      <c r="I736" s="24"/>
      <c r="K736" s="16"/>
      <c r="L736" s="16"/>
      <c r="M736" s="9"/>
      <c r="S736" s="16"/>
    </row>
    <row r="737" ht="15.75" customHeight="1">
      <c r="B737" s="177"/>
      <c r="C737" s="14"/>
      <c r="D737" s="22"/>
      <c r="E737" s="22"/>
      <c r="H737" s="24"/>
      <c r="I737" s="24"/>
      <c r="K737" s="16"/>
      <c r="L737" s="16"/>
      <c r="M737" s="9"/>
      <c r="S737" s="16"/>
    </row>
    <row r="738" ht="15.75" customHeight="1">
      <c r="B738" s="177"/>
      <c r="C738" s="14"/>
      <c r="D738" s="22"/>
      <c r="E738" s="22"/>
      <c r="H738" s="24"/>
      <c r="I738" s="24"/>
      <c r="K738" s="16"/>
      <c r="L738" s="16"/>
      <c r="M738" s="9"/>
      <c r="S738" s="16"/>
    </row>
    <row r="739" ht="15.75" customHeight="1">
      <c r="B739" s="177"/>
      <c r="C739" s="14"/>
      <c r="D739" s="22"/>
      <c r="E739" s="22"/>
      <c r="H739" s="24"/>
      <c r="I739" s="24"/>
      <c r="K739" s="16"/>
      <c r="L739" s="16"/>
      <c r="M739" s="9"/>
      <c r="S739" s="16"/>
    </row>
    <row r="740" ht="15.75" customHeight="1">
      <c r="B740" s="177"/>
      <c r="C740" s="14"/>
      <c r="D740" s="22"/>
      <c r="E740" s="22"/>
      <c r="H740" s="24"/>
      <c r="I740" s="24"/>
      <c r="K740" s="16"/>
      <c r="L740" s="16"/>
      <c r="M740" s="9"/>
      <c r="S740" s="16"/>
    </row>
    <row r="741" ht="15.75" customHeight="1">
      <c r="B741" s="177"/>
      <c r="C741" s="14"/>
      <c r="D741" s="22"/>
      <c r="E741" s="22"/>
      <c r="H741" s="24"/>
      <c r="I741" s="24"/>
      <c r="K741" s="16"/>
      <c r="L741" s="16"/>
      <c r="M741" s="9"/>
      <c r="S741" s="16"/>
    </row>
    <row r="742" ht="15.75" customHeight="1">
      <c r="B742" s="177"/>
      <c r="C742" s="14"/>
      <c r="D742" s="22"/>
      <c r="E742" s="22"/>
      <c r="H742" s="24"/>
      <c r="I742" s="24"/>
      <c r="K742" s="16"/>
      <c r="L742" s="16"/>
      <c r="M742" s="9"/>
      <c r="S742" s="16"/>
    </row>
    <row r="743" ht="15.75" customHeight="1">
      <c r="B743" s="177"/>
      <c r="C743" s="14"/>
      <c r="D743" s="22"/>
      <c r="E743" s="22"/>
      <c r="H743" s="24"/>
      <c r="I743" s="24"/>
      <c r="K743" s="16"/>
      <c r="L743" s="16"/>
      <c r="M743" s="9"/>
      <c r="S743" s="16"/>
    </row>
    <row r="744" ht="15.75" customHeight="1">
      <c r="B744" s="177"/>
      <c r="C744" s="14"/>
      <c r="D744" s="22"/>
      <c r="E744" s="22"/>
      <c r="H744" s="24"/>
      <c r="I744" s="24"/>
      <c r="K744" s="16"/>
      <c r="L744" s="16"/>
      <c r="M744" s="9"/>
      <c r="S744" s="16"/>
    </row>
    <row r="745" ht="15.75" customHeight="1">
      <c r="B745" s="177"/>
      <c r="C745" s="14"/>
      <c r="D745" s="22"/>
      <c r="E745" s="22"/>
      <c r="H745" s="24"/>
      <c r="I745" s="24"/>
      <c r="K745" s="16"/>
      <c r="L745" s="16"/>
      <c r="M745" s="9"/>
      <c r="S745" s="16"/>
    </row>
    <row r="746" ht="15.75" customHeight="1">
      <c r="B746" s="177"/>
      <c r="C746" s="14"/>
      <c r="D746" s="22"/>
      <c r="E746" s="22"/>
      <c r="H746" s="24"/>
      <c r="I746" s="24"/>
      <c r="K746" s="16"/>
      <c r="L746" s="16"/>
      <c r="M746" s="9"/>
      <c r="S746" s="16"/>
    </row>
    <row r="747" ht="15.75" customHeight="1">
      <c r="B747" s="177"/>
      <c r="C747" s="14"/>
      <c r="D747" s="22"/>
      <c r="E747" s="22"/>
      <c r="H747" s="24"/>
      <c r="I747" s="24"/>
      <c r="K747" s="16"/>
      <c r="L747" s="16"/>
      <c r="M747" s="9"/>
      <c r="S747" s="16"/>
    </row>
    <row r="748" ht="15.75" customHeight="1">
      <c r="B748" s="177"/>
      <c r="C748" s="14"/>
      <c r="D748" s="22"/>
      <c r="E748" s="22"/>
      <c r="H748" s="24"/>
      <c r="I748" s="24"/>
      <c r="K748" s="16"/>
      <c r="L748" s="16"/>
      <c r="M748" s="9"/>
      <c r="S748" s="16"/>
    </row>
    <row r="749" ht="15.75" customHeight="1">
      <c r="B749" s="177"/>
      <c r="C749" s="14"/>
      <c r="D749" s="22"/>
      <c r="E749" s="22"/>
      <c r="H749" s="24"/>
      <c r="I749" s="24"/>
      <c r="K749" s="16"/>
      <c r="L749" s="16"/>
      <c r="M749" s="9"/>
      <c r="S749" s="16"/>
    </row>
    <row r="750" ht="15.75" customHeight="1">
      <c r="B750" s="177"/>
      <c r="C750" s="14"/>
      <c r="D750" s="22"/>
      <c r="E750" s="22"/>
      <c r="H750" s="24"/>
      <c r="I750" s="24"/>
      <c r="K750" s="16"/>
      <c r="L750" s="16"/>
      <c r="M750" s="9"/>
      <c r="S750" s="16"/>
    </row>
    <row r="751" ht="15.75" customHeight="1">
      <c r="B751" s="177"/>
      <c r="C751" s="14"/>
      <c r="D751" s="22"/>
      <c r="E751" s="22"/>
      <c r="H751" s="24"/>
      <c r="I751" s="24"/>
      <c r="K751" s="16"/>
      <c r="L751" s="16"/>
      <c r="M751" s="9"/>
      <c r="S751" s="16"/>
    </row>
    <row r="752" ht="15.75" customHeight="1">
      <c r="B752" s="177"/>
      <c r="C752" s="14"/>
      <c r="D752" s="22"/>
      <c r="E752" s="22"/>
      <c r="H752" s="24"/>
      <c r="I752" s="24"/>
      <c r="K752" s="16"/>
      <c r="L752" s="16"/>
      <c r="M752" s="9"/>
      <c r="S752" s="16"/>
    </row>
    <row r="753" ht="15.75" customHeight="1">
      <c r="B753" s="177"/>
      <c r="C753" s="14"/>
      <c r="D753" s="22"/>
      <c r="E753" s="22"/>
      <c r="H753" s="24"/>
      <c r="I753" s="24"/>
      <c r="K753" s="16"/>
      <c r="L753" s="16"/>
      <c r="M753" s="9"/>
      <c r="S753" s="16"/>
    </row>
    <row r="754" ht="15.75" customHeight="1">
      <c r="B754" s="177"/>
      <c r="C754" s="14"/>
      <c r="D754" s="22"/>
      <c r="E754" s="22"/>
      <c r="H754" s="24"/>
      <c r="I754" s="24"/>
      <c r="K754" s="16"/>
      <c r="L754" s="16"/>
      <c r="M754" s="9"/>
      <c r="S754" s="16"/>
    </row>
    <row r="755" ht="15.75" customHeight="1">
      <c r="B755" s="177"/>
      <c r="C755" s="14"/>
      <c r="D755" s="22"/>
      <c r="E755" s="22"/>
      <c r="H755" s="24"/>
      <c r="I755" s="24"/>
      <c r="K755" s="16"/>
      <c r="L755" s="16"/>
      <c r="M755" s="9"/>
      <c r="S755" s="16"/>
    </row>
    <row r="756" ht="15.75" customHeight="1">
      <c r="B756" s="177"/>
      <c r="C756" s="14"/>
      <c r="D756" s="22"/>
      <c r="E756" s="22"/>
      <c r="H756" s="24"/>
      <c r="I756" s="24"/>
      <c r="K756" s="16"/>
      <c r="L756" s="16"/>
      <c r="M756" s="9"/>
      <c r="S756" s="16"/>
    </row>
    <row r="757" ht="15.75" customHeight="1">
      <c r="B757" s="177"/>
      <c r="C757" s="14"/>
      <c r="D757" s="22"/>
      <c r="E757" s="22"/>
      <c r="H757" s="24"/>
      <c r="I757" s="24"/>
      <c r="K757" s="16"/>
      <c r="L757" s="16"/>
      <c r="M757" s="9"/>
      <c r="S757" s="16"/>
    </row>
    <row r="758" ht="15.75" customHeight="1">
      <c r="B758" s="177"/>
      <c r="C758" s="14"/>
      <c r="D758" s="22"/>
      <c r="E758" s="22"/>
      <c r="H758" s="24"/>
      <c r="I758" s="24"/>
      <c r="K758" s="16"/>
      <c r="L758" s="16"/>
      <c r="M758" s="9"/>
      <c r="S758" s="16"/>
    </row>
    <row r="759" ht="15.75" customHeight="1">
      <c r="B759" s="177"/>
      <c r="C759" s="14"/>
      <c r="D759" s="22"/>
      <c r="E759" s="22"/>
      <c r="H759" s="24"/>
      <c r="I759" s="24"/>
      <c r="K759" s="16"/>
      <c r="L759" s="16"/>
      <c r="M759" s="9"/>
      <c r="S759" s="16"/>
    </row>
    <row r="760" ht="15.75" customHeight="1">
      <c r="B760" s="177"/>
      <c r="C760" s="14"/>
      <c r="D760" s="22"/>
      <c r="E760" s="22"/>
      <c r="H760" s="24"/>
      <c r="I760" s="24"/>
      <c r="K760" s="16"/>
      <c r="L760" s="16"/>
      <c r="M760" s="9"/>
      <c r="S760" s="16"/>
    </row>
    <row r="761" ht="15.75" customHeight="1">
      <c r="B761" s="177"/>
      <c r="C761" s="14"/>
      <c r="D761" s="22"/>
      <c r="E761" s="22"/>
      <c r="H761" s="24"/>
      <c r="I761" s="24"/>
      <c r="K761" s="16"/>
      <c r="L761" s="16"/>
      <c r="M761" s="9"/>
      <c r="S761" s="16"/>
    </row>
    <row r="762" ht="15.75" customHeight="1">
      <c r="B762" s="177"/>
      <c r="C762" s="14"/>
      <c r="D762" s="22"/>
      <c r="E762" s="22"/>
      <c r="H762" s="24"/>
      <c r="I762" s="24"/>
      <c r="K762" s="16"/>
      <c r="L762" s="16"/>
      <c r="M762" s="9"/>
      <c r="S762" s="16"/>
    </row>
    <row r="763" ht="15.75" customHeight="1">
      <c r="B763" s="177"/>
      <c r="C763" s="14"/>
      <c r="D763" s="22"/>
      <c r="E763" s="22"/>
      <c r="H763" s="24"/>
      <c r="I763" s="24"/>
      <c r="K763" s="16"/>
      <c r="L763" s="16"/>
      <c r="M763" s="9"/>
      <c r="S763" s="16"/>
    </row>
    <row r="764" ht="15.75" customHeight="1">
      <c r="B764" s="177"/>
      <c r="C764" s="14"/>
      <c r="D764" s="22"/>
      <c r="E764" s="22"/>
      <c r="H764" s="24"/>
      <c r="I764" s="24"/>
      <c r="K764" s="16"/>
      <c r="L764" s="16"/>
      <c r="M764" s="9"/>
      <c r="S764" s="16"/>
    </row>
    <row r="765" ht="15.75" customHeight="1">
      <c r="B765" s="177"/>
      <c r="C765" s="14"/>
      <c r="D765" s="22"/>
      <c r="E765" s="22"/>
      <c r="H765" s="24"/>
      <c r="I765" s="24"/>
      <c r="K765" s="16"/>
      <c r="L765" s="16"/>
      <c r="M765" s="9"/>
      <c r="S765" s="16"/>
    </row>
    <row r="766" ht="15.75" customHeight="1">
      <c r="B766" s="177"/>
      <c r="C766" s="14"/>
      <c r="D766" s="22"/>
      <c r="E766" s="22"/>
      <c r="H766" s="24"/>
      <c r="I766" s="24"/>
      <c r="K766" s="16"/>
      <c r="L766" s="16"/>
      <c r="M766" s="9"/>
      <c r="S766" s="16"/>
    </row>
    <row r="767" ht="15.75" customHeight="1">
      <c r="B767" s="177"/>
      <c r="C767" s="14"/>
      <c r="D767" s="22"/>
      <c r="E767" s="22"/>
      <c r="H767" s="24"/>
      <c r="I767" s="24"/>
      <c r="K767" s="16"/>
      <c r="L767" s="16"/>
      <c r="M767" s="9"/>
      <c r="S767" s="16"/>
    </row>
    <row r="768" ht="15.75" customHeight="1">
      <c r="B768" s="177"/>
      <c r="C768" s="14"/>
      <c r="D768" s="22"/>
      <c r="E768" s="22"/>
      <c r="H768" s="24"/>
      <c r="I768" s="24"/>
      <c r="K768" s="16"/>
      <c r="L768" s="16"/>
      <c r="M768" s="9"/>
      <c r="S768" s="16"/>
    </row>
    <row r="769" ht="15.75" customHeight="1">
      <c r="B769" s="177"/>
      <c r="C769" s="14"/>
      <c r="D769" s="22"/>
      <c r="E769" s="22"/>
      <c r="H769" s="24"/>
      <c r="I769" s="24"/>
      <c r="K769" s="16"/>
      <c r="L769" s="16"/>
      <c r="M769" s="9"/>
      <c r="S769" s="16"/>
    </row>
    <row r="770" ht="15.75" customHeight="1">
      <c r="B770" s="177"/>
      <c r="C770" s="14"/>
      <c r="D770" s="22"/>
      <c r="E770" s="22"/>
      <c r="H770" s="24"/>
      <c r="I770" s="24"/>
      <c r="K770" s="16"/>
      <c r="L770" s="16"/>
      <c r="M770" s="9"/>
      <c r="S770" s="16"/>
    </row>
    <row r="771" ht="15.75" customHeight="1">
      <c r="B771" s="177"/>
      <c r="C771" s="14"/>
      <c r="D771" s="22"/>
      <c r="E771" s="22"/>
      <c r="H771" s="24"/>
      <c r="I771" s="24"/>
      <c r="K771" s="16"/>
      <c r="L771" s="16"/>
      <c r="M771" s="9"/>
      <c r="S771" s="16"/>
    </row>
    <row r="772" ht="15.75" customHeight="1">
      <c r="B772" s="177"/>
      <c r="C772" s="14"/>
      <c r="D772" s="22"/>
      <c r="E772" s="22"/>
      <c r="H772" s="24"/>
      <c r="I772" s="24"/>
      <c r="K772" s="16"/>
      <c r="L772" s="16"/>
      <c r="M772" s="9"/>
      <c r="S772" s="16"/>
    </row>
    <row r="773" ht="15.75" customHeight="1">
      <c r="B773" s="177"/>
      <c r="C773" s="14"/>
      <c r="D773" s="22"/>
      <c r="E773" s="22"/>
      <c r="H773" s="24"/>
      <c r="I773" s="24"/>
      <c r="K773" s="16"/>
      <c r="L773" s="16"/>
      <c r="M773" s="9"/>
      <c r="S773" s="16"/>
    </row>
    <row r="774" ht="15.75" customHeight="1">
      <c r="B774" s="177"/>
      <c r="C774" s="14"/>
      <c r="D774" s="22"/>
      <c r="E774" s="22"/>
      <c r="H774" s="24"/>
      <c r="I774" s="24"/>
      <c r="K774" s="16"/>
      <c r="L774" s="16"/>
      <c r="M774" s="9"/>
      <c r="S774" s="16"/>
    </row>
    <row r="775" ht="15.75" customHeight="1">
      <c r="B775" s="177"/>
      <c r="C775" s="14"/>
      <c r="D775" s="22"/>
      <c r="E775" s="22"/>
      <c r="H775" s="24"/>
      <c r="I775" s="24"/>
      <c r="K775" s="16"/>
      <c r="L775" s="16"/>
      <c r="M775" s="9"/>
      <c r="S775" s="16"/>
    </row>
    <row r="776" ht="15.75" customHeight="1">
      <c r="B776" s="177"/>
      <c r="C776" s="14"/>
      <c r="D776" s="22"/>
      <c r="E776" s="22"/>
      <c r="H776" s="24"/>
      <c r="I776" s="24"/>
      <c r="K776" s="16"/>
      <c r="L776" s="16"/>
      <c r="M776" s="9"/>
      <c r="S776" s="16"/>
    </row>
    <row r="777" ht="15.75" customHeight="1">
      <c r="B777" s="177"/>
      <c r="C777" s="14"/>
      <c r="D777" s="22"/>
      <c r="E777" s="22"/>
      <c r="H777" s="24"/>
      <c r="I777" s="24"/>
      <c r="K777" s="16"/>
      <c r="L777" s="16"/>
      <c r="M777" s="9"/>
      <c r="S777" s="16"/>
    </row>
    <row r="778" ht="15.75" customHeight="1">
      <c r="B778" s="177"/>
      <c r="C778" s="14"/>
      <c r="D778" s="22"/>
      <c r="E778" s="22"/>
      <c r="H778" s="24"/>
      <c r="I778" s="24"/>
      <c r="K778" s="16"/>
      <c r="L778" s="16"/>
      <c r="M778" s="9"/>
      <c r="S778" s="16"/>
    </row>
    <row r="779" ht="15.75" customHeight="1">
      <c r="B779" s="177"/>
      <c r="C779" s="14"/>
      <c r="D779" s="22"/>
      <c r="E779" s="22"/>
      <c r="H779" s="24"/>
      <c r="I779" s="24"/>
      <c r="K779" s="16"/>
      <c r="L779" s="16"/>
      <c r="M779" s="9"/>
      <c r="S779" s="16"/>
    </row>
    <row r="780" ht="15.75" customHeight="1">
      <c r="B780" s="177"/>
      <c r="C780" s="14"/>
      <c r="D780" s="22"/>
      <c r="E780" s="22"/>
      <c r="H780" s="24"/>
      <c r="I780" s="24"/>
      <c r="K780" s="16"/>
      <c r="L780" s="16"/>
      <c r="M780" s="9"/>
      <c r="S780" s="16"/>
    </row>
    <row r="781" ht="15.75" customHeight="1">
      <c r="B781" s="177"/>
      <c r="C781" s="14"/>
      <c r="D781" s="22"/>
      <c r="E781" s="22"/>
      <c r="H781" s="24"/>
      <c r="I781" s="24"/>
      <c r="K781" s="16"/>
      <c r="L781" s="16"/>
      <c r="M781" s="9"/>
      <c r="S781" s="16"/>
    </row>
    <row r="782" ht="15.75" customHeight="1">
      <c r="B782" s="177"/>
      <c r="C782" s="14"/>
      <c r="D782" s="22"/>
      <c r="E782" s="22"/>
      <c r="H782" s="24"/>
      <c r="I782" s="24"/>
      <c r="K782" s="16"/>
      <c r="L782" s="16"/>
      <c r="M782" s="9"/>
      <c r="S782" s="16"/>
    </row>
    <row r="783" ht="15.75" customHeight="1">
      <c r="B783" s="177"/>
      <c r="C783" s="14"/>
      <c r="D783" s="22"/>
      <c r="E783" s="22"/>
      <c r="H783" s="24"/>
      <c r="I783" s="24"/>
      <c r="K783" s="16"/>
      <c r="L783" s="16"/>
      <c r="M783" s="9"/>
      <c r="S783" s="16"/>
    </row>
    <row r="784" ht="15.75" customHeight="1">
      <c r="B784" s="177"/>
      <c r="C784" s="14"/>
      <c r="D784" s="22"/>
      <c r="E784" s="22"/>
      <c r="H784" s="24"/>
      <c r="I784" s="24"/>
      <c r="K784" s="16"/>
      <c r="L784" s="16"/>
      <c r="M784" s="9"/>
      <c r="S784" s="16"/>
    </row>
    <row r="785" ht="15.75" customHeight="1">
      <c r="B785" s="177"/>
      <c r="C785" s="14"/>
      <c r="D785" s="22"/>
      <c r="E785" s="22"/>
      <c r="H785" s="24"/>
      <c r="I785" s="24"/>
      <c r="K785" s="16"/>
      <c r="L785" s="16"/>
      <c r="M785" s="9"/>
      <c r="S785" s="16"/>
    </row>
    <row r="786" ht="15.75" customHeight="1">
      <c r="B786" s="177"/>
      <c r="C786" s="14"/>
      <c r="D786" s="22"/>
      <c r="E786" s="22"/>
      <c r="H786" s="24"/>
      <c r="I786" s="24"/>
      <c r="K786" s="16"/>
      <c r="L786" s="16"/>
      <c r="M786" s="9"/>
      <c r="S786" s="16"/>
    </row>
    <row r="787" ht="15.75" customHeight="1">
      <c r="B787" s="177"/>
      <c r="C787" s="14"/>
      <c r="D787" s="22"/>
      <c r="E787" s="22"/>
      <c r="H787" s="24"/>
      <c r="I787" s="24"/>
      <c r="K787" s="16"/>
      <c r="L787" s="16"/>
      <c r="M787" s="9"/>
      <c r="S787" s="16"/>
    </row>
    <row r="788" ht="15.75" customHeight="1">
      <c r="B788" s="177"/>
      <c r="C788" s="14"/>
      <c r="D788" s="22"/>
      <c r="E788" s="22"/>
      <c r="H788" s="24"/>
      <c r="I788" s="24"/>
      <c r="K788" s="16"/>
      <c r="L788" s="16"/>
      <c r="M788" s="9"/>
      <c r="S788" s="16"/>
    </row>
    <row r="789" ht="15.75" customHeight="1">
      <c r="B789" s="177"/>
      <c r="C789" s="14"/>
      <c r="D789" s="22"/>
      <c r="E789" s="22"/>
      <c r="H789" s="24"/>
      <c r="I789" s="24"/>
      <c r="K789" s="16"/>
      <c r="L789" s="16"/>
      <c r="M789" s="9"/>
      <c r="S789" s="16"/>
    </row>
    <row r="790" ht="15.75" customHeight="1">
      <c r="B790" s="177"/>
      <c r="C790" s="14"/>
      <c r="D790" s="22"/>
      <c r="E790" s="22"/>
      <c r="H790" s="24"/>
      <c r="I790" s="24"/>
      <c r="K790" s="16"/>
      <c r="L790" s="16"/>
      <c r="M790" s="9"/>
      <c r="S790" s="16"/>
    </row>
    <row r="791" ht="15.75" customHeight="1">
      <c r="B791" s="177"/>
      <c r="C791" s="14"/>
      <c r="D791" s="22"/>
      <c r="E791" s="22"/>
      <c r="H791" s="24"/>
      <c r="I791" s="24"/>
      <c r="K791" s="16"/>
      <c r="L791" s="16"/>
      <c r="M791" s="9"/>
      <c r="S791" s="16"/>
    </row>
    <row r="792" ht="15.75" customHeight="1">
      <c r="B792" s="177"/>
      <c r="C792" s="14"/>
      <c r="D792" s="22"/>
      <c r="E792" s="22"/>
      <c r="H792" s="24"/>
      <c r="I792" s="24"/>
      <c r="K792" s="16"/>
      <c r="L792" s="16"/>
      <c r="M792" s="9"/>
      <c r="S792" s="16"/>
    </row>
    <row r="793" ht="15.75" customHeight="1">
      <c r="B793" s="177"/>
      <c r="C793" s="14"/>
      <c r="D793" s="22"/>
      <c r="E793" s="22"/>
      <c r="H793" s="24"/>
      <c r="I793" s="24"/>
      <c r="K793" s="16"/>
      <c r="L793" s="16"/>
      <c r="M793" s="9"/>
      <c r="S793" s="16"/>
    </row>
    <row r="794" ht="15.75" customHeight="1">
      <c r="B794" s="177"/>
      <c r="C794" s="14"/>
      <c r="D794" s="22"/>
      <c r="E794" s="22"/>
      <c r="H794" s="24"/>
      <c r="I794" s="24"/>
      <c r="K794" s="16"/>
      <c r="L794" s="16"/>
      <c r="M794" s="9"/>
      <c r="S794" s="16"/>
    </row>
    <row r="795" ht="15.75" customHeight="1">
      <c r="B795" s="177"/>
      <c r="C795" s="14"/>
      <c r="D795" s="22"/>
      <c r="E795" s="22"/>
      <c r="H795" s="24"/>
      <c r="I795" s="24"/>
      <c r="K795" s="16"/>
      <c r="L795" s="16"/>
      <c r="M795" s="9"/>
      <c r="S795" s="16"/>
    </row>
    <row r="796" ht="15.75" customHeight="1">
      <c r="B796" s="177"/>
      <c r="C796" s="14"/>
      <c r="D796" s="22"/>
      <c r="E796" s="22"/>
      <c r="H796" s="24"/>
      <c r="I796" s="24"/>
      <c r="K796" s="16"/>
      <c r="L796" s="16"/>
      <c r="M796" s="9"/>
      <c r="S796" s="16"/>
    </row>
    <row r="797" ht="15.75" customHeight="1">
      <c r="B797" s="177"/>
      <c r="C797" s="14"/>
      <c r="D797" s="22"/>
      <c r="E797" s="22"/>
      <c r="H797" s="24"/>
      <c r="I797" s="24"/>
      <c r="K797" s="16"/>
      <c r="L797" s="16"/>
      <c r="M797" s="9"/>
      <c r="S797" s="16"/>
    </row>
    <row r="798" ht="15.75" customHeight="1">
      <c r="B798" s="177"/>
      <c r="C798" s="14"/>
      <c r="D798" s="22"/>
      <c r="E798" s="22"/>
      <c r="H798" s="24"/>
      <c r="I798" s="24"/>
      <c r="K798" s="16"/>
      <c r="L798" s="16"/>
      <c r="M798" s="9"/>
      <c r="S798" s="16"/>
    </row>
    <row r="799" ht="15.75" customHeight="1">
      <c r="B799" s="177"/>
      <c r="C799" s="14"/>
      <c r="D799" s="22"/>
      <c r="E799" s="22"/>
      <c r="H799" s="24"/>
      <c r="I799" s="24"/>
      <c r="K799" s="16"/>
      <c r="L799" s="16"/>
      <c r="M799" s="9"/>
      <c r="S799" s="16"/>
    </row>
    <row r="800" ht="15.75" customHeight="1">
      <c r="B800" s="177"/>
      <c r="C800" s="14"/>
      <c r="D800" s="22"/>
      <c r="E800" s="22"/>
      <c r="H800" s="24"/>
      <c r="I800" s="24"/>
      <c r="K800" s="16"/>
      <c r="L800" s="16"/>
      <c r="M800" s="9"/>
      <c r="S800" s="16"/>
    </row>
    <row r="801" ht="15.75" customHeight="1">
      <c r="B801" s="177"/>
      <c r="C801" s="14"/>
      <c r="D801" s="22"/>
      <c r="E801" s="22"/>
      <c r="H801" s="24"/>
      <c r="I801" s="24"/>
      <c r="K801" s="16"/>
      <c r="L801" s="16"/>
      <c r="M801" s="9"/>
      <c r="S801" s="16"/>
    </row>
    <row r="802" ht="15.75" customHeight="1">
      <c r="B802" s="177"/>
      <c r="C802" s="14"/>
      <c r="D802" s="22"/>
      <c r="E802" s="22"/>
      <c r="H802" s="24"/>
      <c r="I802" s="24"/>
      <c r="K802" s="16"/>
      <c r="L802" s="16"/>
      <c r="M802" s="9"/>
      <c r="S802" s="16"/>
    </row>
    <row r="803" ht="15.75" customHeight="1">
      <c r="B803" s="177"/>
      <c r="C803" s="14"/>
      <c r="D803" s="22"/>
      <c r="E803" s="22"/>
      <c r="H803" s="24"/>
      <c r="I803" s="24"/>
      <c r="K803" s="16"/>
      <c r="L803" s="16"/>
      <c r="M803" s="9"/>
      <c r="S803" s="16"/>
    </row>
    <row r="804" ht="15.75" customHeight="1">
      <c r="B804" s="177"/>
      <c r="C804" s="14"/>
      <c r="D804" s="22"/>
      <c r="E804" s="22"/>
      <c r="H804" s="24"/>
      <c r="I804" s="24"/>
      <c r="K804" s="16"/>
      <c r="L804" s="16"/>
      <c r="M804" s="9"/>
      <c r="S804" s="16"/>
    </row>
    <row r="805" ht="15.75" customHeight="1">
      <c r="B805" s="177"/>
      <c r="C805" s="14"/>
      <c r="D805" s="22"/>
      <c r="E805" s="22"/>
      <c r="H805" s="24"/>
      <c r="I805" s="24"/>
      <c r="K805" s="16"/>
      <c r="L805" s="16"/>
      <c r="M805" s="9"/>
      <c r="S805" s="16"/>
    </row>
    <row r="806" ht="15.75" customHeight="1">
      <c r="B806" s="177"/>
      <c r="C806" s="14"/>
      <c r="D806" s="22"/>
      <c r="E806" s="22"/>
      <c r="H806" s="24"/>
      <c r="I806" s="24"/>
      <c r="K806" s="16"/>
      <c r="L806" s="16"/>
      <c r="M806" s="9"/>
      <c r="S806" s="16"/>
    </row>
    <row r="807" ht="15.75" customHeight="1">
      <c r="B807" s="177"/>
      <c r="C807" s="14"/>
      <c r="D807" s="22"/>
      <c r="E807" s="22"/>
      <c r="H807" s="24"/>
      <c r="I807" s="24"/>
      <c r="K807" s="16"/>
      <c r="L807" s="16"/>
      <c r="M807" s="9"/>
      <c r="S807" s="16"/>
    </row>
    <row r="808" ht="15.75" customHeight="1">
      <c r="B808" s="177"/>
      <c r="C808" s="14"/>
      <c r="D808" s="22"/>
      <c r="E808" s="22"/>
      <c r="H808" s="24"/>
      <c r="I808" s="24"/>
      <c r="K808" s="16"/>
      <c r="L808" s="16"/>
      <c r="M808" s="9"/>
      <c r="S808" s="16"/>
    </row>
    <row r="809" ht="15.75" customHeight="1">
      <c r="B809" s="177"/>
      <c r="C809" s="14"/>
      <c r="D809" s="22"/>
      <c r="E809" s="22"/>
      <c r="H809" s="24"/>
      <c r="I809" s="24"/>
      <c r="K809" s="16"/>
      <c r="L809" s="16"/>
      <c r="M809" s="9"/>
      <c r="S809" s="16"/>
    </row>
    <row r="810" ht="15.75" customHeight="1">
      <c r="B810" s="177"/>
      <c r="C810" s="14"/>
      <c r="D810" s="22"/>
      <c r="E810" s="22"/>
      <c r="H810" s="24"/>
      <c r="I810" s="24"/>
      <c r="K810" s="16"/>
      <c r="L810" s="16"/>
      <c r="M810" s="9"/>
      <c r="S810" s="16"/>
    </row>
    <row r="811" ht="15.75" customHeight="1">
      <c r="B811" s="177"/>
      <c r="C811" s="14"/>
      <c r="D811" s="22"/>
      <c r="E811" s="22"/>
      <c r="H811" s="24"/>
      <c r="I811" s="24"/>
      <c r="K811" s="16"/>
      <c r="L811" s="16"/>
      <c r="M811" s="9"/>
      <c r="S811" s="16"/>
    </row>
    <row r="812" ht="15.75" customHeight="1">
      <c r="B812" s="177"/>
      <c r="C812" s="14"/>
      <c r="D812" s="22"/>
      <c r="E812" s="22"/>
      <c r="H812" s="24"/>
      <c r="I812" s="24"/>
      <c r="K812" s="16"/>
      <c r="L812" s="16"/>
      <c r="M812" s="9"/>
      <c r="S812" s="16"/>
    </row>
    <row r="813" ht="15.75" customHeight="1">
      <c r="B813" s="177"/>
      <c r="C813" s="14"/>
      <c r="D813" s="22"/>
      <c r="E813" s="22"/>
      <c r="H813" s="24"/>
      <c r="I813" s="24"/>
      <c r="K813" s="16"/>
      <c r="L813" s="16"/>
      <c r="M813" s="9"/>
      <c r="S813" s="16"/>
    </row>
    <row r="814" ht="15.75" customHeight="1">
      <c r="B814" s="177"/>
      <c r="C814" s="14"/>
      <c r="D814" s="22"/>
      <c r="E814" s="22"/>
      <c r="H814" s="24"/>
      <c r="I814" s="24"/>
      <c r="K814" s="16"/>
      <c r="L814" s="16"/>
      <c r="M814" s="9"/>
      <c r="S814" s="16"/>
    </row>
    <row r="815" ht="15.75" customHeight="1">
      <c r="B815" s="177"/>
      <c r="C815" s="14"/>
      <c r="D815" s="22"/>
      <c r="E815" s="22"/>
      <c r="H815" s="24"/>
      <c r="I815" s="24"/>
      <c r="K815" s="16"/>
      <c r="L815" s="16"/>
      <c r="M815" s="9"/>
      <c r="S815" s="16"/>
    </row>
    <row r="816" ht="15.75" customHeight="1">
      <c r="B816" s="177"/>
      <c r="C816" s="14"/>
      <c r="D816" s="22"/>
      <c r="E816" s="22"/>
      <c r="H816" s="24"/>
      <c r="I816" s="24"/>
      <c r="K816" s="16"/>
      <c r="L816" s="16"/>
      <c r="M816" s="9"/>
      <c r="S816" s="16"/>
    </row>
    <row r="817" ht="15.75" customHeight="1">
      <c r="B817" s="177"/>
      <c r="C817" s="14"/>
      <c r="D817" s="22"/>
      <c r="E817" s="22"/>
      <c r="H817" s="24"/>
      <c r="I817" s="24"/>
      <c r="K817" s="16"/>
      <c r="L817" s="16"/>
      <c r="M817" s="9"/>
      <c r="S817" s="16"/>
    </row>
    <row r="818" ht="15.75" customHeight="1">
      <c r="B818" s="177"/>
      <c r="C818" s="14"/>
      <c r="D818" s="22"/>
      <c r="E818" s="22"/>
      <c r="H818" s="24"/>
      <c r="I818" s="24"/>
      <c r="K818" s="16"/>
      <c r="L818" s="16"/>
      <c r="M818" s="9"/>
      <c r="S818" s="16"/>
    </row>
    <row r="819" ht="15.75" customHeight="1">
      <c r="B819" s="177"/>
      <c r="C819" s="14"/>
      <c r="D819" s="22"/>
      <c r="E819" s="22"/>
      <c r="H819" s="24"/>
      <c r="I819" s="24"/>
      <c r="K819" s="16"/>
      <c r="L819" s="16"/>
      <c r="M819" s="9"/>
      <c r="S819" s="16"/>
    </row>
    <row r="820" ht="15.75" customHeight="1">
      <c r="B820" s="177"/>
      <c r="C820" s="14"/>
      <c r="D820" s="22"/>
      <c r="E820" s="22"/>
      <c r="H820" s="24"/>
      <c r="I820" s="24"/>
      <c r="K820" s="16"/>
      <c r="L820" s="16"/>
      <c r="M820" s="9"/>
      <c r="S820" s="16"/>
    </row>
    <row r="821" ht="15.75" customHeight="1">
      <c r="B821" s="177"/>
      <c r="C821" s="14"/>
      <c r="D821" s="22"/>
      <c r="E821" s="22"/>
      <c r="H821" s="24"/>
      <c r="I821" s="24"/>
      <c r="K821" s="16"/>
      <c r="L821" s="16"/>
      <c r="M821" s="9"/>
      <c r="S821" s="16"/>
    </row>
    <row r="822" ht="15.75" customHeight="1">
      <c r="B822" s="177"/>
      <c r="C822" s="14"/>
      <c r="D822" s="22"/>
      <c r="E822" s="22"/>
      <c r="H822" s="24"/>
      <c r="I822" s="24"/>
      <c r="K822" s="16"/>
      <c r="L822" s="16"/>
      <c r="M822" s="9"/>
      <c r="S822" s="16"/>
    </row>
    <row r="823" ht="15.75" customHeight="1">
      <c r="B823" s="177"/>
      <c r="C823" s="14"/>
      <c r="D823" s="22"/>
      <c r="E823" s="22"/>
      <c r="H823" s="24"/>
      <c r="I823" s="24"/>
      <c r="K823" s="16"/>
      <c r="L823" s="16"/>
      <c r="M823" s="9"/>
      <c r="S823" s="16"/>
    </row>
    <row r="824" ht="15.75" customHeight="1">
      <c r="B824" s="177"/>
      <c r="C824" s="14"/>
      <c r="D824" s="22"/>
      <c r="E824" s="22"/>
      <c r="H824" s="24"/>
      <c r="I824" s="24"/>
      <c r="K824" s="16"/>
      <c r="L824" s="16"/>
      <c r="M824" s="9"/>
      <c r="S824" s="16"/>
    </row>
    <row r="825" ht="15.75" customHeight="1">
      <c r="B825" s="177"/>
      <c r="C825" s="14"/>
      <c r="D825" s="22"/>
      <c r="E825" s="22"/>
      <c r="H825" s="24"/>
      <c r="I825" s="24"/>
      <c r="K825" s="16"/>
      <c r="L825" s="16"/>
      <c r="M825" s="9"/>
      <c r="S825" s="16"/>
    </row>
    <row r="826" ht="15.75" customHeight="1">
      <c r="B826" s="177"/>
      <c r="C826" s="14"/>
      <c r="D826" s="22"/>
      <c r="E826" s="22"/>
      <c r="H826" s="24"/>
      <c r="I826" s="24"/>
      <c r="K826" s="16"/>
      <c r="L826" s="16"/>
      <c r="M826" s="9"/>
      <c r="S826" s="16"/>
    </row>
    <row r="827" ht="15.75" customHeight="1">
      <c r="B827" s="177"/>
      <c r="C827" s="14"/>
      <c r="D827" s="22"/>
      <c r="E827" s="22"/>
      <c r="H827" s="24"/>
      <c r="I827" s="24"/>
      <c r="K827" s="16"/>
      <c r="L827" s="16"/>
      <c r="M827" s="9"/>
      <c r="S827" s="16"/>
    </row>
    <row r="828" ht="15.75" customHeight="1">
      <c r="B828" s="177"/>
      <c r="C828" s="14"/>
      <c r="D828" s="22"/>
      <c r="E828" s="22"/>
      <c r="H828" s="24"/>
      <c r="I828" s="24"/>
      <c r="K828" s="16"/>
      <c r="L828" s="16"/>
      <c r="M828" s="9"/>
      <c r="S828" s="16"/>
    </row>
    <row r="829" ht="15.75" customHeight="1">
      <c r="B829" s="177"/>
      <c r="C829" s="14"/>
      <c r="D829" s="22"/>
      <c r="E829" s="22"/>
      <c r="H829" s="24"/>
      <c r="I829" s="24"/>
      <c r="K829" s="16"/>
      <c r="L829" s="16"/>
      <c r="M829" s="9"/>
      <c r="S829" s="16"/>
    </row>
    <row r="830" ht="15.75" customHeight="1">
      <c r="B830" s="177"/>
      <c r="C830" s="14"/>
      <c r="D830" s="22"/>
      <c r="E830" s="22"/>
      <c r="H830" s="24"/>
      <c r="I830" s="24"/>
      <c r="K830" s="16"/>
      <c r="L830" s="16"/>
      <c r="M830" s="9"/>
      <c r="S830" s="16"/>
    </row>
    <row r="831" ht="15.75" customHeight="1">
      <c r="B831" s="177"/>
      <c r="C831" s="14"/>
      <c r="D831" s="22"/>
      <c r="E831" s="22"/>
      <c r="H831" s="24"/>
      <c r="I831" s="24"/>
      <c r="K831" s="16"/>
      <c r="L831" s="16"/>
      <c r="M831" s="9"/>
      <c r="S831" s="16"/>
    </row>
    <row r="832" ht="15.75" customHeight="1">
      <c r="B832" s="177"/>
      <c r="C832" s="14"/>
      <c r="D832" s="22"/>
      <c r="E832" s="22"/>
      <c r="H832" s="24"/>
      <c r="I832" s="24"/>
      <c r="K832" s="16"/>
      <c r="L832" s="16"/>
      <c r="M832" s="9"/>
      <c r="S832" s="16"/>
    </row>
    <row r="833" ht="15.75" customHeight="1">
      <c r="B833" s="177"/>
      <c r="C833" s="14"/>
      <c r="D833" s="22"/>
      <c r="E833" s="22"/>
      <c r="H833" s="24"/>
      <c r="I833" s="24"/>
      <c r="K833" s="16"/>
      <c r="L833" s="16"/>
      <c r="M833" s="9"/>
      <c r="S833" s="16"/>
    </row>
    <row r="834" ht="15.75" customHeight="1">
      <c r="B834" s="177"/>
      <c r="C834" s="14"/>
      <c r="D834" s="22"/>
      <c r="E834" s="22"/>
      <c r="H834" s="24"/>
      <c r="I834" s="24"/>
      <c r="K834" s="16"/>
      <c r="L834" s="16"/>
      <c r="M834" s="9"/>
      <c r="S834" s="16"/>
    </row>
    <row r="835" ht="15.75" customHeight="1">
      <c r="B835" s="177"/>
      <c r="C835" s="14"/>
      <c r="D835" s="22"/>
      <c r="E835" s="22"/>
      <c r="H835" s="24"/>
      <c r="I835" s="24"/>
      <c r="K835" s="16"/>
      <c r="L835" s="16"/>
      <c r="M835" s="9"/>
      <c r="S835" s="16"/>
    </row>
    <row r="836" ht="15.75" customHeight="1">
      <c r="B836" s="177"/>
      <c r="C836" s="14"/>
      <c r="D836" s="22"/>
      <c r="E836" s="22"/>
      <c r="H836" s="24"/>
      <c r="I836" s="24"/>
      <c r="K836" s="16"/>
      <c r="L836" s="16"/>
      <c r="M836" s="9"/>
      <c r="S836" s="16"/>
    </row>
    <row r="837" ht="15.75" customHeight="1">
      <c r="B837" s="177"/>
      <c r="C837" s="14"/>
      <c r="D837" s="22"/>
      <c r="E837" s="22"/>
      <c r="H837" s="24"/>
      <c r="I837" s="24"/>
      <c r="K837" s="16"/>
      <c r="L837" s="16"/>
      <c r="M837" s="9"/>
      <c r="S837" s="16"/>
    </row>
    <row r="838" ht="15.75" customHeight="1">
      <c r="B838" s="177"/>
      <c r="C838" s="14"/>
      <c r="D838" s="22"/>
      <c r="E838" s="22"/>
      <c r="H838" s="24"/>
      <c r="I838" s="24"/>
      <c r="K838" s="16"/>
      <c r="L838" s="16"/>
      <c r="M838" s="9"/>
      <c r="S838" s="16"/>
    </row>
    <row r="839" ht="15.75" customHeight="1">
      <c r="B839" s="177"/>
      <c r="C839" s="14"/>
      <c r="D839" s="22"/>
      <c r="E839" s="22"/>
      <c r="H839" s="24"/>
      <c r="I839" s="24"/>
      <c r="K839" s="16"/>
      <c r="L839" s="16"/>
      <c r="M839" s="9"/>
      <c r="S839" s="16"/>
    </row>
    <row r="840" ht="15.75" customHeight="1">
      <c r="B840" s="177"/>
      <c r="C840" s="14"/>
      <c r="D840" s="22"/>
      <c r="E840" s="22"/>
      <c r="H840" s="24"/>
      <c r="I840" s="24"/>
      <c r="K840" s="16"/>
      <c r="L840" s="16"/>
      <c r="M840" s="9"/>
      <c r="S840" s="16"/>
    </row>
    <row r="841" ht="15.75" customHeight="1">
      <c r="B841" s="177"/>
      <c r="C841" s="14"/>
      <c r="D841" s="22"/>
      <c r="E841" s="22"/>
      <c r="H841" s="24"/>
      <c r="I841" s="24"/>
      <c r="K841" s="16"/>
      <c r="L841" s="16"/>
      <c r="M841" s="9"/>
      <c r="S841" s="16"/>
    </row>
    <row r="842" ht="15.75" customHeight="1">
      <c r="B842" s="177"/>
      <c r="C842" s="14"/>
      <c r="D842" s="22"/>
      <c r="E842" s="22"/>
      <c r="H842" s="24"/>
      <c r="I842" s="24"/>
      <c r="K842" s="16"/>
      <c r="L842" s="16"/>
      <c r="M842" s="9"/>
      <c r="S842" s="16"/>
    </row>
    <row r="843" ht="15.75" customHeight="1">
      <c r="B843" s="177"/>
      <c r="C843" s="14"/>
      <c r="D843" s="22"/>
      <c r="E843" s="22"/>
      <c r="H843" s="24"/>
      <c r="I843" s="24"/>
      <c r="K843" s="16"/>
      <c r="L843" s="16"/>
      <c r="M843" s="9"/>
      <c r="S843" s="16"/>
    </row>
    <row r="844" ht="15.75" customHeight="1">
      <c r="B844" s="177"/>
      <c r="C844" s="14"/>
      <c r="D844" s="22"/>
      <c r="E844" s="22"/>
      <c r="H844" s="24"/>
      <c r="I844" s="24"/>
      <c r="K844" s="16"/>
      <c r="L844" s="16"/>
      <c r="M844" s="9"/>
      <c r="S844" s="16"/>
    </row>
    <row r="845" ht="15.75" customHeight="1">
      <c r="B845" s="177"/>
      <c r="C845" s="14"/>
      <c r="D845" s="22"/>
      <c r="E845" s="22"/>
      <c r="H845" s="24"/>
      <c r="I845" s="24"/>
      <c r="K845" s="16"/>
      <c r="L845" s="16"/>
      <c r="M845" s="9"/>
      <c r="S845" s="16"/>
    </row>
    <row r="846" ht="15.75" customHeight="1">
      <c r="B846" s="177"/>
      <c r="C846" s="14"/>
      <c r="D846" s="22"/>
      <c r="E846" s="22"/>
      <c r="H846" s="24"/>
      <c r="I846" s="24"/>
      <c r="K846" s="16"/>
      <c r="L846" s="16"/>
      <c r="M846" s="9"/>
      <c r="S846" s="16"/>
    </row>
    <row r="847" ht="15.75" customHeight="1">
      <c r="B847" s="177"/>
      <c r="C847" s="14"/>
      <c r="D847" s="22"/>
      <c r="E847" s="22"/>
      <c r="H847" s="24"/>
      <c r="I847" s="24"/>
      <c r="K847" s="16"/>
      <c r="L847" s="16"/>
      <c r="M847" s="9"/>
      <c r="S847" s="16"/>
    </row>
    <row r="848" ht="15.75" customHeight="1">
      <c r="B848" s="177"/>
      <c r="C848" s="14"/>
      <c r="D848" s="22"/>
      <c r="E848" s="22"/>
      <c r="H848" s="24"/>
      <c r="I848" s="24"/>
      <c r="K848" s="16"/>
      <c r="L848" s="16"/>
      <c r="M848" s="9"/>
      <c r="S848" s="16"/>
    </row>
    <row r="849" ht="15.75" customHeight="1">
      <c r="B849" s="177"/>
      <c r="C849" s="14"/>
      <c r="D849" s="22"/>
      <c r="E849" s="22"/>
      <c r="H849" s="24"/>
      <c r="I849" s="24"/>
      <c r="K849" s="16"/>
      <c r="L849" s="16"/>
      <c r="M849" s="9"/>
      <c r="S849" s="16"/>
    </row>
    <row r="850" ht="15.75" customHeight="1">
      <c r="B850" s="177"/>
      <c r="C850" s="14"/>
      <c r="D850" s="22"/>
      <c r="E850" s="22"/>
      <c r="H850" s="24"/>
      <c r="I850" s="24"/>
      <c r="K850" s="16"/>
      <c r="L850" s="16"/>
      <c r="M850" s="9"/>
      <c r="S850" s="16"/>
    </row>
    <row r="851" ht="15.75" customHeight="1">
      <c r="B851" s="177"/>
      <c r="C851" s="14"/>
      <c r="D851" s="22"/>
      <c r="E851" s="22"/>
      <c r="H851" s="24"/>
      <c r="I851" s="24"/>
      <c r="K851" s="16"/>
      <c r="L851" s="16"/>
      <c r="M851" s="9"/>
      <c r="S851" s="16"/>
    </row>
    <row r="852" ht="15.75" customHeight="1">
      <c r="B852" s="177"/>
      <c r="C852" s="14"/>
      <c r="D852" s="22"/>
      <c r="E852" s="22"/>
      <c r="H852" s="24"/>
      <c r="I852" s="24"/>
      <c r="K852" s="16"/>
      <c r="L852" s="16"/>
      <c r="M852" s="9"/>
      <c r="S852" s="16"/>
    </row>
    <row r="853" ht="15.75" customHeight="1">
      <c r="B853" s="177"/>
      <c r="C853" s="14"/>
      <c r="D853" s="22"/>
      <c r="E853" s="22"/>
      <c r="H853" s="24"/>
      <c r="I853" s="24"/>
      <c r="K853" s="16"/>
      <c r="L853" s="16"/>
      <c r="M853" s="9"/>
      <c r="S853" s="16"/>
    </row>
    <row r="854" ht="15.75" customHeight="1">
      <c r="B854" s="177"/>
      <c r="C854" s="14"/>
      <c r="D854" s="22"/>
      <c r="E854" s="22"/>
      <c r="H854" s="24"/>
      <c r="I854" s="24"/>
      <c r="K854" s="16"/>
      <c r="L854" s="16"/>
      <c r="M854" s="9"/>
      <c r="S854" s="16"/>
    </row>
    <row r="855" ht="15.75" customHeight="1">
      <c r="B855" s="177"/>
      <c r="C855" s="14"/>
      <c r="D855" s="22"/>
      <c r="E855" s="22"/>
      <c r="H855" s="24"/>
      <c r="I855" s="24"/>
      <c r="K855" s="16"/>
      <c r="L855" s="16"/>
      <c r="M855" s="9"/>
      <c r="S855" s="16"/>
    </row>
    <row r="856" ht="15.75" customHeight="1">
      <c r="B856" s="177"/>
      <c r="C856" s="14"/>
      <c r="D856" s="22"/>
      <c r="E856" s="22"/>
      <c r="H856" s="24"/>
      <c r="I856" s="24"/>
      <c r="K856" s="16"/>
      <c r="L856" s="16"/>
      <c r="M856" s="9"/>
      <c r="S856" s="16"/>
    </row>
    <row r="857" ht="15.75" customHeight="1">
      <c r="B857" s="177"/>
      <c r="C857" s="14"/>
      <c r="D857" s="22"/>
      <c r="E857" s="22"/>
      <c r="H857" s="24"/>
      <c r="I857" s="24"/>
      <c r="K857" s="16"/>
      <c r="L857" s="16"/>
      <c r="M857" s="9"/>
      <c r="S857" s="16"/>
    </row>
    <row r="858" ht="15.75" customHeight="1">
      <c r="B858" s="177"/>
      <c r="C858" s="14"/>
      <c r="D858" s="22"/>
      <c r="E858" s="22"/>
      <c r="H858" s="24"/>
      <c r="I858" s="24"/>
      <c r="K858" s="16"/>
      <c r="L858" s="16"/>
      <c r="M858" s="9"/>
      <c r="S858" s="16"/>
    </row>
    <row r="859" ht="15.75" customHeight="1">
      <c r="B859" s="177"/>
      <c r="C859" s="14"/>
      <c r="D859" s="22"/>
      <c r="E859" s="22"/>
      <c r="H859" s="24"/>
      <c r="I859" s="24"/>
      <c r="K859" s="16"/>
      <c r="L859" s="16"/>
      <c r="M859" s="9"/>
      <c r="S859" s="16"/>
    </row>
    <row r="860" ht="15.75" customHeight="1">
      <c r="B860" s="177"/>
      <c r="C860" s="14"/>
      <c r="D860" s="22"/>
      <c r="E860" s="22"/>
      <c r="H860" s="24"/>
      <c r="I860" s="24"/>
      <c r="K860" s="16"/>
      <c r="L860" s="16"/>
      <c r="M860" s="9"/>
      <c r="S860" s="16"/>
    </row>
    <row r="861" ht="15.75" customHeight="1">
      <c r="B861" s="177"/>
      <c r="C861" s="14"/>
      <c r="D861" s="22"/>
      <c r="E861" s="22"/>
      <c r="H861" s="24"/>
      <c r="I861" s="24"/>
      <c r="K861" s="16"/>
      <c r="L861" s="16"/>
      <c r="M861" s="9"/>
      <c r="S861" s="16"/>
    </row>
    <row r="862" ht="15.75" customHeight="1">
      <c r="B862" s="177"/>
      <c r="C862" s="14"/>
      <c r="D862" s="22"/>
      <c r="E862" s="22"/>
      <c r="H862" s="24"/>
      <c r="I862" s="24"/>
      <c r="K862" s="16"/>
      <c r="L862" s="16"/>
      <c r="M862" s="9"/>
      <c r="S862" s="16"/>
    </row>
    <row r="863" ht="15.75" customHeight="1">
      <c r="B863" s="177"/>
      <c r="C863" s="14"/>
      <c r="D863" s="22"/>
      <c r="E863" s="22"/>
      <c r="H863" s="24"/>
      <c r="I863" s="24"/>
      <c r="K863" s="16"/>
      <c r="L863" s="16"/>
      <c r="M863" s="9"/>
      <c r="S863" s="16"/>
    </row>
    <row r="864" ht="15.75" customHeight="1">
      <c r="B864" s="177"/>
      <c r="C864" s="14"/>
      <c r="D864" s="22"/>
      <c r="E864" s="22"/>
      <c r="H864" s="24"/>
      <c r="I864" s="24"/>
      <c r="K864" s="16"/>
      <c r="L864" s="16"/>
      <c r="M864" s="9"/>
      <c r="S864" s="16"/>
    </row>
    <row r="865" ht="15.75" customHeight="1">
      <c r="B865" s="177"/>
      <c r="C865" s="14"/>
      <c r="D865" s="22"/>
      <c r="E865" s="22"/>
      <c r="H865" s="24"/>
      <c r="I865" s="24"/>
      <c r="K865" s="16"/>
      <c r="L865" s="16"/>
      <c r="M865" s="9"/>
      <c r="S865" s="16"/>
    </row>
    <row r="866" ht="15.75" customHeight="1">
      <c r="B866" s="177"/>
      <c r="C866" s="14"/>
      <c r="D866" s="22"/>
      <c r="E866" s="22"/>
      <c r="H866" s="24"/>
      <c r="I866" s="24"/>
      <c r="K866" s="16"/>
      <c r="L866" s="16"/>
      <c r="M866" s="9"/>
      <c r="S866" s="16"/>
    </row>
    <row r="867" ht="15.75" customHeight="1">
      <c r="B867" s="177"/>
      <c r="C867" s="14"/>
      <c r="D867" s="22"/>
      <c r="E867" s="22"/>
      <c r="H867" s="24"/>
      <c r="I867" s="24"/>
      <c r="K867" s="16"/>
      <c r="L867" s="16"/>
      <c r="M867" s="9"/>
      <c r="S867" s="16"/>
    </row>
    <row r="868" ht="15.75" customHeight="1">
      <c r="B868" s="177"/>
      <c r="C868" s="14"/>
      <c r="D868" s="22"/>
      <c r="E868" s="22"/>
      <c r="H868" s="24"/>
      <c r="I868" s="24"/>
      <c r="K868" s="16"/>
      <c r="L868" s="16"/>
      <c r="M868" s="9"/>
      <c r="S868" s="16"/>
    </row>
    <row r="869" ht="15.75" customHeight="1">
      <c r="B869" s="177"/>
      <c r="C869" s="14"/>
      <c r="D869" s="22"/>
      <c r="E869" s="22"/>
      <c r="H869" s="24"/>
      <c r="I869" s="24"/>
      <c r="K869" s="16"/>
      <c r="L869" s="16"/>
      <c r="M869" s="9"/>
      <c r="S869" s="16"/>
    </row>
    <row r="870" ht="15.75" customHeight="1">
      <c r="B870" s="177"/>
      <c r="C870" s="14"/>
      <c r="D870" s="22"/>
      <c r="E870" s="22"/>
      <c r="H870" s="24"/>
      <c r="I870" s="24"/>
      <c r="K870" s="16"/>
      <c r="L870" s="16"/>
      <c r="M870" s="9"/>
      <c r="S870" s="16"/>
    </row>
    <row r="871" ht="15.75" customHeight="1">
      <c r="B871" s="177"/>
      <c r="C871" s="14"/>
      <c r="D871" s="22"/>
      <c r="E871" s="22"/>
      <c r="H871" s="24"/>
      <c r="I871" s="24"/>
      <c r="K871" s="16"/>
      <c r="L871" s="16"/>
      <c r="M871" s="9"/>
      <c r="S871" s="16"/>
    </row>
    <row r="872" ht="15.75" customHeight="1">
      <c r="B872" s="177"/>
      <c r="C872" s="14"/>
      <c r="D872" s="22"/>
      <c r="E872" s="22"/>
      <c r="H872" s="24"/>
      <c r="I872" s="24"/>
      <c r="K872" s="16"/>
      <c r="L872" s="16"/>
      <c r="M872" s="9"/>
      <c r="S872" s="16"/>
    </row>
    <row r="873" ht="15.75" customHeight="1">
      <c r="B873" s="177"/>
      <c r="C873" s="14"/>
      <c r="D873" s="22"/>
      <c r="E873" s="22"/>
      <c r="H873" s="24"/>
      <c r="I873" s="24"/>
      <c r="K873" s="16"/>
      <c r="L873" s="16"/>
      <c r="M873" s="9"/>
      <c r="S873" s="16"/>
    </row>
    <row r="874" ht="15.75" customHeight="1">
      <c r="B874" s="177"/>
      <c r="C874" s="14"/>
      <c r="D874" s="22"/>
      <c r="E874" s="22"/>
      <c r="H874" s="24"/>
      <c r="I874" s="24"/>
      <c r="K874" s="16"/>
      <c r="L874" s="16"/>
      <c r="M874" s="9"/>
      <c r="S874" s="16"/>
    </row>
    <row r="875" ht="15.75" customHeight="1">
      <c r="B875" s="177"/>
      <c r="C875" s="14"/>
      <c r="D875" s="22"/>
      <c r="E875" s="22"/>
      <c r="H875" s="24"/>
      <c r="I875" s="24"/>
      <c r="K875" s="16"/>
      <c r="L875" s="16"/>
      <c r="M875" s="9"/>
      <c r="S875" s="16"/>
    </row>
    <row r="876" ht="15.75" customHeight="1">
      <c r="B876" s="177"/>
      <c r="C876" s="14"/>
      <c r="D876" s="22"/>
      <c r="E876" s="22"/>
      <c r="H876" s="24"/>
      <c r="I876" s="24"/>
      <c r="K876" s="16"/>
      <c r="L876" s="16"/>
      <c r="M876" s="9"/>
      <c r="S876" s="16"/>
    </row>
    <row r="877" ht="15.75" customHeight="1">
      <c r="B877" s="177"/>
      <c r="C877" s="14"/>
      <c r="D877" s="22"/>
      <c r="E877" s="22"/>
      <c r="H877" s="24"/>
      <c r="I877" s="24"/>
      <c r="K877" s="16"/>
      <c r="L877" s="16"/>
      <c r="M877" s="9"/>
      <c r="S877" s="16"/>
    </row>
    <row r="878" ht="15.75" customHeight="1">
      <c r="B878" s="177"/>
      <c r="C878" s="14"/>
      <c r="D878" s="22"/>
      <c r="E878" s="22"/>
      <c r="H878" s="24"/>
      <c r="I878" s="24"/>
      <c r="K878" s="16"/>
      <c r="L878" s="16"/>
      <c r="M878" s="9"/>
      <c r="S878" s="16"/>
    </row>
    <row r="879" ht="15.75" customHeight="1">
      <c r="B879" s="177"/>
      <c r="C879" s="14"/>
      <c r="D879" s="22"/>
      <c r="E879" s="22"/>
      <c r="H879" s="24"/>
      <c r="I879" s="24"/>
      <c r="K879" s="16"/>
      <c r="L879" s="16"/>
      <c r="M879" s="9"/>
      <c r="S879" s="16"/>
    </row>
    <row r="880" ht="15.75" customHeight="1">
      <c r="B880" s="177"/>
      <c r="C880" s="14"/>
      <c r="D880" s="22"/>
      <c r="E880" s="22"/>
      <c r="H880" s="24"/>
      <c r="I880" s="24"/>
      <c r="K880" s="16"/>
      <c r="L880" s="16"/>
      <c r="M880" s="9"/>
      <c r="S880" s="16"/>
    </row>
    <row r="881" ht="15.75" customHeight="1">
      <c r="B881" s="177"/>
      <c r="C881" s="14"/>
      <c r="D881" s="22"/>
      <c r="E881" s="22"/>
      <c r="H881" s="24"/>
      <c r="I881" s="24"/>
      <c r="K881" s="16"/>
      <c r="L881" s="16"/>
      <c r="M881" s="9"/>
      <c r="S881" s="16"/>
    </row>
    <row r="882" ht="15.75" customHeight="1">
      <c r="B882" s="177"/>
      <c r="C882" s="14"/>
      <c r="D882" s="22"/>
      <c r="E882" s="22"/>
      <c r="H882" s="24"/>
      <c r="I882" s="24"/>
      <c r="K882" s="16"/>
      <c r="L882" s="16"/>
      <c r="M882" s="9"/>
      <c r="S882" s="16"/>
    </row>
    <row r="883" ht="15.75" customHeight="1">
      <c r="B883" s="177"/>
      <c r="C883" s="14"/>
      <c r="D883" s="22"/>
      <c r="E883" s="22"/>
      <c r="H883" s="24"/>
      <c r="I883" s="24"/>
      <c r="K883" s="16"/>
      <c r="L883" s="16"/>
      <c r="M883" s="9"/>
      <c r="S883" s="16"/>
    </row>
    <row r="884" ht="15.75" customHeight="1">
      <c r="B884" s="177"/>
      <c r="C884" s="14"/>
      <c r="D884" s="22"/>
      <c r="E884" s="22"/>
      <c r="H884" s="24"/>
      <c r="I884" s="24"/>
      <c r="K884" s="16"/>
      <c r="L884" s="16"/>
      <c r="M884" s="9"/>
      <c r="S884" s="16"/>
    </row>
    <row r="885" ht="15.75" customHeight="1">
      <c r="B885" s="177"/>
      <c r="C885" s="14"/>
      <c r="D885" s="22"/>
      <c r="E885" s="22"/>
      <c r="H885" s="24"/>
      <c r="I885" s="24"/>
      <c r="K885" s="16"/>
      <c r="L885" s="16"/>
      <c r="M885" s="9"/>
      <c r="S885" s="16"/>
    </row>
    <row r="886" ht="15.75" customHeight="1">
      <c r="B886" s="177"/>
      <c r="C886" s="14"/>
      <c r="D886" s="22"/>
      <c r="E886" s="22"/>
      <c r="H886" s="24"/>
      <c r="I886" s="24"/>
      <c r="K886" s="16"/>
      <c r="L886" s="16"/>
      <c r="M886" s="9"/>
      <c r="S886" s="16"/>
    </row>
    <row r="887" ht="15.75" customHeight="1">
      <c r="B887" s="177"/>
      <c r="C887" s="14"/>
      <c r="D887" s="22"/>
      <c r="E887" s="22"/>
      <c r="H887" s="24"/>
      <c r="I887" s="24"/>
      <c r="K887" s="16"/>
      <c r="L887" s="16"/>
      <c r="M887" s="9"/>
      <c r="S887" s="16"/>
    </row>
    <row r="888" ht="15.75" customHeight="1">
      <c r="B888" s="177"/>
      <c r="C888" s="14"/>
      <c r="D888" s="22"/>
      <c r="E888" s="22"/>
      <c r="H888" s="24"/>
      <c r="I888" s="24"/>
      <c r="K888" s="16"/>
      <c r="L888" s="16"/>
      <c r="M888" s="9"/>
      <c r="S888" s="16"/>
    </row>
    <row r="889" ht="15.75" customHeight="1">
      <c r="B889" s="177"/>
      <c r="C889" s="14"/>
      <c r="D889" s="22"/>
      <c r="E889" s="22"/>
      <c r="H889" s="24"/>
      <c r="I889" s="24"/>
      <c r="K889" s="16"/>
      <c r="L889" s="16"/>
      <c r="M889" s="9"/>
      <c r="S889" s="16"/>
    </row>
    <row r="890" ht="15.75" customHeight="1">
      <c r="B890" s="177"/>
      <c r="C890" s="14"/>
      <c r="D890" s="22"/>
      <c r="E890" s="22"/>
      <c r="H890" s="24"/>
      <c r="I890" s="24"/>
      <c r="K890" s="16"/>
      <c r="L890" s="16"/>
      <c r="M890" s="9"/>
      <c r="S890" s="16"/>
    </row>
    <row r="891" ht="15.75" customHeight="1">
      <c r="B891" s="177"/>
      <c r="C891" s="14"/>
      <c r="D891" s="22"/>
      <c r="E891" s="22"/>
      <c r="H891" s="24"/>
      <c r="I891" s="24"/>
      <c r="K891" s="16"/>
      <c r="L891" s="16"/>
      <c r="M891" s="9"/>
      <c r="S891" s="16"/>
    </row>
    <row r="892" ht="15.75" customHeight="1">
      <c r="B892" s="177"/>
      <c r="C892" s="14"/>
      <c r="D892" s="22"/>
      <c r="E892" s="22"/>
      <c r="H892" s="24"/>
      <c r="I892" s="24"/>
      <c r="K892" s="16"/>
      <c r="L892" s="16"/>
      <c r="M892" s="9"/>
      <c r="S892" s="16"/>
    </row>
    <row r="893" ht="15.75" customHeight="1">
      <c r="B893" s="177"/>
      <c r="C893" s="14"/>
      <c r="D893" s="22"/>
      <c r="E893" s="22"/>
      <c r="H893" s="24"/>
      <c r="I893" s="24"/>
      <c r="K893" s="16"/>
      <c r="L893" s="16"/>
      <c r="M893" s="9"/>
      <c r="S893" s="16"/>
    </row>
    <row r="894" ht="15.75" customHeight="1">
      <c r="B894" s="177"/>
      <c r="C894" s="14"/>
      <c r="D894" s="22"/>
      <c r="E894" s="22"/>
      <c r="H894" s="24"/>
      <c r="I894" s="24"/>
      <c r="K894" s="16"/>
      <c r="L894" s="16"/>
      <c r="M894" s="9"/>
      <c r="S894" s="16"/>
    </row>
    <row r="895" ht="15.75" customHeight="1">
      <c r="B895" s="177"/>
      <c r="C895" s="14"/>
      <c r="D895" s="22"/>
      <c r="E895" s="22"/>
      <c r="H895" s="24"/>
      <c r="I895" s="24"/>
      <c r="K895" s="16"/>
      <c r="L895" s="16"/>
      <c r="M895" s="9"/>
      <c r="S895" s="16"/>
    </row>
    <row r="896" ht="15.75" customHeight="1">
      <c r="B896" s="177"/>
      <c r="C896" s="14"/>
      <c r="D896" s="22"/>
      <c r="E896" s="22"/>
      <c r="H896" s="24"/>
      <c r="I896" s="24"/>
      <c r="K896" s="16"/>
      <c r="L896" s="16"/>
      <c r="M896" s="9"/>
      <c r="S896" s="16"/>
    </row>
    <row r="897" ht="15.75" customHeight="1">
      <c r="B897" s="177"/>
      <c r="C897" s="14"/>
      <c r="D897" s="22"/>
      <c r="E897" s="22"/>
      <c r="H897" s="24"/>
      <c r="I897" s="24"/>
      <c r="K897" s="16"/>
      <c r="L897" s="16"/>
      <c r="M897" s="9"/>
      <c r="S897" s="16"/>
    </row>
    <row r="898" ht="15.75" customHeight="1">
      <c r="B898" s="177"/>
      <c r="C898" s="14"/>
      <c r="D898" s="22"/>
      <c r="E898" s="22"/>
      <c r="H898" s="24"/>
      <c r="I898" s="24"/>
      <c r="K898" s="16"/>
      <c r="L898" s="16"/>
      <c r="M898" s="9"/>
      <c r="S898" s="16"/>
    </row>
    <row r="899" ht="15.75" customHeight="1">
      <c r="B899" s="177"/>
      <c r="C899" s="14"/>
      <c r="D899" s="22"/>
      <c r="E899" s="22"/>
      <c r="H899" s="24"/>
      <c r="I899" s="24"/>
      <c r="K899" s="16"/>
      <c r="L899" s="16"/>
      <c r="M899" s="9"/>
      <c r="S899" s="16"/>
    </row>
    <row r="900" ht="15.75" customHeight="1">
      <c r="B900" s="177"/>
      <c r="C900" s="14"/>
      <c r="D900" s="22"/>
      <c r="E900" s="22"/>
      <c r="H900" s="24"/>
      <c r="I900" s="24"/>
      <c r="K900" s="16"/>
      <c r="L900" s="16"/>
      <c r="M900" s="9"/>
      <c r="S900" s="16"/>
    </row>
    <row r="901" ht="15.75" customHeight="1">
      <c r="B901" s="177"/>
      <c r="C901" s="14"/>
      <c r="D901" s="22"/>
      <c r="E901" s="22"/>
      <c r="H901" s="24"/>
      <c r="I901" s="24"/>
      <c r="K901" s="16"/>
      <c r="L901" s="16"/>
      <c r="M901" s="9"/>
      <c r="S901" s="16"/>
    </row>
    <row r="902" ht="15.75" customHeight="1">
      <c r="B902" s="177"/>
      <c r="C902" s="14"/>
      <c r="D902" s="22"/>
      <c r="E902" s="22"/>
      <c r="H902" s="24"/>
      <c r="I902" s="24"/>
      <c r="K902" s="16"/>
      <c r="L902" s="16"/>
      <c r="M902" s="9"/>
      <c r="S902" s="16"/>
    </row>
    <row r="903" ht="15.75" customHeight="1">
      <c r="B903" s="177"/>
      <c r="C903" s="14"/>
      <c r="D903" s="22"/>
      <c r="E903" s="22"/>
      <c r="H903" s="24"/>
      <c r="I903" s="24"/>
      <c r="K903" s="16"/>
      <c r="L903" s="16"/>
      <c r="M903" s="9"/>
      <c r="S903" s="16"/>
    </row>
    <row r="904" ht="15.75" customHeight="1">
      <c r="B904" s="177"/>
      <c r="C904" s="14"/>
      <c r="D904" s="22"/>
      <c r="E904" s="22"/>
      <c r="H904" s="24"/>
      <c r="I904" s="24"/>
      <c r="K904" s="16"/>
      <c r="L904" s="16"/>
      <c r="M904" s="9"/>
      <c r="S904" s="16"/>
    </row>
    <row r="905" ht="15.75" customHeight="1">
      <c r="B905" s="177"/>
      <c r="C905" s="14"/>
      <c r="D905" s="22"/>
      <c r="E905" s="22"/>
      <c r="H905" s="24"/>
      <c r="I905" s="24"/>
      <c r="K905" s="16"/>
      <c r="L905" s="16"/>
      <c r="M905" s="9"/>
      <c r="S905" s="16"/>
    </row>
    <row r="906" ht="15.75" customHeight="1">
      <c r="B906" s="177"/>
      <c r="C906" s="14"/>
      <c r="D906" s="22"/>
      <c r="E906" s="22"/>
      <c r="H906" s="24"/>
      <c r="I906" s="24"/>
      <c r="K906" s="16"/>
      <c r="L906" s="16"/>
      <c r="M906" s="9"/>
      <c r="S906" s="16"/>
    </row>
    <row r="907" ht="15.75" customHeight="1">
      <c r="B907" s="177"/>
      <c r="C907" s="14"/>
      <c r="D907" s="22"/>
      <c r="E907" s="22"/>
      <c r="H907" s="24"/>
      <c r="I907" s="24"/>
      <c r="K907" s="16"/>
      <c r="L907" s="16"/>
      <c r="M907" s="9"/>
      <c r="S907" s="16"/>
    </row>
    <row r="908" ht="15.75" customHeight="1">
      <c r="B908" s="177"/>
      <c r="C908" s="14"/>
      <c r="D908" s="22"/>
      <c r="E908" s="22"/>
      <c r="H908" s="24"/>
      <c r="I908" s="24"/>
      <c r="K908" s="16"/>
      <c r="L908" s="16"/>
      <c r="M908" s="9"/>
      <c r="S908" s="16"/>
    </row>
    <row r="909" ht="15.75" customHeight="1">
      <c r="B909" s="177"/>
      <c r="C909" s="14"/>
      <c r="D909" s="22"/>
      <c r="E909" s="22"/>
      <c r="H909" s="24"/>
      <c r="I909" s="24"/>
      <c r="K909" s="16"/>
      <c r="L909" s="16"/>
      <c r="M909" s="9"/>
      <c r="S909" s="16"/>
    </row>
    <row r="910" ht="15.75" customHeight="1">
      <c r="B910" s="177"/>
      <c r="C910" s="14"/>
      <c r="D910" s="22"/>
      <c r="E910" s="22"/>
      <c r="H910" s="24"/>
      <c r="I910" s="24"/>
      <c r="K910" s="16"/>
      <c r="L910" s="16"/>
      <c r="M910" s="9"/>
      <c r="S910" s="16"/>
    </row>
    <row r="911" ht="15.75" customHeight="1">
      <c r="B911" s="177"/>
      <c r="C911" s="14"/>
      <c r="D911" s="22"/>
      <c r="E911" s="22"/>
      <c r="H911" s="24"/>
      <c r="I911" s="24"/>
      <c r="K911" s="16"/>
      <c r="L911" s="16"/>
      <c r="M911" s="9"/>
      <c r="S911" s="16"/>
    </row>
    <row r="912" ht="15.75" customHeight="1">
      <c r="B912" s="177"/>
      <c r="C912" s="14"/>
      <c r="D912" s="22"/>
      <c r="E912" s="22"/>
      <c r="H912" s="24"/>
      <c r="I912" s="24"/>
      <c r="K912" s="16"/>
      <c r="L912" s="16"/>
      <c r="M912" s="9"/>
      <c r="S912" s="16"/>
    </row>
    <row r="913" ht="15.75" customHeight="1">
      <c r="B913" s="177"/>
      <c r="C913" s="14"/>
      <c r="D913" s="22"/>
      <c r="E913" s="22"/>
      <c r="H913" s="24"/>
      <c r="I913" s="24"/>
      <c r="K913" s="16"/>
      <c r="L913" s="16"/>
      <c r="M913" s="9"/>
      <c r="S913" s="16"/>
    </row>
    <row r="914" ht="15.75" customHeight="1">
      <c r="B914" s="177"/>
      <c r="C914" s="14"/>
      <c r="D914" s="22"/>
      <c r="E914" s="22"/>
      <c r="H914" s="24"/>
      <c r="I914" s="24"/>
      <c r="K914" s="16"/>
      <c r="L914" s="16"/>
      <c r="M914" s="9"/>
      <c r="S914" s="16"/>
    </row>
    <row r="915" ht="15.75" customHeight="1">
      <c r="B915" s="177"/>
      <c r="C915" s="14"/>
      <c r="D915" s="22"/>
      <c r="E915" s="22"/>
      <c r="H915" s="24"/>
      <c r="I915" s="24"/>
      <c r="K915" s="16"/>
      <c r="L915" s="16"/>
      <c r="M915" s="9"/>
      <c r="S915" s="16"/>
    </row>
    <row r="916" ht="15.75" customHeight="1">
      <c r="B916" s="177"/>
      <c r="C916" s="14"/>
      <c r="D916" s="22"/>
      <c r="E916" s="22"/>
      <c r="H916" s="24"/>
      <c r="I916" s="24"/>
      <c r="K916" s="16"/>
      <c r="L916" s="16"/>
      <c r="M916" s="9"/>
      <c r="S916" s="16"/>
    </row>
    <row r="917" ht="15.75" customHeight="1">
      <c r="B917" s="177"/>
      <c r="C917" s="14"/>
      <c r="D917" s="22"/>
      <c r="E917" s="22"/>
      <c r="H917" s="24"/>
      <c r="I917" s="24"/>
      <c r="K917" s="16"/>
      <c r="L917" s="16"/>
      <c r="M917" s="9"/>
      <c r="S917" s="16"/>
    </row>
    <row r="918" ht="15.75" customHeight="1">
      <c r="B918" s="177"/>
      <c r="C918" s="14"/>
      <c r="D918" s="22"/>
      <c r="E918" s="22"/>
      <c r="H918" s="24"/>
      <c r="I918" s="24"/>
      <c r="K918" s="16"/>
      <c r="L918" s="16"/>
      <c r="M918" s="9"/>
      <c r="S918" s="16"/>
    </row>
    <row r="919" ht="15.75" customHeight="1">
      <c r="B919" s="177"/>
      <c r="C919" s="14"/>
      <c r="D919" s="22"/>
      <c r="E919" s="22"/>
      <c r="H919" s="24"/>
      <c r="I919" s="24"/>
      <c r="K919" s="16"/>
      <c r="L919" s="16"/>
      <c r="M919" s="9"/>
      <c r="S919" s="16"/>
    </row>
    <row r="920" ht="15.75" customHeight="1">
      <c r="B920" s="177"/>
      <c r="C920" s="14"/>
      <c r="D920" s="22"/>
      <c r="E920" s="22"/>
      <c r="H920" s="24"/>
      <c r="I920" s="24"/>
      <c r="K920" s="16"/>
      <c r="L920" s="16"/>
      <c r="M920" s="9"/>
      <c r="S920" s="16"/>
    </row>
    <row r="921" ht="15.75" customHeight="1">
      <c r="B921" s="177"/>
      <c r="C921" s="14"/>
      <c r="D921" s="22"/>
      <c r="E921" s="22"/>
      <c r="H921" s="24"/>
      <c r="I921" s="24"/>
      <c r="K921" s="16"/>
      <c r="L921" s="16"/>
      <c r="M921" s="9"/>
      <c r="S921" s="16"/>
    </row>
    <row r="922" ht="15.75" customHeight="1">
      <c r="B922" s="177"/>
      <c r="C922" s="14"/>
      <c r="D922" s="22"/>
      <c r="E922" s="22"/>
      <c r="H922" s="24"/>
      <c r="I922" s="24"/>
      <c r="K922" s="16"/>
      <c r="L922" s="16"/>
      <c r="M922" s="9"/>
      <c r="S922" s="16"/>
    </row>
    <row r="923" ht="15.75" customHeight="1">
      <c r="B923" s="177"/>
      <c r="C923" s="14"/>
      <c r="D923" s="22"/>
      <c r="E923" s="22"/>
      <c r="H923" s="24"/>
      <c r="I923" s="24"/>
      <c r="K923" s="16"/>
      <c r="L923" s="16"/>
      <c r="M923" s="9"/>
      <c r="S923" s="16"/>
    </row>
    <row r="924" ht="15.75" customHeight="1">
      <c r="B924" s="177"/>
      <c r="C924" s="14"/>
      <c r="D924" s="22"/>
      <c r="E924" s="22"/>
      <c r="H924" s="24"/>
      <c r="I924" s="24"/>
      <c r="K924" s="16"/>
      <c r="L924" s="16"/>
      <c r="M924" s="9"/>
      <c r="S924" s="16"/>
    </row>
    <row r="925" ht="15.75" customHeight="1">
      <c r="B925" s="177"/>
      <c r="C925" s="14"/>
      <c r="D925" s="22"/>
      <c r="E925" s="22"/>
      <c r="H925" s="24"/>
      <c r="I925" s="24"/>
      <c r="K925" s="16"/>
      <c r="L925" s="16"/>
      <c r="M925" s="9"/>
      <c r="S925" s="16"/>
    </row>
    <row r="926" ht="15.75" customHeight="1">
      <c r="B926" s="177"/>
      <c r="C926" s="14"/>
      <c r="D926" s="22"/>
      <c r="E926" s="22"/>
      <c r="H926" s="24"/>
      <c r="I926" s="24"/>
      <c r="K926" s="16"/>
      <c r="L926" s="16"/>
      <c r="M926" s="9"/>
      <c r="S926" s="16"/>
    </row>
    <row r="927" ht="15.75" customHeight="1">
      <c r="B927" s="177"/>
      <c r="C927" s="14"/>
      <c r="D927" s="22"/>
      <c r="E927" s="22"/>
      <c r="H927" s="24"/>
      <c r="I927" s="24"/>
      <c r="K927" s="16"/>
      <c r="L927" s="16"/>
      <c r="M927" s="9"/>
      <c r="S927" s="16"/>
    </row>
    <row r="928" ht="15.75" customHeight="1">
      <c r="B928" s="177"/>
      <c r="C928" s="14"/>
      <c r="D928" s="22"/>
      <c r="E928" s="22"/>
      <c r="H928" s="24"/>
      <c r="I928" s="24"/>
      <c r="K928" s="16"/>
      <c r="L928" s="16"/>
      <c r="M928" s="9"/>
      <c r="S928" s="16"/>
    </row>
    <row r="929" ht="15.75" customHeight="1">
      <c r="B929" s="177"/>
      <c r="C929" s="14"/>
      <c r="D929" s="22"/>
      <c r="E929" s="22"/>
      <c r="H929" s="24"/>
      <c r="I929" s="24"/>
      <c r="K929" s="16"/>
      <c r="L929" s="16"/>
      <c r="M929" s="9"/>
      <c r="S929" s="16"/>
    </row>
    <row r="930" ht="15.75" customHeight="1">
      <c r="B930" s="177"/>
      <c r="C930" s="14"/>
      <c r="D930" s="22"/>
      <c r="E930" s="22"/>
      <c r="H930" s="24"/>
      <c r="I930" s="24"/>
      <c r="K930" s="16"/>
      <c r="L930" s="16"/>
      <c r="M930" s="9"/>
      <c r="S930" s="16"/>
    </row>
    <row r="931" ht="15.75" customHeight="1">
      <c r="B931" s="177"/>
      <c r="C931" s="14"/>
      <c r="D931" s="22"/>
      <c r="E931" s="22"/>
      <c r="H931" s="24"/>
      <c r="I931" s="24"/>
      <c r="K931" s="16"/>
      <c r="L931" s="16"/>
      <c r="M931" s="9"/>
      <c r="S931" s="16"/>
    </row>
    <row r="932" ht="15.75" customHeight="1">
      <c r="B932" s="177"/>
      <c r="C932" s="14"/>
      <c r="D932" s="22"/>
      <c r="E932" s="22"/>
      <c r="H932" s="24"/>
      <c r="I932" s="24"/>
      <c r="K932" s="16"/>
      <c r="L932" s="16"/>
      <c r="M932" s="9"/>
      <c r="S932" s="16"/>
    </row>
  </sheetData>
  <autoFilter ref="$A$6:$U$381">
    <sortState ref="A6:U381">
      <sortCondition ref="D6:D381"/>
      <sortCondition ref="E6:E381"/>
      <sortCondition ref="C6:C381"/>
    </sortState>
  </autoFilter>
  <mergeCells count="1">
    <mergeCell ref="M5:W5"/>
  </mergeCells>
  <dataValidations>
    <dataValidation type="list" allowBlank="1" showErrorMessage="1" sqref="K7:K932">
      <formula1>'Pembagian Tugas'!$O$4:$O$7</formula1>
    </dataValidation>
    <dataValidation type="list" allowBlank="1" showErrorMessage="1" sqref="B7:B348">
      <formula1>'Pembagian Tugas'!$P$4:$P$6</formula1>
    </dataValidation>
    <dataValidation type="list" allowBlank="1" showErrorMessage="1" sqref="L7:L932">
      <formula1>'Pembagian Tugas'!$Q$4:$Q$106</formula1>
    </dataValidation>
    <dataValidation type="list" allowBlank="1" showErrorMessage="1" sqref="B349:B932">
      <formula1>"I,II,III"</formula1>
    </dataValidation>
    <dataValidation type="list" allowBlank="1" showErrorMessage="1" sqref="M7:M932">
      <formula1>'Pembagian Tugas'!$R$4:$R$11</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16.0"/>
    <col customWidth="1" min="2" max="2" width="16.43"/>
    <col customWidth="1" min="4" max="4" width="26.43"/>
    <col customWidth="1" min="5" max="5" width="34.43"/>
    <col customWidth="1" min="6" max="6" width="46.29"/>
    <col customWidth="1" min="7" max="7" width="17.43"/>
    <col customWidth="1" min="8" max="8" width="14.71"/>
    <col customWidth="1" min="9" max="9" width="12.29"/>
    <col customWidth="1" min="10" max="10" width="10.43"/>
    <col customWidth="1" min="11" max="11" width="22.86"/>
    <col customWidth="1" min="12" max="12" width="26.14"/>
    <col customWidth="1" min="13" max="13" width="10.29"/>
    <col customWidth="1" min="14" max="14" width="12.43"/>
    <col customWidth="1" min="15" max="15" width="14.86"/>
    <col customWidth="1" min="16" max="16" width="13.0"/>
    <col customWidth="1" min="17" max="17" width="11.57"/>
    <col customWidth="1" min="18" max="18" width="12.43"/>
    <col customWidth="1" min="19" max="19" width="17.57"/>
    <col customWidth="1" min="20" max="20" width="15.29"/>
    <col customWidth="1" min="21" max="21" width="14.71"/>
    <col customWidth="1" hidden="1" min="22" max="22" width="13.29"/>
    <col customWidth="1" hidden="1" min="23" max="23" width="15.14"/>
    <col customWidth="1" hidden="1" min="24" max="24" width="10.43"/>
    <col customWidth="1" min="25" max="26" width="8.86"/>
  </cols>
  <sheetData>
    <row r="1" ht="21.75" customHeight="1">
      <c r="A1" s="2" t="s">
        <v>2</v>
      </c>
      <c r="C1" s="4"/>
      <c r="D1" s="6"/>
      <c r="E1" s="1"/>
      <c r="F1" s="11" t="s">
        <v>5</v>
      </c>
      <c r="G1" s="13" t="s">
        <v>13</v>
      </c>
      <c r="H1" s="1"/>
      <c r="I1" s="1"/>
      <c r="J1" s="1"/>
      <c r="K1" s="19"/>
      <c r="L1" s="19"/>
      <c r="M1" s="1"/>
      <c r="N1" s="1"/>
      <c r="O1" s="1"/>
      <c r="P1" s="1"/>
      <c r="Q1" s="1"/>
      <c r="R1" s="1"/>
      <c r="S1" s="19"/>
      <c r="T1" s="1"/>
      <c r="U1" s="1"/>
      <c r="V1" s="1"/>
      <c r="W1" s="1"/>
      <c r="X1" s="1"/>
      <c r="Y1" s="1"/>
      <c r="Z1" s="1"/>
    </row>
    <row r="2">
      <c r="A2" s="9" t="s">
        <v>4</v>
      </c>
      <c r="B2" s="9" t="s">
        <v>42</v>
      </c>
      <c r="C2" s="14"/>
      <c r="D2" s="22"/>
      <c r="E2" s="23"/>
      <c r="K2" s="16"/>
      <c r="L2" s="16"/>
      <c r="S2" s="16"/>
    </row>
    <row r="3">
      <c r="A3" s="22" t="s">
        <v>40</v>
      </c>
      <c r="B3" s="9" t="s">
        <v>42</v>
      </c>
      <c r="C3" s="14"/>
      <c r="D3" s="22"/>
      <c r="E3" s="25"/>
      <c r="K3" s="16"/>
      <c r="L3" s="16"/>
      <c r="S3" s="16"/>
    </row>
    <row r="4">
      <c r="A4" s="22"/>
      <c r="B4" s="26"/>
      <c r="C4" s="14"/>
      <c r="D4" s="22"/>
      <c r="E4" s="25"/>
      <c r="K4" s="16"/>
      <c r="L4" s="16"/>
      <c r="S4" s="16"/>
    </row>
    <row r="5">
      <c r="A5" s="27"/>
      <c r="B5" s="29"/>
      <c r="C5" s="30"/>
      <c r="D5" s="27"/>
      <c r="E5" s="27"/>
      <c r="F5" s="32"/>
      <c r="G5" s="32"/>
      <c r="H5" s="32"/>
      <c r="I5" s="32"/>
      <c r="J5" s="32"/>
      <c r="K5" s="34" t="s">
        <v>55</v>
      </c>
      <c r="L5" s="35"/>
      <c r="M5" s="36" t="s">
        <v>66</v>
      </c>
      <c r="N5" s="37"/>
      <c r="O5" s="37"/>
      <c r="P5" s="37"/>
      <c r="Q5" s="37"/>
      <c r="R5" s="37"/>
      <c r="S5" s="37"/>
      <c r="T5" s="37"/>
      <c r="U5" s="37"/>
      <c r="V5" s="37"/>
      <c r="W5" s="38"/>
      <c r="X5" s="39"/>
    </row>
    <row r="6">
      <c r="A6" s="40" t="s">
        <v>71</v>
      </c>
      <c r="B6" s="41" t="s">
        <v>74</v>
      </c>
      <c r="C6" s="40" t="s">
        <v>75</v>
      </c>
      <c r="D6" s="40" t="s">
        <v>76</v>
      </c>
      <c r="E6" s="40" t="s">
        <v>77</v>
      </c>
      <c r="F6" s="40" t="s">
        <v>78</v>
      </c>
      <c r="G6" s="40" t="s">
        <v>80</v>
      </c>
      <c r="H6" s="40" t="s">
        <v>81</v>
      </c>
      <c r="I6" s="40" t="s">
        <v>83</v>
      </c>
      <c r="J6" s="40" t="s">
        <v>84</v>
      </c>
      <c r="K6" s="40" t="s">
        <v>87</v>
      </c>
      <c r="L6" s="40" t="s">
        <v>88</v>
      </c>
      <c r="M6" s="40" t="s">
        <v>90</v>
      </c>
      <c r="N6" s="40" t="s">
        <v>91</v>
      </c>
      <c r="O6" s="40" t="s">
        <v>92</v>
      </c>
      <c r="P6" s="40" t="s">
        <v>93</v>
      </c>
      <c r="Q6" s="40" t="s">
        <v>94</v>
      </c>
      <c r="R6" s="40" t="s">
        <v>96</v>
      </c>
      <c r="S6" s="40" t="s">
        <v>99</v>
      </c>
      <c r="T6" s="40" t="s">
        <v>102</v>
      </c>
      <c r="U6" s="40" t="s">
        <v>103</v>
      </c>
      <c r="V6" s="40" t="s">
        <v>104</v>
      </c>
      <c r="W6" s="40" t="s">
        <v>105</v>
      </c>
      <c r="X6" s="40" t="s">
        <v>107</v>
      </c>
      <c r="Y6" s="42"/>
      <c r="Z6" s="42"/>
    </row>
    <row r="7">
      <c r="A7" s="51" t="s">
        <v>54</v>
      </c>
      <c r="B7" s="44" t="s">
        <v>17</v>
      </c>
      <c r="C7" s="52" t="s">
        <v>101</v>
      </c>
      <c r="D7" s="53" t="s">
        <v>125</v>
      </c>
      <c r="E7" s="53" t="s">
        <v>129</v>
      </c>
      <c r="F7" s="48"/>
      <c r="G7" s="48"/>
      <c r="H7" s="48"/>
      <c r="I7" s="48"/>
      <c r="J7" s="48"/>
      <c r="K7" s="50"/>
      <c r="L7" s="50" t="s">
        <v>54</v>
      </c>
      <c r="M7" s="48"/>
      <c r="N7" s="43"/>
      <c r="O7" s="43"/>
      <c r="P7" s="43"/>
      <c r="Q7" s="43"/>
      <c r="R7" s="43"/>
      <c r="S7" s="54" t="str">
        <f t="shared" ref="S7:S361" si="1">IFERROR(Q7/R7,"-")</f>
        <v>-</v>
      </c>
      <c r="T7" s="43" t="str">
        <f>'Kertas Kerja'!$I268</f>
        <v/>
      </c>
      <c r="U7" s="43" t="str">
        <f t="shared" ref="U7:U361" si="2">IFERROR(S7*T7,)</f>
        <v/>
      </c>
      <c r="V7" s="56">
        <f t="shared" ref="V7:V361" si="3">+U7/5.5</f>
        <v>0</v>
      </c>
      <c r="W7" s="56">
        <f t="shared" ref="W7:W361" si="4">U7/1250</f>
        <v>0</v>
      </c>
      <c r="X7" s="56"/>
    </row>
    <row r="8">
      <c r="A8" s="57" t="s">
        <v>54</v>
      </c>
      <c r="B8" s="58" t="s">
        <v>17</v>
      </c>
      <c r="C8" s="73" t="s">
        <v>101</v>
      </c>
      <c r="D8" s="74" t="s">
        <v>125</v>
      </c>
      <c r="E8" s="74" t="s">
        <v>174</v>
      </c>
      <c r="F8" s="68"/>
      <c r="G8" s="68"/>
      <c r="H8" s="68"/>
      <c r="I8" s="68"/>
      <c r="J8" s="68"/>
      <c r="K8" s="67"/>
      <c r="L8" s="67"/>
      <c r="M8" s="68"/>
      <c r="N8" s="57"/>
      <c r="O8" s="57"/>
      <c r="P8" s="57"/>
      <c r="Q8" s="57"/>
      <c r="R8" s="57"/>
      <c r="S8" s="69" t="str">
        <f t="shared" si="1"/>
        <v>-</v>
      </c>
      <c r="T8" s="57" t="str">
        <f>'Kertas Kerja'!$I245</f>
        <v/>
      </c>
      <c r="U8" s="57" t="str">
        <f t="shared" si="2"/>
        <v/>
      </c>
      <c r="V8" s="70">
        <f t="shared" si="3"/>
        <v>0</v>
      </c>
      <c r="W8" s="70">
        <f t="shared" si="4"/>
        <v>0</v>
      </c>
      <c r="X8" s="70"/>
    </row>
    <row r="9">
      <c r="A9" s="43" t="s">
        <v>54</v>
      </c>
      <c r="B9" s="44" t="s">
        <v>17</v>
      </c>
      <c r="C9" s="52" t="s">
        <v>101</v>
      </c>
      <c r="D9" s="53" t="s">
        <v>125</v>
      </c>
      <c r="E9" s="53" t="s">
        <v>194</v>
      </c>
      <c r="F9" s="48"/>
      <c r="G9" s="48"/>
      <c r="H9" s="48"/>
      <c r="I9" s="48"/>
      <c r="J9" s="48"/>
      <c r="K9" s="50"/>
      <c r="L9" s="50"/>
      <c r="M9" s="48"/>
      <c r="N9" s="43"/>
      <c r="O9" s="43"/>
      <c r="P9" s="43"/>
      <c r="Q9" s="43"/>
      <c r="R9" s="43"/>
      <c r="S9" s="54" t="str">
        <f t="shared" si="1"/>
        <v>-</v>
      </c>
      <c r="T9" s="43" t="str">
        <f>'Kertas Kerja'!$I246</f>
        <v/>
      </c>
      <c r="U9" s="43" t="str">
        <f t="shared" si="2"/>
        <v/>
      </c>
      <c r="V9" s="56">
        <f t="shared" si="3"/>
        <v>0</v>
      </c>
      <c r="W9" s="56">
        <f t="shared" si="4"/>
        <v>0</v>
      </c>
      <c r="X9" s="56"/>
    </row>
    <row r="10">
      <c r="A10" s="57" t="s">
        <v>54</v>
      </c>
      <c r="B10" s="58" t="s">
        <v>17</v>
      </c>
      <c r="C10" s="73" t="s">
        <v>101</v>
      </c>
      <c r="D10" s="74" t="s">
        <v>212</v>
      </c>
      <c r="E10" s="74" t="s">
        <v>214</v>
      </c>
      <c r="F10" s="68"/>
      <c r="G10" s="68"/>
      <c r="H10" s="68"/>
      <c r="I10" s="68"/>
      <c r="J10" s="68"/>
      <c r="K10" s="67"/>
      <c r="L10" s="67"/>
      <c r="M10" s="68"/>
      <c r="N10" s="57"/>
      <c r="O10" s="57"/>
      <c r="P10" s="57"/>
      <c r="Q10" s="57"/>
      <c r="R10" s="57"/>
      <c r="S10" s="69" t="str">
        <f t="shared" si="1"/>
        <v>-</v>
      </c>
      <c r="T10" s="57" t="str">
        <f>'Kertas Kerja'!$I285</f>
        <v/>
      </c>
      <c r="U10" s="57" t="str">
        <f t="shared" si="2"/>
        <v/>
      </c>
      <c r="V10" s="70">
        <f t="shared" si="3"/>
        <v>0</v>
      </c>
      <c r="W10" s="70">
        <f t="shared" si="4"/>
        <v>0</v>
      </c>
      <c r="X10" s="70"/>
    </row>
    <row r="11">
      <c r="A11" s="43" t="s">
        <v>54</v>
      </c>
      <c r="B11" s="44" t="s">
        <v>17</v>
      </c>
      <c r="C11" s="52" t="s">
        <v>101</v>
      </c>
      <c r="D11" s="53" t="s">
        <v>125</v>
      </c>
      <c r="E11" s="53" t="s">
        <v>273</v>
      </c>
      <c r="F11" s="48"/>
      <c r="G11" s="48"/>
      <c r="H11" s="48"/>
      <c r="I11" s="48"/>
      <c r="J11" s="48"/>
      <c r="K11" s="50"/>
      <c r="L11" s="50"/>
      <c r="M11" s="48"/>
      <c r="N11" s="43"/>
      <c r="O11" s="43"/>
      <c r="P11" s="43"/>
      <c r="Q11" s="43"/>
      <c r="R11" s="43"/>
      <c r="S11" s="54" t="str">
        <f t="shared" si="1"/>
        <v>-</v>
      </c>
      <c r="T11" s="43" t="str">
        <f>'Kertas Kerja'!$I247</f>
        <v/>
      </c>
      <c r="U11" s="43" t="str">
        <f t="shared" si="2"/>
        <v/>
      </c>
      <c r="V11" s="56">
        <f t="shared" si="3"/>
        <v>0</v>
      </c>
      <c r="W11" s="56">
        <f t="shared" si="4"/>
        <v>0</v>
      </c>
      <c r="X11" s="56"/>
    </row>
    <row r="12">
      <c r="A12" s="57" t="s">
        <v>54</v>
      </c>
      <c r="B12" s="58" t="s">
        <v>17</v>
      </c>
      <c r="C12" s="73" t="s">
        <v>101</v>
      </c>
      <c r="D12" s="74" t="s">
        <v>296</v>
      </c>
      <c r="E12" s="74" t="s">
        <v>298</v>
      </c>
      <c r="F12" s="68"/>
      <c r="G12" s="68"/>
      <c r="H12" s="68"/>
      <c r="I12" s="68"/>
      <c r="J12" s="68"/>
      <c r="K12" s="67"/>
      <c r="L12" s="67"/>
      <c r="M12" s="68"/>
      <c r="N12" s="57"/>
      <c r="O12" s="57"/>
      <c r="P12" s="57"/>
      <c r="Q12" s="57"/>
      <c r="R12" s="57"/>
      <c r="S12" s="69" t="str">
        <f t="shared" si="1"/>
        <v>-</v>
      </c>
      <c r="T12" s="57" t="str">
        <f>'Kertas Kerja'!$I269</f>
        <v/>
      </c>
      <c r="U12" s="57" t="str">
        <f t="shared" si="2"/>
        <v/>
      </c>
      <c r="V12" s="70">
        <f t="shared" si="3"/>
        <v>0</v>
      </c>
      <c r="W12" s="70">
        <f t="shared" si="4"/>
        <v>0</v>
      </c>
      <c r="X12" s="70"/>
    </row>
    <row r="13">
      <c r="A13" s="43" t="s">
        <v>54</v>
      </c>
      <c r="B13" s="44" t="s">
        <v>17</v>
      </c>
      <c r="C13" s="52" t="s">
        <v>101</v>
      </c>
      <c r="D13" s="53" t="s">
        <v>296</v>
      </c>
      <c r="E13" s="53" t="s">
        <v>303</v>
      </c>
      <c r="F13" s="48"/>
      <c r="G13" s="48"/>
      <c r="H13" s="48"/>
      <c r="I13" s="48"/>
      <c r="J13" s="48"/>
      <c r="K13" s="50"/>
      <c r="L13" s="50"/>
      <c r="M13" s="48"/>
      <c r="N13" s="43"/>
      <c r="O13" s="43"/>
      <c r="P13" s="43"/>
      <c r="Q13" s="43"/>
      <c r="R13" s="43"/>
      <c r="S13" s="54" t="str">
        <f t="shared" si="1"/>
        <v>-</v>
      </c>
      <c r="T13" s="43" t="str">
        <f>'Kertas Kerja'!$I270</f>
        <v/>
      </c>
      <c r="U13" s="43" t="str">
        <f t="shared" si="2"/>
        <v/>
      </c>
      <c r="V13" s="56">
        <f t="shared" si="3"/>
        <v>0</v>
      </c>
      <c r="W13" s="56">
        <f t="shared" si="4"/>
        <v>0</v>
      </c>
      <c r="X13" s="56"/>
    </row>
    <row r="14">
      <c r="A14" s="57" t="s">
        <v>54</v>
      </c>
      <c r="B14" s="58" t="s">
        <v>17</v>
      </c>
      <c r="C14" s="73" t="s">
        <v>101</v>
      </c>
      <c r="D14" s="74" t="s">
        <v>296</v>
      </c>
      <c r="E14" s="74" t="s">
        <v>314</v>
      </c>
      <c r="F14" s="68"/>
      <c r="G14" s="68"/>
      <c r="H14" s="68"/>
      <c r="I14" s="68"/>
      <c r="J14" s="68"/>
      <c r="K14" s="67"/>
      <c r="L14" s="67"/>
      <c r="M14" s="68"/>
      <c r="N14" s="57"/>
      <c r="O14" s="57"/>
      <c r="P14" s="57"/>
      <c r="Q14" s="57"/>
      <c r="R14" s="57"/>
      <c r="S14" s="69" t="str">
        <f t="shared" si="1"/>
        <v>-</v>
      </c>
      <c r="T14" s="57" t="str">
        <f>'Kertas Kerja'!$I271</f>
        <v/>
      </c>
      <c r="U14" s="57" t="str">
        <f t="shared" si="2"/>
        <v/>
      </c>
      <c r="V14" s="70">
        <f t="shared" si="3"/>
        <v>0</v>
      </c>
      <c r="W14" s="70">
        <f t="shared" si="4"/>
        <v>0</v>
      </c>
      <c r="X14" s="70"/>
    </row>
    <row r="15">
      <c r="A15" s="43" t="s">
        <v>54</v>
      </c>
      <c r="B15" s="44" t="s">
        <v>17</v>
      </c>
      <c r="C15" s="52" t="s">
        <v>101</v>
      </c>
      <c r="D15" s="53" t="s">
        <v>296</v>
      </c>
      <c r="E15" s="53" t="s">
        <v>355</v>
      </c>
      <c r="F15" s="48"/>
      <c r="G15" s="48"/>
      <c r="H15" s="48"/>
      <c r="I15" s="48"/>
      <c r="J15" s="48"/>
      <c r="K15" s="50"/>
      <c r="L15" s="50"/>
      <c r="M15" s="48"/>
      <c r="N15" s="43"/>
      <c r="O15" s="43"/>
      <c r="P15" s="43"/>
      <c r="Q15" s="43"/>
      <c r="R15" s="43"/>
      <c r="S15" s="54" t="str">
        <f t="shared" si="1"/>
        <v>-</v>
      </c>
      <c r="T15" s="43" t="str">
        <f>'Kertas Kerja'!$I272</f>
        <v/>
      </c>
      <c r="U15" s="43" t="str">
        <f t="shared" si="2"/>
        <v/>
      </c>
      <c r="V15" s="56">
        <f t="shared" si="3"/>
        <v>0</v>
      </c>
      <c r="W15" s="56">
        <f t="shared" si="4"/>
        <v>0</v>
      </c>
      <c r="X15" s="56"/>
    </row>
    <row r="16">
      <c r="A16" s="57" t="s">
        <v>54</v>
      </c>
      <c r="B16" s="58" t="s">
        <v>17</v>
      </c>
      <c r="C16" s="73" t="s">
        <v>101</v>
      </c>
      <c r="D16" s="74" t="s">
        <v>296</v>
      </c>
      <c r="E16" s="74" t="s">
        <v>370</v>
      </c>
      <c r="F16" s="68"/>
      <c r="G16" s="68"/>
      <c r="H16" s="68"/>
      <c r="I16" s="68"/>
      <c r="J16" s="68"/>
      <c r="K16" s="67"/>
      <c r="L16" s="67"/>
      <c r="M16" s="68"/>
      <c r="N16" s="57"/>
      <c r="O16" s="57"/>
      <c r="P16" s="57"/>
      <c r="Q16" s="57"/>
      <c r="R16" s="57"/>
      <c r="S16" s="69" t="str">
        <f t="shared" si="1"/>
        <v>-</v>
      </c>
      <c r="T16" s="57" t="str">
        <f>'Kertas Kerja'!$I273</f>
        <v/>
      </c>
      <c r="U16" s="57" t="str">
        <f t="shared" si="2"/>
        <v/>
      </c>
      <c r="V16" s="70">
        <f t="shared" si="3"/>
        <v>0</v>
      </c>
      <c r="W16" s="70">
        <f t="shared" si="4"/>
        <v>0</v>
      </c>
      <c r="X16" s="70"/>
    </row>
    <row r="17">
      <c r="A17" s="43" t="s">
        <v>54</v>
      </c>
      <c r="B17" s="44" t="s">
        <v>17</v>
      </c>
      <c r="C17" s="52" t="s">
        <v>101</v>
      </c>
      <c r="D17" s="53" t="s">
        <v>388</v>
      </c>
      <c r="E17" s="94" t="s">
        <v>390</v>
      </c>
      <c r="F17" s="48"/>
      <c r="G17" s="48"/>
      <c r="H17" s="48"/>
      <c r="I17" s="48"/>
      <c r="J17" s="48"/>
      <c r="K17" s="50"/>
      <c r="L17" s="50"/>
      <c r="M17" s="48"/>
      <c r="N17" s="43"/>
      <c r="O17" s="43"/>
      <c r="P17" s="43"/>
      <c r="Q17" s="43"/>
      <c r="R17" s="43"/>
      <c r="S17" s="54" t="str">
        <f t="shared" si="1"/>
        <v>-</v>
      </c>
      <c r="T17" s="43" t="str">
        <f>'Kertas Kerja'!$I297</f>
        <v/>
      </c>
      <c r="U17" s="43" t="str">
        <f t="shared" si="2"/>
        <v/>
      </c>
      <c r="V17" s="56">
        <f t="shared" si="3"/>
        <v>0</v>
      </c>
      <c r="W17" s="56">
        <f t="shared" si="4"/>
        <v>0</v>
      </c>
      <c r="X17" s="56"/>
    </row>
    <row r="18">
      <c r="A18" s="57" t="s">
        <v>54</v>
      </c>
      <c r="B18" s="58" t="s">
        <v>17</v>
      </c>
      <c r="C18" s="73" t="s">
        <v>101</v>
      </c>
      <c r="D18" s="74" t="s">
        <v>125</v>
      </c>
      <c r="E18" s="74" t="s">
        <v>406</v>
      </c>
      <c r="F18" s="68"/>
      <c r="G18" s="68"/>
      <c r="H18" s="68"/>
      <c r="I18" s="68"/>
      <c r="J18" s="68"/>
      <c r="K18" s="67"/>
      <c r="L18" s="67" t="s">
        <v>413</v>
      </c>
      <c r="M18" s="68"/>
      <c r="N18" s="57"/>
      <c r="O18" s="57"/>
      <c r="P18" s="57"/>
      <c r="Q18" s="57"/>
      <c r="R18" s="57"/>
      <c r="S18" s="69" t="str">
        <f t="shared" si="1"/>
        <v>-</v>
      </c>
      <c r="T18" s="57" t="str">
        <f>'Kertas Kerja'!$I248</f>
        <v/>
      </c>
      <c r="U18" s="57" t="str">
        <f t="shared" si="2"/>
        <v/>
      </c>
      <c r="V18" s="70">
        <f t="shared" si="3"/>
        <v>0</v>
      </c>
      <c r="W18" s="70">
        <f t="shared" si="4"/>
        <v>0</v>
      </c>
      <c r="X18" s="70"/>
    </row>
    <row r="19">
      <c r="A19" s="43" t="s">
        <v>54</v>
      </c>
      <c r="B19" s="44" t="s">
        <v>17</v>
      </c>
      <c r="C19" s="52" t="s">
        <v>101</v>
      </c>
      <c r="D19" s="53" t="s">
        <v>125</v>
      </c>
      <c r="E19" s="53" t="s">
        <v>425</v>
      </c>
      <c r="F19" s="48"/>
      <c r="G19" s="48"/>
      <c r="H19" s="48"/>
      <c r="I19" s="48"/>
      <c r="J19" s="48"/>
      <c r="K19" s="50"/>
      <c r="L19" s="50"/>
      <c r="M19" s="48"/>
      <c r="N19" s="43"/>
      <c r="O19" s="43"/>
      <c r="P19" s="43"/>
      <c r="Q19" s="43"/>
      <c r="R19" s="43"/>
      <c r="S19" s="54" t="str">
        <f t="shared" si="1"/>
        <v>-</v>
      </c>
      <c r="T19" s="43" t="str">
        <f>'Kertas Kerja'!$I249</f>
        <v/>
      </c>
      <c r="U19" s="43" t="str">
        <f t="shared" si="2"/>
        <v/>
      </c>
      <c r="V19" s="56">
        <f t="shared" si="3"/>
        <v>0</v>
      </c>
      <c r="W19" s="56">
        <f t="shared" si="4"/>
        <v>0</v>
      </c>
      <c r="X19" s="56"/>
    </row>
    <row r="20">
      <c r="A20" s="57" t="s">
        <v>54</v>
      </c>
      <c r="B20" s="58" t="s">
        <v>17</v>
      </c>
      <c r="C20" s="73" t="s">
        <v>101</v>
      </c>
      <c r="D20" s="74" t="s">
        <v>125</v>
      </c>
      <c r="E20" s="74" t="s">
        <v>447</v>
      </c>
      <c r="F20" s="68"/>
      <c r="G20" s="68"/>
      <c r="H20" s="68"/>
      <c r="I20" s="68"/>
      <c r="J20" s="68"/>
      <c r="K20" s="67"/>
      <c r="L20" s="67"/>
      <c r="M20" s="68"/>
      <c r="N20" s="57"/>
      <c r="O20" s="57"/>
      <c r="P20" s="57"/>
      <c r="Q20" s="57"/>
      <c r="R20" s="57"/>
      <c r="S20" s="69" t="str">
        <f t="shared" si="1"/>
        <v>-</v>
      </c>
      <c r="T20" s="57" t="str">
        <f>'Kertas Kerja'!$I250</f>
        <v/>
      </c>
      <c r="U20" s="57" t="str">
        <f t="shared" si="2"/>
        <v/>
      </c>
      <c r="V20" s="70">
        <f t="shared" si="3"/>
        <v>0</v>
      </c>
      <c r="W20" s="70">
        <f t="shared" si="4"/>
        <v>0</v>
      </c>
      <c r="X20" s="70"/>
    </row>
    <row r="21" ht="15.75" customHeight="1">
      <c r="A21" s="43" t="s">
        <v>54</v>
      </c>
      <c r="B21" s="44" t="s">
        <v>17</v>
      </c>
      <c r="C21" s="52" t="s">
        <v>101</v>
      </c>
      <c r="D21" s="53" t="s">
        <v>296</v>
      </c>
      <c r="E21" s="53" t="s">
        <v>467</v>
      </c>
      <c r="F21" s="48"/>
      <c r="G21" s="48"/>
      <c r="H21" s="48"/>
      <c r="I21" s="48"/>
      <c r="J21" s="48"/>
      <c r="K21" s="50"/>
      <c r="L21" s="50"/>
      <c r="M21" s="48"/>
      <c r="N21" s="43"/>
      <c r="O21" s="43"/>
      <c r="P21" s="43"/>
      <c r="Q21" s="43"/>
      <c r="R21" s="43"/>
      <c r="S21" s="54" t="str">
        <f t="shared" si="1"/>
        <v>-</v>
      </c>
      <c r="T21" s="43" t="str">
        <f>'Kertas Kerja'!$I274</f>
        <v/>
      </c>
      <c r="U21" s="43" t="str">
        <f t="shared" si="2"/>
        <v/>
      </c>
      <c r="V21" s="56">
        <f t="shared" si="3"/>
        <v>0</v>
      </c>
      <c r="W21" s="56">
        <f t="shared" si="4"/>
        <v>0</v>
      </c>
      <c r="X21" s="56"/>
    </row>
    <row r="22" ht="15.75" customHeight="1">
      <c r="A22" s="57" t="s">
        <v>54</v>
      </c>
      <c r="B22" s="58" t="s">
        <v>17</v>
      </c>
      <c r="C22" s="73" t="s">
        <v>101</v>
      </c>
      <c r="D22" s="74" t="s">
        <v>125</v>
      </c>
      <c r="E22" s="74" t="s">
        <v>492</v>
      </c>
      <c r="F22" s="68"/>
      <c r="G22" s="68"/>
      <c r="H22" s="68"/>
      <c r="I22" s="68"/>
      <c r="J22" s="68"/>
      <c r="K22" s="67"/>
      <c r="L22" s="67"/>
      <c r="M22" s="68"/>
      <c r="N22" s="57"/>
      <c r="O22" s="57"/>
      <c r="P22" s="57"/>
      <c r="Q22" s="57"/>
      <c r="R22" s="57"/>
      <c r="S22" s="69" t="str">
        <f t="shared" si="1"/>
        <v>-</v>
      </c>
      <c r="T22" s="57" t="str">
        <f>'Kertas Kerja'!$I251</f>
        <v/>
      </c>
      <c r="U22" s="57" t="str">
        <f t="shared" si="2"/>
        <v/>
      </c>
      <c r="V22" s="70">
        <f t="shared" si="3"/>
        <v>0</v>
      </c>
      <c r="W22" s="70">
        <f t="shared" si="4"/>
        <v>0</v>
      </c>
      <c r="X22" s="70"/>
    </row>
    <row r="23" ht="15.75" customHeight="1">
      <c r="A23" s="43" t="s">
        <v>54</v>
      </c>
      <c r="B23" s="44" t="s">
        <v>17</v>
      </c>
      <c r="C23" s="52" t="s">
        <v>101</v>
      </c>
      <c r="D23" s="53" t="s">
        <v>125</v>
      </c>
      <c r="E23" s="53" t="s">
        <v>512</v>
      </c>
      <c r="F23" s="48"/>
      <c r="G23" s="48"/>
      <c r="H23" s="48"/>
      <c r="I23" s="48"/>
      <c r="J23" s="48"/>
      <c r="K23" s="50"/>
      <c r="L23" s="50"/>
      <c r="M23" s="48"/>
      <c r="N23" s="43"/>
      <c r="O23" s="43"/>
      <c r="P23" s="43"/>
      <c r="Q23" s="43"/>
      <c r="R23" s="43"/>
      <c r="S23" s="54" t="str">
        <f t="shared" si="1"/>
        <v>-</v>
      </c>
      <c r="T23" s="43" t="str">
        <f>'Kertas Kerja'!$I252</f>
        <v/>
      </c>
      <c r="U23" s="43" t="str">
        <f t="shared" si="2"/>
        <v/>
      </c>
      <c r="V23" s="56">
        <f t="shared" si="3"/>
        <v>0</v>
      </c>
      <c r="W23" s="56">
        <f t="shared" si="4"/>
        <v>0</v>
      </c>
      <c r="X23" s="56"/>
    </row>
    <row r="24" ht="15.75" customHeight="1">
      <c r="A24" s="57" t="s">
        <v>54</v>
      </c>
      <c r="B24" s="58" t="s">
        <v>17</v>
      </c>
      <c r="C24" s="73" t="s">
        <v>101</v>
      </c>
      <c r="D24" s="74" t="s">
        <v>125</v>
      </c>
      <c r="E24" s="74" t="s">
        <v>538</v>
      </c>
      <c r="F24" s="68"/>
      <c r="G24" s="68"/>
      <c r="H24" s="68"/>
      <c r="I24" s="68"/>
      <c r="J24" s="68"/>
      <c r="K24" s="67"/>
      <c r="L24" s="67"/>
      <c r="M24" s="68"/>
      <c r="N24" s="57"/>
      <c r="O24" s="57"/>
      <c r="P24" s="57"/>
      <c r="Q24" s="57"/>
      <c r="R24" s="57"/>
      <c r="S24" s="69" t="str">
        <f t="shared" si="1"/>
        <v>-</v>
      </c>
      <c r="T24" s="57" t="str">
        <f>'Kertas Kerja'!$I253</f>
        <v/>
      </c>
      <c r="U24" s="57" t="str">
        <f t="shared" si="2"/>
        <v/>
      </c>
      <c r="V24" s="70">
        <f t="shared" si="3"/>
        <v>0</v>
      </c>
      <c r="W24" s="70">
        <f t="shared" si="4"/>
        <v>0</v>
      </c>
      <c r="X24" s="70"/>
    </row>
    <row r="25" ht="15.75" customHeight="1">
      <c r="A25" s="43" t="s">
        <v>54</v>
      </c>
      <c r="B25" s="44" t="s">
        <v>17</v>
      </c>
      <c r="C25" s="52" t="s">
        <v>101</v>
      </c>
      <c r="D25" s="53" t="s">
        <v>553</v>
      </c>
      <c r="E25" s="53" t="s">
        <v>556</v>
      </c>
      <c r="F25" s="48"/>
      <c r="G25" s="48"/>
      <c r="H25" s="48"/>
      <c r="I25" s="48"/>
      <c r="J25" s="48"/>
      <c r="K25" s="50"/>
      <c r="L25" s="50"/>
      <c r="M25" s="48"/>
      <c r="N25" s="43"/>
      <c r="O25" s="43"/>
      <c r="P25" s="43"/>
      <c r="Q25" s="43"/>
      <c r="R25" s="43"/>
      <c r="S25" s="54" t="str">
        <f t="shared" si="1"/>
        <v>-</v>
      </c>
      <c r="T25" s="43" t="str">
        <f>'Kertas Kerja'!$I240</f>
        <v/>
      </c>
      <c r="U25" s="43" t="str">
        <f t="shared" si="2"/>
        <v/>
      </c>
      <c r="V25" s="56">
        <f t="shared" si="3"/>
        <v>0</v>
      </c>
      <c r="W25" s="56">
        <f t="shared" si="4"/>
        <v>0</v>
      </c>
      <c r="X25" s="56"/>
    </row>
    <row r="26" ht="15.75" customHeight="1">
      <c r="A26" s="57" t="s">
        <v>54</v>
      </c>
      <c r="B26" s="58" t="s">
        <v>17</v>
      </c>
      <c r="C26" s="73" t="s">
        <v>101</v>
      </c>
      <c r="D26" s="74" t="s">
        <v>125</v>
      </c>
      <c r="E26" s="74" t="s">
        <v>565</v>
      </c>
      <c r="F26" s="68"/>
      <c r="G26" s="68"/>
      <c r="H26" s="68"/>
      <c r="I26" s="68"/>
      <c r="J26" s="68"/>
      <c r="K26" s="67"/>
      <c r="L26" s="67"/>
      <c r="M26" s="68"/>
      <c r="N26" s="57"/>
      <c r="O26" s="57"/>
      <c r="P26" s="57"/>
      <c r="Q26" s="57"/>
      <c r="R26" s="57"/>
      <c r="S26" s="69" t="str">
        <f t="shared" si="1"/>
        <v>-</v>
      </c>
      <c r="T26" s="57" t="str">
        <f>'Kertas Kerja'!$I254</f>
        <v/>
      </c>
      <c r="U26" s="57" t="str">
        <f t="shared" si="2"/>
        <v/>
      </c>
      <c r="V26" s="70">
        <f t="shared" si="3"/>
        <v>0</v>
      </c>
      <c r="W26" s="70">
        <f t="shared" si="4"/>
        <v>0</v>
      </c>
      <c r="X26" s="70"/>
    </row>
    <row r="27" ht="15.75" customHeight="1">
      <c r="A27" s="43" t="s">
        <v>54</v>
      </c>
      <c r="B27" s="44" t="s">
        <v>17</v>
      </c>
      <c r="C27" s="52" t="s">
        <v>101</v>
      </c>
      <c r="D27" s="53" t="s">
        <v>125</v>
      </c>
      <c r="E27" s="53" t="s">
        <v>571</v>
      </c>
      <c r="F27" s="48"/>
      <c r="G27" s="48"/>
      <c r="H27" s="48"/>
      <c r="I27" s="48"/>
      <c r="J27" s="48"/>
      <c r="K27" s="50"/>
      <c r="L27" s="50"/>
      <c r="M27" s="48"/>
      <c r="N27" s="43"/>
      <c r="O27" s="43"/>
      <c r="P27" s="43"/>
      <c r="Q27" s="43"/>
      <c r="R27" s="43"/>
      <c r="S27" s="54" t="str">
        <f t="shared" si="1"/>
        <v>-</v>
      </c>
      <c r="T27" s="43" t="str">
        <f>'Kertas Kerja'!$I255</f>
        <v/>
      </c>
      <c r="U27" s="43" t="str">
        <f t="shared" si="2"/>
        <v/>
      </c>
      <c r="V27" s="56">
        <f t="shared" si="3"/>
        <v>0</v>
      </c>
      <c r="W27" s="56">
        <f t="shared" si="4"/>
        <v>0</v>
      </c>
      <c r="X27" s="56"/>
    </row>
    <row r="28" ht="15.75" customHeight="1">
      <c r="A28" s="57" t="s">
        <v>54</v>
      </c>
      <c r="B28" s="58" t="s">
        <v>17</v>
      </c>
      <c r="C28" s="73" t="s">
        <v>101</v>
      </c>
      <c r="D28" s="74" t="s">
        <v>296</v>
      </c>
      <c r="E28" s="74" t="s">
        <v>577</v>
      </c>
      <c r="F28" s="68"/>
      <c r="G28" s="68"/>
      <c r="H28" s="68"/>
      <c r="I28" s="68"/>
      <c r="J28" s="68"/>
      <c r="K28" s="67"/>
      <c r="L28" s="67"/>
      <c r="M28" s="68"/>
      <c r="N28" s="57"/>
      <c r="O28" s="57"/>
      <c r="P28" s="57"/>
      <c r="Q28" s="57"/>
      <c r="R28" s="57"/>
      <c r="S28" s="69" t="str">
        <f t="shared" si="1"/>
        <v>-</v>
      </c>
      <c r="T28" s="57" t="str">
        <f>'Kertas Kerja'!$I275</f>
        <v/>
      </c>
      <c r="U28" s="57" t="str">
        <f t="shared" si="2"/>
        <v/>
      </c>
      <c r="V28" s="70">
        <f t="shared" si="3"/>
        <v>0</v>
      </c>
      <c r="W28" s="70">
        <f t="shared" si="4"/>
        <v>0</v>
      </c>
      <c r="X28" s="70"/>
    </row>
    <row r="29" ht="15.75" customHeight="1">
      <c r="A29" s="43" t="s">
        <v>54</v>
      </c>
      <c r="B29" s="44" t="s">
        <v>17</v>
      </c>
      <c r="C29" s="52" t="s">
        <v>101</v>
      </c>
      <c r="D29" s="53" t="s">
        <v>585</v>
      </c>
      <c r="E29" s="53" t="s">
        <v>585</v>
      </c>
      <c r="F29" s="48"/>
      <c r="G29" s="48"/>
      <c r="H29" s="48"/>
      <c r="I29" s="48"/>
      <c r="J29" s="48"/>
      <c r="K29" s="50"/>
      <c r="L29" s="50"/>
      <c r="M29" s="48"/>
      <c r="N29" s="43"/>
      <c r="O29" s="43"/>
      <c r="P29" s="43"/>
      <c r="Q29" s="43"/>
      <c r="R29" s="43"/>
      <c r="S29" s="54" t="str">
        <f t="shared" si="1"/>
        <v>-</v>
      </c>
      <c r="T29" s="43" t="str">
        <f>#REF!</f>
        <v>#REF!</v>
      </c>
      <c r="U29" s="43" t="str">
        <f t="shared" si="2"/>
        <v/>
      </c>
      <c r="V29" s="56">
        <f t="shared" si="3"/>
        <v>0</v>
      </c>
      <c r="W29" s="56">
        <f t="shared" si="4"/>
        <v>0</v>
      </c>
      <c r="X29" s="56"/>
    </row>
    <row r="30" ht="15.75" customHeight="1">
      <c r="A30" s="57" t="s">
        <v>54</v>
      </c>
      <c r="B30" s="58" t="s">
        <v>17</v>
      </c>
      <c r="C30" s="73" t="s">
        <v>101</v>
      </c>
      <c r="D30" s="74" t="s">
        <v>592</v>
      </c>
      <c r="E30" s="74" t="s">
        <v>592</v>
      </c>
      <c r="F30" s="68"/>
      <c r="G30" s="68"/>
      <c r="H30" s="68"/>
      <c r="I30" s="68"/>
      <c r="J30" s="68"/>
      <c r="K30" s="67"/>
      <c r="L30" s="67"/>
      <c r="M30" s="68"/>
      <c r="N30" s="57"/>
      <c r="O30" s="57"/>
      <c r="P30" s="57"/>
      <c r="Q30" s="57"/>
      <c r="R30" s="57"/>
      <c r="S30" s="69" t="str">
        <f t="shared" si="1"/>
        <v>-</v>
      </c>
      <c r="T30" s="57" t="str">
        <f>'Kertas Kerja'!$I242</f>
        <v/>
      </c>
      <c r="U30" s="57" t="str">
        <f t="shared" si="2"/>
        <v/>
      </c>
      <c r="V30" s="70">
        <f t="shared" si="3"/>
        <v>0</v>
      </c>
      <c r="W30" s="70">
        <f t="shared" si="4"/>
        <v>0</v>
      </c>
      <c r="X30" s="70"/>
    </row>
    <row r="31" ht="15.75" customHeight="1">
      <c r="A31" s="43" t="s">
        <v>54</v>
      </c>
      <c r="B31" s="44" t="s">
        <v>17</v>
      </c>
      <c r="C31" s="52" t="s">
        <v>101</v>
      </c>
      <c r="D31" s="53" t="s">
        <v>600</v>
      </c>
      <c r="E31" s="53" t="s">
        <v>600</v>
      </c>
      <c r="F31" s="48"/>
      <c r="G31" s="48"/>
      <c r="H31" s="48"/>
      <c r="I31" s="48"/>
      <c r="J31" s="48"/>
      <c r="K31" s="50"/>
      <c r="L31" s="50"/>
      <c r="M31" s="48"/>
      <c r="N31" s="43"/>
      <c r="O31" s="43"/>
      <c r="P31" s="43"/>
      <c r="Q31" s="43"/>
      <c r="R31" s="43"/>
      <c r="S31" s="54" t="str">
        <f t="shared" si="1"/>
        <v>-</v>
      </c>
      <c r="T31" s="43" t="str">
        <f>#REF!</f>
        <v>#REF!</v>
      </c>
      <c r="U31" s="43" t="str">
        <f t="shared" si="2"/>
        <v/>
      </c>
      <c r="V31" s="56">
        <f t="shared" si="3"/>
        <v>0</v>
      </c>
      <c r="W31" s="56">
        <f t="shared" si="4"/>
        <v>0</v>
      </c>
      <c r="X31" s="56"/>
    </row>
    <row r="32" ht="15.75" customHeight="1">
      <c r="A32" s="57" t="s">
        <v>54</v>
      </c>
      <c r="B32" s="58" t="s">
        <v>17</v>
      </c>
      <c r="C32" s="73" t="s">
        <v>101</v>
      </c>
      <c r="D32" s="74" t="s">
        <v>125</v>
      </c>
      <c r="E32" s="74" t="s">
        <v>609</v>
      </c>
      <c r="F32" s="68"/>
      <c r="G32" s="68"/>
      <c r="H32" s="68"/>
      <c r="I32" s="68"/>
      <c r="J32" s="68"/>
      <c r="K32" s="67"/>
      <c r="L32" s="67"/>
      <c r="M32" s="68"/>
      <c r="N32" s="57"/>
      <c r="O32" s="57"/>
      <c r="P32" s="57"/>
      <c r="Q32" s="57"/>
      <c r="R32" s="57"/>
      <c r="S32" s="69" t="str">
        <f t="shared" si="1"/>
        <v>-</v>
      </c>
      <c r="T32" s="57" t="str">
        <f>'Kertas Kerja'!$I256</f>
        <v/>
      </c>
      <c r="U32" s="57" t="str">
        <f t="shared" si="2"/>
        <v/>
      </c>
      <c r="V32" s="70">
        <f t="shared" si="3"/>
        <v>0</v>
      </c>
      <c r="W32" s="70">
        <f t="shared" si="4"/>
        <v>0</v>
      </c>
      <c r="X32" s="70"/>
    </row>
    <row r="33" ht="15.75" customHeight="1">
      <c r="A33" s="43" t="s">
        <v>54</v>
      </c>
      <c r="B33" s="44" t="s">
        <v>17</v>
      </c>
      <c r="C33" s="52" t="s">
        <v>101</v>
      </c>
      <c r="D33" s="53" t="s">
        <v>125</v>
      </c>
      <c r="E33" s="53" t="s">
        <v>615</v>
      </c>
      <c r="F33" s="48"/>
      <c r="G33" s="48"/>
      <c r="H33" s="48"/>
      <c r="I33" s="48"/>
      <c r="J33" s="48"/>
      <c r="K33" s="50"/>
      <c r="L33" s="50"/>
      <c r="M33" s="48"/>
      <c r="N33" s="43"/>
      <c r="O33" s="43"/>
      <c r="P33" s="43"/>
      <c r="Q33" s="43"/>
      <c r="R33" s="43"/>
      <c r="S33" s="54" t="str">
        <f t="shared" si="1"/>
        <v>-</v>
      </c>
      <c r="T33" s="43" t="str">
        <f>'Kertas Kerja'!$I258</f>
        <v/>
      </c>
      <c r="U33" s="43" t="str">
        <f t="shared" si="2"/>
        <v/>
      </c>
      <c r="V33" s="56">
        <f t="shared" si="3"/>
        <v>0</v>
      </c>
      <c r="W33" s="56">
        <f t="shared" si="4"/>
        <v>0</v>
      </c>
      <c r="X33" s="56"/>
    </row>
    <row r="34" ht="15.75" customHeight="1">
      <c r="A34" s="57" t="s">
        <v>54</v>
      </c>
      <c r="B34" s="58" t="s">
        <v>17</v>
      </c>
      <c r="C34" s="73" t="s">
        <v>101</v>
      </c>
      <c r="D34" s="74" t="s">
        <v>388</v>
      </c>
      <c r="E34" s="74" t="s">
        <v>621</v>
      </c>
      <c r="F34" s="68"/>
      <c r="G34" s="68"/>
      <c r="H34" s="68"/>
      <c r="I34" s="68"/>
      <c r="J34" s="68"/>
      <c r="K34" s="67"/>
      <c r="L34" s="67"/>
      <c r="M34" s="68"/>
      <c r="N34" s="57"/>
      <c r="O34" s="57"/>
      <c r="P34" s="57"/>
      <c r="Q34" s="57"/>
      <c r="R34" s="57"/>
      <c r="S34" s="69" t="str">
        <f t="shared" si="1"/>
        <v>-</v>
      </c>
      <c r="T34" s="57" t="str">
        <f>'Kertas Kerja'!$I298</f>
        <v/>
      </c>
      <c r="U34" s="57" t="str">
        <f t="shared" si="2"/>
        <v/>
      </c>
      <c r="V34" s="70">
        <f t="shared" si="3"/>
        <v>0</v>
      </c>
      <c r="W34" s="70">
        <f t="shared" si="4"/>
        <v>0</v>
      </c>
      <c r="X34" s="70"/>
    </row>
    <row r="35" ht="15.75" customHeight="1">
      <c r="A35" s="43" t="s">
        <v>54</v>
      </c>
      <c r="B35" s="44" t="s">
        <v>17</v>
      </c>
      <c r="C35" s="52" t="s">
        <v>101</v>
      </c>
      <c r="D35" s="53" t="s">
        <v>388</v>
      </c>
      <c r="E35" s="53" t="s">
        <v>629</v>
      </c>
      <c r="F35" s="48"/>
      <c r="G35" s="48"/>
      <c r="H35" s="48"/>
      <c r="I35" s="48"/>
      <c r="J35" s="48"/>
      <c r="K35" s="50"/>
      <c r="L35" s="50"/>
      <c r="M35" s="48"/>
      <c r="N35" s="43"/>
      <c r="O35" s="43"/>
      <c r="P35" s="43"/>
      <c r="Q35" s="43"/>
      <c r="R35" s="43"/>
      <c r="S35" s="54" t="str">
        <f t="shared" si="1"/>
        <v>-</v>
      </c>
      <c r="T35" s="43" t="str">
        <f>#REF!</f>
        <v>#REF!</v>
      </c>
      <c r="U35" s="43" t="str">
        <f t="shared" si="2"/>
        <v/>
      </c>
      <c r="V35" s="56">
        <f t="shared" si="3"/>
        <v>0</v>
      </c>
      <c r="W35" s="56">
        <f t="shared" si="4"/>
        <v>0</v>
      </c>
      <c r="X35" s="56"/>
    </row>
    <row r="36" ht="15.75" customHeight="1">
      <c r="A36" s="57" t="s">
        <v>54</v>
      </c>
      <c r="B36" s="58" t="s">
        <v>17</v>
      </c>
      <c r="C36" s="73" t="s">
        <v>101</v>
      </c>
      <c r="D36" s="74" t="s">
        <v>125</v>
      </c>
      <c r="E36" s="74" t="s">
        <v>633</v>
      </c>
      <c r="F36" s="68"/>
      <c r="G36" s="68"/>
      <c r="H36" s="68"/>
      <c r="I36" s="68"/>
      <c r="J36" s="68"/>
      <c r="K36" s="67"/>
      <c r="L36" s="67"/>
      <c r="M36" s="68"/>
      <c r="N36" s="57"/>
      <c r="O36" s="57"/>
      <c r="P36" s="57"/>
      <c r="Q36" s="57"/>
      <c r="R36" s="57"/>
      <c r="S36" s="69" t="str">
        <f t="shared" si="1"/>
        <v>-</v>
      </c>
      <c r="T36" s="57" t="str">
        <f>'Kertas Kerja'!$I259</f>
        <v/>
      </c>
      <c r="U36" s="57" t="str">
        <f t="shared" si="2"/>
        <v/>
      </c>
      <c r="V36" s="70">
        <f t="shared" si="3"/>
        <v>0</v>
      </c>
      <c r="W36" s="70">
        <f t="shared" si="4"/>
        <v>0</v>
      </c>
      <c r="X36" s="70"/>
    </row>
    <row r="37" ht="15.75" customHeight="1">
      <c r="A37" s="43" t="s">
        <v>54</v>
      </c>
      <c r="B37" s="44" t="s">
        <v>17</v>
      </c>
      <c r="C37" s="52" t="s">
        <v>101</v>
      </c>
      <c r="D37" s="53" t="s">
        <v>125</v>
      </c>
      <c r="E37" s="53" t="s">
        <v>638</v>
      </c>
      <c r="F37" s="48"/>
      <c r="G37" s="48"/>
      <c r="H37" s="48"/>
      <c r="I37" s="48"/>
      <c r="J37" s="48"/>
      <c r="K37" s="50"/>
      <c r="L37" s="50"/>
      <c r="M37" s="48"/>
      <c r="N37" s="43"/>
      <c r="O37" s="43"/>
      <c r="P37" s="43"/>
      <c r="Q37" s="43"/>
      <c r="R37" s="43"/>
      <c r="S37" s="54" t="str">
        <f t="shared" si="1"/>
        <v>-</v>
      </c>
      <c r="T37" s="43" t="str">
        <f>'Kertas Kerja'!$I260</f>
        <v/>
      </c>
      <c r="U37" s="43" t="str">
        <f t="shared" si="2"/>
        <v/>
      </c>
      <c r="V37" s="56">
        <f t="shared" si="3"/>
        <v>0</v>
      </c>
      <c r="W37" s="56">
        <f t="shared" si="4"/>
        <v>0</v>
      </c>
      <c r="X37" s="56"/>
    </row>
    <row r="38" ht="15.75" customHeight="1">
      <c r="A38" s="57" t="s">
        <v>54</v>
      </c>
      <c r="B38" s="58" t="s">
        <v>17</v>
      </c>
      <c r="C38" s="73" t="s">
        <v>101</v>
      </c>
      <c r="D38" s="74" t="s">
        <v>125</v>
      </c>
      <c r="E38" s="74" t="s">
        <v>643</v>
      </c>
      <c r="F38" s="68"/>
      <c r="G38" s="68"/>
      <c r="H38" s="68"/>
      <c r="I38" s="68"/>
      <c r="J38" s="68"/>
      <c r="K38" s="67"/>
      <c r="L38" s="67"/>
      <c r="M38" s="68"/>
      <c r="N38" s="57"/>
      <c r="O38" s="57"/>
      <c r="P38" s="57"/>
      <c r="Q38" s="57"/>
      <c r="R38" s="57"/>
      <c r="S38" s="69" t="str">
        <f t="shared" si="1"/>
        <v>-</v>
      </c>
      <c r="T38" s="57" t="str">
        <f>'Kertas Kerja'!$I261</f>
        <v/>
      </c>
      <c r="U38" s="57" t="str">
        <f t="shared" si="2"/>
        <v/>
      </c>
      <c r="V38" s="70">
        <f t="shared" si="3"/>
        <v>0</v>
      </c>
      <c r="W38" s="70">
        <f t="shared" si="4"/>
        <v>0</v>
      </c>
      <c r="X38" s="70"/>
    </row>
    <row r="39" ht="15.75" customHeight="1">
      <c r="A39" s="43" t="s">
        <v>54</v>
      </c>
      <c r="B39" s="44" t="s">
        <v>17</v>
      </c>
      <c r="C39" s="52" t="s">
        <v>101</v>
      </c>
      <c r="D39" s="53" t="s">
        <v>125</v>
      </c>
      <c r="E39" s="53" t="s">
        <v>650</v>
      </c>
      <c r="F39" s="48"/>
      <c r="G39" s="48"/>
      <c r="H39" s="48"/>
      <c r="I39" s="48"/>
      <c r="J39" s="48"/>
      <c r="K39" s="50"/>
      <c r="L39" s="50"/>
      <c r="M39" s="48"/>
      <c r="N39" s="43"/>
      <c r="O39" s="43"/>
      <c r="P39" s="43"/>
      <c r="Q39" s="43"/>
      <c r="R39" s="43"/>
      <c r="S39" s="54" t="str">
        <f t="shared" si="1"/>
        <v>-</v>
      </c>
      <c r="T39" s="43" t="str">
        <f>'Kertas Kerja'!$I262</f>
        <v/>
      </c>
      <c r="U39" s="43" t="str">
        <f t="shared" si="2"/>
        <v/>
      </c>
      <c r="V39" s="56">
        <f t="shared" si="3"/>
        <v>0</v>
      </c>
      <c r="W39" s="56">
        <f t="shared" si="4"/>
        <v>0</v>
      </c>
      <c r="X39" s="56"/>
    </row>
    <row r="40" ht="15.75" customHeight="1">
      <c r="A40" s="57" t="s">
        <v>54</v>
      </c>
      <c r="B40" s="58" t="s">
        <v>17</v>
      </c>
      <c r="C40" s="73" t="s">
        <v>101</v>
      </c>
      <c r="D40" s="74" t="s">
        <v>125</v>
      </c>
      <c r="E40" s="74" t="s">
        <v>654</v>
      </c>
      <c r="F40" s="68"/>
      <c r="G40" s="68"/>
      <c r="H40" s="68"/>
      <c r="I40" s="68"/>
      <c r="J40" s="68"/>
      <c r="K40" s="67"/>
      <c r="L40" s="67"/>
      <c r="M40" s="68"/>
      <c r="N40" s="57"/>
      <c r="O40" s="57"/>
      <c r="P40" s="57"/>
      <c r="Q40" s="57"/>
      <c r="R40" s="57"/>
      <c r="S40" s="69" t="str">
        <f t="shared" si="1"/>
        <v>-</v>
      </c>
      <c r="T40" s="57" t="str">
        <f>'Kertas Kerja'!$I263</f>
        <v/>
      </c>
      <c r="U40" s="57" t="str">
        <f t="shared" si="2"/>
        <v/>
      </c>
      <c r="V40" s="70">
        <f t="shared" si="3"/>
        <v>0</v>
      </c>
      <c r="W40" s="70">
        <f t="shared" si="4"/>
        <v>0</v>
      </c>
      <c r="X40" s="70"/>
    </row>
    <row r="41" ht="15.75" customHeight="1">
      <c r="A41" s="43" t="s">
        <v>54</v>
      </c>
      <c r="B41" s="44" t="s">
        <v>17</v>
      </c>
      <c r="C41" s="52" t="s">
        <v>101</v>
      </c>
      <c r="D41" s="53" t="s">
        <v>125</v>
      </c>
      <c r="E41" s="53" t="s">
        <v>660</v>
      </c>
      <c r="F41" s="48"/>
      <c r="G41" s="48"/>
      <c r="H41" s="48"/>
      <c r="I41" s="48"/>
      <c r="J41" s="48"/>
      <c r="K41" s="50"/>
      <c r="L41" s="50"/>
      <c r="M41" s="48"/>
      <c r="N41" s="43"/>
      <c r="O41" s="43"/>
      <c r="P41" s="43"/>
      <c r="Q41" s="43"/>
      <c r="R41" s="43"/>
      <c r="S41" s="54" t="str">
        <f t="shared" si="1"/>
        <v>-</v>
      </c>
      <c r="T41" s="43" t="str">
        <f>'Kertas Kerja'!$I264</f>
        <v/>
      </c>
      <c r="U41" s="43" t="str">
        <f t="shared" si="2"/>
        <v/>
      </c>
      <c r="V41" s="56">
        <f t="shared" si="3"/>
        <v>0</v>
      </c>
      <c r="W41" s="56">
        <f t="shared" si="4"/>
        <v>0</v>
      </c>
      <c r="X41" s="56"/>
    </row>
    <row r="42" ht="15.75" customHeight="1">
      <c r="A42" s="57" t="s">
        <v>54</v>
      </c>
      <c r="B42" s="58" t="s">
        <v>17</v>
      </c>
      <c r="C42" s="73" t="s">
        <v>101</v>
      </c>
      <c r="D42" s="74" t="s">
        <v>212</v>
      </c>
      <c r="E42" s="74" t="s">
        <v>662</v>
      </c>
      <c r="F42" s="68"/>
      <c r="G42" s="68"/>
      <c r="H42" s="68"/>
      <c r="I42" s="68"/>
      <c r="J42" s="68"/>
      <c r="K42" s="67"/>
      <c r="L42" s="67"/>
      <c r="M42" s="68"/>
      <c r="N42" s="57"/>
      <c r="O42" s="57"/>
      <c r="P42" s="57"/>
      <c r="Q42" s="57"/>
      <c r="R42" s="57"/>
      <c r="S42" s="69" t="str">
        <f t="shared" si="1"/>
        <v>-</v>
      </c>
      <c r="T42" s="57" t="str">
        <f>'Kertas Kerja'!$I286</f>
        <v/>
      </c>
      <c r="U42" s="57" t="str">
        <f t="shared" si="2"/>
        <v/>
      </c>
      <c r="V42" s="70">
        <f t="shared" si="3"/>
        <v>0</v>
      </c>
      <c r="W42" s="70">
        <f t="shared" si="4"/>
        <v>0</v>
      </c>
      <c r="X42" s="70"/>
    </row>
    <row r="43" ht="15.75" customHeight="1">
      <c r="A43" s="43" t="s">
        <v>54</v>
      </c>
      <c r="B43" s="44" t="s">
        <v>17</v>
      </c>
      <c r="C43" s="52" t="s">
        <v>101</v>
      </c>
      <c r="D43" s="53" t="s">
        <v>388</v>
      </c>
      <c r="E43" s="53" t="s">
        <v>663</v>
      </c>
      <c r="F43" s="48"/>
      <c r="G43" s="48"/>
      <c r="H43" s="48"/>
      <c r="I43" s="48"/>
      <c r="J43" s="48"/>
      <c r="K43" s="50"/>
      <c r="L43" s="50"/>
      <c r="M43" s="48"/>
      <c r="N43" s="43"/>
      <c r="O43" s="43"/>
      <c r="P43" s="43"/>
      <c r="Q43" s="43"/>
      <c r="R43" s="43"/>
      <c r="S43" s="54" t="str">
        <f t="shared" si="1"/>
        <v>-</v>
      </c>
      <c r="T43" s="43" t="str">
        <f>'Kertas Kerja'!$I299</f>
        <v/>
      </c>
      <c r="U43" s="43" t="str">
        <f t="shared" si="2"/>
        <v/>
      </c>
      <c r="V43" s="56">
        <f t="shared" si="3"/>
        <v>0</v>
      </c>
      <c r="W43" s="56">
        <f t="shared" si="4"/>
        <v>0</v>
      </c>
      <c r="X43" s="56"/>
    </row>
    <row r="44" ht="15.75" customHeight="1">
      <c r="A44" s="57" t="s">
        <v>54</v>
      </c>
      <c r="B44" s="58" t="s">
        <v>17</v>
      </c>
      <c r="C44" s="73" t="s">
        <v>101</v>
      </c>
      <c r="D44" s="74" t="s">
        <v>125</v>
      </c>
      <c r="E44" s="74" t="s">
        <v>664</v>
      </c>
      <c r="F44" s="68"/>
      <c r="G44" s="68"/>
      <c r="H44" s="68"/>
      <c r="I44" s="68"/>
      <c r="J44" s="68"/>
      <c r="K44" s="67"/>
      <c r="L44" s="67"/>
      <c r="M44" s="68"/>
      <c r="N44" s="57"/>
      <c r="O44" s="57"/>
      <c r="P44" s="57"/>
      <c r="Q44" s="57"/>
      <c r="R44" s="57"/>
      <c r="S44" s="69" t="str">
        <f t="shared" si="1"/>
        <v>-</v>
      </c>
      <c r="T44" s="57" t="str">
        <f>'Kertas Kerja'!$I265</f>
        <v/>
      </c>
      <c r="U44" s="57" t="str">
        <f t="shared" si="2"/>
        <v/>
      </c>
      <c r="V44" s="70">
        <f t="shared" si="3"/>
        <v>0</v>
      </c>
      <c r="W44" s="70">
        <f t="shared" si="4"/>
        <v>0</v>
      </c>
      <c r="X44" s="70"/>
    </row>
    <row r="45" ht="15.75" customHeight="1">
      <c r="A45" s="43" t="s">
        <v>54</v>
      </c>
      <c r="B45" s="44" t="s">
        <v>17</v>
      </c>
      <c r="C45" s="52" t="s">
        <v>101</v>
      </c>
      <c r="D45" s="53" t="s">
        <v>296</v>
      </c>
      <c r="E45" s="53" t="s">
        <v>667</v>
      </c>
      <c r="F45" s="48"/>
      <c r="G45" s="48"/>
      <c r="H45" s="48"/>
      <c r="I45" s="48"/>
      <c r="J45" s="48"/>
      <c r="K45" s="50"/>
      <c r="L45" s="50"/>
      <c r="M45" s="48"/>
      <c r="N45" s="43"/>
      <c r="O45" s="43"/>
      <c r="P45" s="43"/>
      <c r="Q45" s="43"/>
      <c r="R45" s="43"/>
      <c r="S45" s="54" t="str">
        <f t="shared" si="1"/>
        <v>-</v>
      </c>
      <c r="T45" s="43" t="str">
        <f>'Kertas Kerja'!$I276</f>
        <v/>
      </c>
      <c r="U45" s="43" t="str">
        <f t="shared" si="2"/>
        <v/>
      </c>
      <c r="V45" s="56">
        <f t="shared" si="3"/>
        <v>0</v>
      </c>
      <c r="W45" s="56">
        <f t="shared" si="4"/>
        <v>0</v>
      </c>
      <c r="X45" s="56"/>
    </row>
    <row r="46" ht="15.75" customHeight="1">
      <c r="A46" s="57" t="s">
        <v>54</v>
      </c>
      <c r="B46" s="58" t="s">
        <v>17</v>
      </c>
      <c r="C46" s="73" t="s">
        <v>101</v>
      </c>
      <c r="D46" s="74" t="s">
        <v>212</v>
      </c>
      <c r="E46" s="74" t="s">
        <v>668</v>
      </c>
      <c r="F46" s="68"/>
      <c r="G46" s="68"/>
      <c r="H46" s="68"/>
      <c r="I46" s="68"/>
      <c r="J46" s="68"/>
      <c r="K46" s="67"/>
      <c r="L46" s="67"/>
      <c r="M46" s="68"/>
      <c r="N46" s="57"/>
      <c r="O46" s="57"/>
      <c r="P46" s="57"/>
      <c r="Q46" s="57"/>
      <c r="R46" s="57"/>
      <c r="S46" s="69" t="str">
        <f t="shared" si="1"/>
        <v>-</v>
      </c>
      <c r="T46" s="57" t="str">
        <f>'Kertas Kerja'!$I287</f>
        <v/>
      </c>
      <c r="U46" s="57" t="str">
        <f t="shared" si="2"/>
        <v/>
      </c>
      <c r="V46" s="70">
        <f t="shared" si="3"/>
        <v>0</v>
      </c>
      <c r="W46" s="70">
        <f t="shared" si="4"/>
        <v>0</v>
      </c>
      <c r="X46" s="70"/>
    </row>
    <row r="47" ht="15.75" customHeight="1">
      <c r="A47" s="43" t="s">
        <v>54</v>
      </c>
      <c r="B47" s="44" t="s">
        <v>17</v>
      </c>
      <c r="C47" s="52" t="s">
        <v>101</v>
      </c>
      <c r="D47" s="53" t="s">
        <v>388</v>
      </c>
      <c r="E47" s="53" t="s">
        <v>670</v>
      </c>
      <c r="F47" s="48"/>
      <c r="G47" s="48"/>
      <c r="H47" s="48"/>
      <c r="I47" s="48"/>
      <c r="J47" s="48"/>
      <c r="K47" s="50"/>
      <c r="L47" s="50"/>
      <c r="M47" s="48"/>
      <c r="N47" s="43"/>
      <c r="O47" s="43"/>
      <c r="P47" s="43"/>
      <c r="Q47" s="43"/>
      <c r="R47" s="43"/>
      <c r="S47" s="54" t="str">
        <f t="shared" si="1"/>
        <v>-</v>
      </c>
      <c r="T47" s="43" t="str">
        <f>'Kertas Kerja'!$I300</f>
        <v/>
      </c>
      <c r="U47" s="43" t="str">
        <f t="shared" si="2"/>
        <v/>
      </c>
      <c r="V47" s="56">
        <f t="shared" si="3"/>
        <v>0</v>
      </c>
      <c r="W47" s="56">
        <f t="shared" si="4"/>
        <v>0</v>
      </c>
      <c r="X47" s="56"/>
    </row>
    <row r="48" ht="15.75" customHeight="1">
      <c r="A48" s="57" t="s">
        <v>54</v>
      </c>
      <c r="B48" s="58" t="s">
        <v>17</v>
      </c>
      <c r="C48" s="73" t="s">
        <v>101</v>
      </c>
      <c r="D48" s="74" t="s">
        <v>671</v>
      </c>
      <c r="E48" s="74" t="s">
        <v>672</v>
      </c>
      <c r="F48" s="68"/>
      <c r="G48" s="68"/>
      <c r="H48" s="68"/>
      <c r="I48" s="68"/>
      <c r="J48" s="68"/>
      <c r="K48" s="67"/>
      <c r="L48" s="67"/>
      <c r="M48" s="68"/>
      <c r="N48" s="57"/>
      <c r="O48" s="57"/>
      <c r="P48" s="57"/>
      <c r="Q48" s="57"/>
      <c r="R48" s="57"/>
      <c r="S48" s="69" t="str">
        <f t="shared" si="1"/>
        <v>-</v>
      </c>
      <c r="T48" s="57" t="str">
        <f>'Kertas Kerja'!$I284</f>
        <v/>
      </c>
      <c r="U48" s="57" t="str">
        <f t="shared" si="2"/>
        <v/>
      </c>
      <c r="V48" s="70">
        <f t="shared" si="3"/>
        <v>0</v>
      </c>
      <c r="W48" s="70">
        <f t="shared" si="4"/>
        <v>0</v>
      </c>
      <c r="X48" s="70"/>
    </row>
    <row r="49" ht="15.75" customHeight="1">
      <c r="A49" s="43" t="s">
        <v>54</v>
      </c>
      <c r="B49" s="44" t="s">
        <v>17</v>
      </c>
      <c r="C49" s="52" t="s">
        <v>101</v>
      </c>
      <c r="D49" s="53" t="s">
        <v>673</v>
      </c>
      <c r="E49" s="53" t="s">
        <v>674</v>
      </c>
      <c r="F49" s="48"/>
      <c r="G49" s="48"/>
      <c r="H49" s="48"/>
      <c r="I49" s="48"/>
      <c r="J49" s="48"/>
      <c r="K49" s="50"/>
      <c r="L49" s="50"/>
      <c r="M49" s="48"/>
      <c r="N49" s="43"/>
      <c r="O49" s="43"/>
      <c r="P49" s="43"/>
      <c r="Q49" s="43"/>
      <c r="R49" s="43"/>
      <c r="S49" s="54" t="str">
        <f t="shared" si="1"/>
        <v>-</v>
      </c>
      <c r="T49" s="43" t="str">
        <f>'Kertas Kerja'!$I244</f>
        <v/>
      </c>
      <c r="U49" s="43" t="str">
        <f t="shared" si="2"/>
        <v/>
      </c>
      <c r="V49" s="56">
        <f t="shared" si="3"/>
        <v>0</v>
      </c>
      <c r="W49" s="56">
        <f t="shared" si="4"/>
        <v>0</v>
      </c>
      <c r="X49" s="56"/>
    </row>
    <row r="50" ht="15.75" customHeight="1">
      <c r="A50" s="57" t="s">
        <v>54</v>
      </c>
      <c r="B50" s="58" t="s">
        <v>17</v>
      </c>
      <c r="C50" s="73" t="s">
        <v>101</v>
      </c>
      <c r="D50" s="74" t="s">
        <v>212</v>
      </c>
      <c r="E50" s="74" t="s">
        <v>675</v>
      </c>
      <c r="F50" s="68"/>
      <c r="G50" s="68"/>
      <c r="H50" s="68"/>
      <c r="I50" s="68"/>
      <c r="J50" s="68"/>
      <c r="K50" s="67"/>
      <c r="L50" s="67"/>
      <c r="M50" s="68"/>
      <c r="N50" s="57"/>
      <c r="O50" s="57"/>
      <c r="P50" s="57"/>
      <c r="Q50" s="57"/>
      <c r="R50" s="57"/>
      <c r="S50" s="69" t="str">
        <f t="shared" si="1"/>
        <v>-</v>
      </c>
      <c r="T50" s="57" t="str">
        <f>'Kertas Kerja'!$I288</f>
        <v/>
      </c>
      <c r="U50" s="57" t="str">
        <f t="shared" si="2"/>
        <v/>
      </c>
      <c r="V50" s="70">
        <f t="shared" si="3"/>
        <v>0</v>
      </c>
      <c r="W50" s="70">
        <f t="shared" si="4"/>
        <v>0</v>
      </c>
      <c r="X50" s="70"/>
    </row>
    <row r="51" ht="15.75" customHeight="1">
      <c r="A51" s="43" t="s">
        <v>54</v>
      </c>
      <c r="B51" s="44" t="s">
        <v>17</v>
      </c>
      <c r="C51" s="52" t="s">
        <v>101</v>
      </c>
      <c r="D51" s="53" t="s">
        <v>212</v>
      </c>
      <c r="E51" s="53" t="s">
        <v>676</v>
      </c>
      <c r="F51" s="48"/>
      <c r="G51" s="48"/>
      <c r="H51" s="48"/>
      <c r="I51" s="48"/>
      <c r="J51" s="48"/>
      <c r="K51" s="50"/>
      <c r="L51" s="50"/>
      <c r="M51" s="48"/>
      <c r="N51" s="43"/>
      <c r="O51" s="43"/>
      <c r="P51" s="43"/>
      <c r="Q51" s="43"/>
      <c r="R51" s="43"/>
      <c r="S51" s="54" t="str">
        <f t="shared" si="1"/>
        <v>-</v>
      </c>
      <c r="T51" s="43" t="str">
        <f>'Kertas Kerja'!$I289</f>
        <v/>
      </c>
      <c r="U51" s="43" t="str">
        <f t="shared" si="2"/>
        <v/>
      </c>
      <c r="V51" s="56">
        <f t="shared" si="3"/>
        <v>0</v>
      </c>
      <c r="W51" s="56">
        <f t="shared" si="4"/>
        <v>0</v>
      </c>
      <c r="X51" s="56"/>
    </row>
    <row r="52" ht="15.75" customHeight="1">
      <c r="A52" s="57" t="s">
        <v>54</v>
      </c>
      <c r="B52" s="58" t="s">
        <v>17</v>
      </c>
      <c r="C52" s="73" t="s">
        <v>101</v>
      </c>
      <c r="D52" s="74" t="s">
        <v>212</v>
      </c>
      <c r="E52" s="74" t="s">
        <v>677</v>
      </c>
      <c r="F52" s="68"/>
      <c r="G52" s="68"/>
      <c r="H52" s="68"/>
      <c r="I52" s="68"/>
      <c r="J52" s="68"/>
      <c r="K52" s="67"/>
      <c r="L52" s="67"/>
      <c r="M52" s="68"/>
      <c r="N52" s="57"/>
      <c r="O52" s="57"/>
      <c r="P52" s="57"/>
      <c r="Q52" s="57"/>
      <c r="R52" s="57"/>
      <c r="S52" s="69" t="str">
        <f t="shared" si="1"/>
        <v>-</v>
      </c>
      <c r="T52" s="57" t="str">
        <f>'Kertas Kerja'!$I290</f>
        <v/>
      </c>
      <c r="U52" s="57" t="str">
        <f t="shared" si="2"/>
        <v/>
      </c>
      <c r="V52" s="70">
        <f t="shared" si="3"/>
        <v>0</v>
      </c>
      <c r="W52" s="70">
        <f t="shared" si="4"/>
        <v>0</v>
      </c>
      <c r="X52" s="70"/>
    </row>
    <row r="53" ht="15.75" customHeight="1">
      <c r="A53" s="43" t="s">
        <v>54</v>
      </c>
      <c r="B53" s="44" t="s">
        <v>17</v>
      </c>
      <c r="C53" s="52" t="s">
        <v>101</v>
      </c>
      <c r="D53" s="53" t="s">
        <v>212</v>
      </c>
      <c r="E53" s="53" t="s">
        <v>678</v>
      </c>
      <c r="F53" s="48"/>
      <c r="G53" s="48"/>
      <c r="H53" s="48"/>
      <c r="I53" s="48"/>
      <c r="J53" s="48"/>
      <c r="K53" s="50"/>
      <c r="L53" s="50"/>
      <c r="M53" s="48"/>
      <c r="N53" s="43"/>
      <c r="O53" s="43"/>
      <c r="P53" s="43"/>
      <c r="Q53" s="43"/>
      <c r="R53" s="43"/>
      <c r="S53" s="54" t="str">
        <f t="shared" si="1"/>
        <v>-</v>
      </c>
      <c r="T53" s="43" t="str">
        <f>'Kertas Kerja'!$I291</f>
        <v/>
      </c>
      <c r="U53" s="43" t="str">
        <f t="shared" si="2"/>
        <v/>
      </c>
      <c r="V53" s="56">
        <f t="shared" si="3"/>
        <v>0</v>
      </c>
      <c r="W53" s="56">
        <f t="shared" si="4"/>
        <v>0</v>
      </c>
      <c r="X53" s="56"/>
    </row>
    <row r="54" ht="15.75" customHeight="1">
      <c r="A54" s="57" t="s">
        <v>54</v>
      </c>
      <c r="B54" s="58" t="s">
        <v>17</v>
      </c>
      <c r="C54" s="73" t="s">
        <v>101</v>
      </c>
      <c r="D54" s="74" t="s">
        <v>212</v>
      </c>
      <c r="E54" s="74" t="s">
        <v>679</v>
      </c>
      <c r="F54" s="68"/>
      <c r="G54" s="68"/>
      <c r="H54" s="68"/>
      <c r="I54" s="68"/>
      <c r="J54" s="68"/>
      <c r="K54" s="67"/>
      <c r="L54" s="67"/>
      <c r="M54" s="68"/>
      <c r="N54" s="57"/>
      <c r="O54" s="57"/>
      <c r="P54" s="57"/>
      <c r="Q54" s="57"/>
      <c r="R54" s="57"/>
      <c r="S54" s="69" t="str">
        <f t="shared" si="1"/>
        <v>-</v>
      </c>
      <c r="T54" s="57" t="str">
        <f>'Kertas Kerja'!$I292</f>
        <v/>
      </c>
      <c r="U54" s="57" t="str">
        <f t="shared" si="2"/>
        <v/>
      </c>
      <c r="V54" s="70">
        <f t="shared" si="3"/>
        <v>0</v>
      </c>
      <c r="W54" s="70">
        <f t="shared" si="4"/>
        <v>0</v>
      </c>
      <c r="X54" s="70"/>
    </row>
    <row r="55" ht="15.75" customHeight="1">
      <c r="A55" s="43" t="s">
        <v>54</v>
      </c>
      <c r="B55" s="44" t="s">
        <v>17</v>
      </c>
      <c r="C55" s="52" t="s">
        <v>101</v>
      </c>
      <c r="D55" s="53" t="s">
        <v>212</v>
      </c>
      <c r="E55" s="53" t="s">
        <v>680</v>
      </c>
      <c r="F55" s="48"/>
      <c r="G55" s="48"/>
      <c r="H55" s="48"/>
      <c r="I55" s="48"/>
      <c r="J55" s="48"/>
      <c r="K55" s="50"/>
      <c r="L55" s="50"/>
      <c r="M55" s="48"/>
      <c r="N55" s="43"/>
      <c r="O55" s="43"/>
      <c r="P55" s="43"/>
      <c r="Q55" s="43"/>
      <c r="R55" s="43"/>
      <c r="S55" s="54" t="str">
        <f t="shared" si="1"/>
        <v>-</v>
      </c>
      <c r="T55" s="43" t="str">
        <f>'Kertas Kerja'!$I293</f>
        <v/>
      </c>
      <c r="U55" s="43" t="str">
        <f t="shared" si="2"/>
        <v/>
      </c>
      <c r="V55" s="56">
        <f t="shared" si="3"/>
        <v>0</v>
      </c>
      <c r="W55" s="56">
        <f t="shared" si="4"/>
        <v>0</v>
      </c>
      <c r="X55" s="56"/>
    </row>
    <row r="56" ht="15.75" customHeight="1">
      <c r="A56" s="116" t="s">
        <v>682</v>
      </c>
      <c r="B56" s="58" t="s">
        <v>17</v>
      </c>
      <c r="C56" s="73" t="s">
        <v>101</v>
      </c>
      <c r="D56" s="74" t="s">
        <v>296</v>
      </c>
      <c r="E56" s="74" t="s">
        <v>683</v>
      </c>
      <c r="F56" s="68"/>
      <c r="G56" s="68"/>
      <c r="H56" s="68"/>
      <c r="I56" s="68"/>
      <c r="J56" s="68"/>
      <c r="K56" s="67"/>
      <c r="L56" s="67"/>
      <c r="M56" s="68"/>
      <c r="N56" s="57"/>
      <c r="O56" s="57"/>
      <c r="P56" s="57"/>
      <c r="Q56" s="57"/>
      <c r="R56" s="57"/>
      <c r="S56" s="69" t="str">
        <f t="shared" si="1"/>
        <v>-</v>
      </c>
      <c r="T56" s="57" t="str">
        <f>'Kertas Kerja'!$I283</f>
        <v/>
      </c>
      <c r="U56" s="57" t="str">
        <f t="shared" si="2"/>
        <v/>
      </c>
      <c r="V56" s="70">
        <f t="shared" si="3"/>
        <v>0</v>
      </c>
      <c r="W56" s="70">
        <f t="shared" si="4"/>
        <v>0</v>
      </c>
      <c r="X56" s="70"/>
    </row>
    <row r="57" ht="15.75" customHeight="1">
      <c r="A57" s="43" t="s">
        <v>54</v>
      </c>
      <c r="B57" s="44" t="s">
        <v>17</v>
      </c>
      <c r="C57" s="52" t="s">
        <v>101</v>
      </c>
      <c r="D57" s="53" t="s">
        <v>212</v>
      </c>
      <c r="E57" s="53" t="s">
        <v>684</v>
      </c>
      <c r="F57" s="48"/>
      <c r="G57" s="48"/>
      <c r="H57" s="48"/>
      <c r="I57" s="48"/>
      <c r="J57" s="48"/>
      <c r="K57" s="50"/>
      <c r="L57" s="50"/>
      <c r="M57" s="48"/>
      <c r="N57" s="43"/>
      <c r="O57" s="43"/>
      <c r="P57" s="43"/>
      <c r="Q57" s="43"/>
      <c r="R57" s="43"/>
      <c r="S57" s="54" t="str">
        <f t="shared" si="1"/>
        <v>-</v>
      </c>
      <c r="T57" s="43" t="str">
        <f>'Kertas Kerja'!$I294</f>
        <v/>
      </c>
      <c r="U57" s="43" t="str">
        <f t="shared" si="2"/>
        <v/>
      </c>
      <c r="V57" s="56">
        <f t="shared" si="3"/>
        <v>0</v>
      </c>
      <c r="W57" s="56">
        <f t="shared" si="4"/>
        <v>0</v>
      </c>
      <c r="X57" s="56"/>
    </row>
    <row r="58" ht="15.75" customHeight="1">
      <c r="A58" s="57" t="s">
        <v>54</v>
      </c>
      <c r="B58" s="58" t="s">
        <v>17</v>
      </c>
      <c r="C58" s="73" t="s">
        <v>101</v>
      </c>
      <c r="D58" s="74" t="s">
        <v>388</v>
      </c>
      <c r="E58" s="74" t="s">
        <v>685</v>
      </c>
      <c r="F58" s="68"/>
      <c r="G58" s="68"/>
      <c r="H58" s="68"/>
      <c r="I58" s="68"/>
      <c r="J58" s="68"/>
      <c r="K58" s="67"/>
      <c r="L58" s="67"/>
      <c r="M58" s="68"/>
      <c r="N58" s="57"/>
      <c r="O58" s="57"/>
      <c r="P58" s="57"/>
      <c r="Q58" s="57"/>
      <c r="R58" s="57"/>
      <c r="S58" s="69" t="str">
        <f t="shared" si="1"/>
        <v>-</v>
      </c>
      <c r="T58" s="57" t="str">
        <f>'Kertas Kerja'!$I302</f>
        <v/>
      </c>
      <c r="U58" s="57" t="str">
        <f t="shared" si="2"/>
        <v/>
      </c>
      <c r="V58" s="70">
        <f t="shared" si="3"/>
        <v>0</v>
      </c>
      <c r="W58" s="70">
        <f t="shared" si="4"/>
        <v>0</v>
      </c>
      <c r="X58" s="70"/>
    </row>
    <row r="59" ht="15.75" customHeight="1">
      <c r="A59" s="43" t="s">
        <v>54</v>
      </c>
      <c r="B59" s="44" t="s">
        <v>17</v>
      </c>
      <c r="C59" s="52" t="s">
        <v>101</v>
      </c>
      <c r="D59" s="53" t="s">
        <v>296</v>
      </c>
      <c r="E59" s="53" t="s">
        <v>686</v>
      </c>
      <c r="F59" s="48"/>
      <c r="G59" s="48"/>
      <c r="H59" s="48"/>
      <c r="I59" s="48"/>
      <c r="J59" s="48"/>
      <c r="K59" s="50"/>
      <c r="L59" s="50"/>
      <c r="M59" s="48"/>
      <c r="N59" s="43"/>
      <c r="O59" s="43"/>
      <c r="P59" s="43"/>
      <c r="Q59" s="43"/>
      <c r="R59" s="43"/>
      <c r="S59" s="54" t="str">
        <f t="shared" si="1"/>
        <v>-</v>
      </c>
      <c r="T59" s="43" t="str">
        <f>'Kertas Kerja'!$I277</f>
        <v/>
      </c>
      <c r="U59" s="43" t="str">
        <f t="shared" si="2"/>
        <v/>
      </c>
      <c r="V59" s="56">
        <f t="shared" si="3"/>
        <v>0</v>
      </c>
      <c r="W59" s="56">
        <f t="shared" si="4"/>
        <v>0</v>
      </c>
      <c r="X59" s="56"/>
    </row>
    <row r="60" ht="15.75" customHeight="1">
      <c r="A60" s="57" t="s">
        <v>54</v>
      </c>
      <c r="B60" s="58" t="s">
        <v>17</v>
      </c>
      <c r="C60" s="73" t="s">
        <v>101</v>
      </c>
      <c r="D60" s="74" t="s">
        <v>296</v>
      </c>
      <c r="E60" s="74" t="s">
        <v>687</v>
      </c>
      <c r="F60" s="68"/>
      <c r="G60" s="68"/>
      <c r="H60" s="68"/>
      <c r="I60" s="68"/>
      <c r="J60" s="68"/>
      <c r="K60" s="67"/>
      <c r="L60" s="67"/>
      <c r="M60" s="68"/>
      <c r="N60" s="57"/>
      <c r="O60" s="57"/>
      <c r="P60" s="57"/>
      <c r="Q60" s="57"/>
      <c r="R60" s="57"/>
      <c r="S60" s="69" t="str">
        <f t="shared" si="1"/>
        <v>-</v>
      </c>
      <c r="T60" s="57" t="str">
        <f>'Kertas Kerja'!$I278</f>
        <v/>
      </c>
      <c r="U60" s="57" t="str">
        <f t="shared" si="2"/>
        <v/>
      </c>
      <c r="V60" s="70">
        <f t="shared" si="3"/>
        <v>0</v>
      </c>
      <c r="W60" s="70">
        <f t="shared" si="4"/>
        <v>0</v>
      </c>
      <c r="X60" s="70"/>
    </row>
    <row r="61" ht="15.75" customHeight="1">
      <c r="A61" s="43" t="s">
        <v>54</v>
      </c>
      <c r="B61" s="44" t="s">
        <v>17</v>
      </c>
      <c r="C61" s="52" t="s">
        <v>101</v>
      </c>
      <c r="D61" s="53" t="s">
        <v>296</v>
      </c>
      <c r="E61" s="53" t="s">
        <v>688</v>
      </c>
      <c r="F61" s="48"/>
      <c r="G61" s="48"/>
      <c r="H61" s="48"/>
      <c r="I61" s="48"/>
      <c r="J61" s="48"/>
      <c r="K61" s="50"/>
      <c r="L61" s="50"/>
      <c r="M61" s="48"/>
      <c r="N61" s="43"/>
      <c r="O61" s="43"/>
      <c r="P61" s="43"/>
      <c r="Q61" s="43"/>
      <c r="R61" s="43"/>
      <c r="S61" s="54" t="str">
        <f t="shared" si="1"/>
        <v>-</v>
      </c>
      <c r="T61" s="43" t="str">
        <f>'Kertas Kerja'!$I279</f>
        <v/>
      </c>
      <c r="U61" s="43" t="str">
        <f t="shared" si="2"/>
        <v/>
      </c>
      <c r="V61" s="56">
        <f t="shared" si="3"/>
        <v>0</v>
      </c>
      <c r="W61" s="56">
        <f t="shared" si="4"/>
        <v>0</v>
      </c>
      <c r="X61" s="56"/>
    </row>
    <row r="62" ht="15.75" customHeight="1">
      <c r="A62" s="57" t="s">
        <v>54</v>
      </c>
      <c r="B62" s="58" t="s">
        <v>17</v>
      </c>
      <c r="C62" s="73" t="s">
        <v>101</v>
      </c>
      <c r="D62" s="74" t="s">
        <v>296</v>
      </c>
      <c r="E62" s="74" t="s">
        <v>689</v>
      </c>
      <c r="F62" s="68"/>
      <c r="G62" s="68"/>
      <c r="H62" s="68"/>
      <c r="I62" s="68"/>
      <c r="J62" s="68"/>
      <c r="K62" s="67"/>
      <c r="L62" s="67"/>
      <c r="M62" s="68"/>
      <c r="N62" s="57"/>
      <c r="O62" s="57"/>
      <c r="P62" s="57"/>
      <c r="Q62" s="57"/>
      <c r="R62" s="57"/>
      <c r="S62" s="69" t="str">
        <f t="shared" si="1"/>
        <v>-</v>
      </c>
      <c r="T62" s="57" t="str">
        <f>'Kertas Kerja'!$I280</f>
        <v/>
      </c>
      <c r="U62" s="57" t="str">
        <f t="shared" si="2"/>
        <v/>
      </c>
      <c r="V62" s="70">
        <f t="shared" si="3"/>
        <v>0</v>
      </c>
      <c r="W62" s="70">
        <f t="shared" si="4"/>
        <v>0</v>
      </c>
      <c r="X62" s="70"/>
    </row>
    <row r="63" ht="15.75" customHeight="1">
      <c r="A63" s="43" t="s">
        <v>54</v>
      </c>
      <c r="B63" s="44" t="s">
        <v>17</v>
      </c>
      <c r="C63" s="52" t="s">
        <v>101</v>
      </c>
      <c r="D63" s="53" t="s">
        <v>388</v>
      </c>
      <c r="E63" s="53" t="s">
        <v>690</v>
      </c>
      <c r="F63" s="48"/>
      <c r="G63" s="48"/>
      <c r="H63" s="48"/>
      <c r="I63" s="48"/>
      <c r="J63" s="48"/>
      <c r="K63" s="50"/>
      <c r="L63" s="50"/>
      <c r="M63" s="48"/>
      <c r="N63" s="43"/>
      <c r="O63" s="43"/>
      <c r="P63" s="43"/>
      <c r="Q63" s="43"/>
      <c r="R63" s="43"/>
      <c r="S63" s="54" t="str">
        <f t="shared" si="1"/>
        <v>-</v>
      </c>
      <c r="T63" s="43" t="str">
        <f>'Kertas Kerja'!$I303</f>
        <v/>
      </c>
      <c r="U63" s="43" t="str">
        <f t="shared" si="2"/>
        <v/>
      </c>
      <c r="V63" s="56">
        <f t="shared" si="3"/>
        <v>0</v>
      </c>
      <c r="W63" s="56">
        <f t="shared" si="4"/>
        <v>0</v>
      </c>
      <c r="X63" s="56"/>
    </row>
    <row r="64" ht="15.75" customHeight="1">
      <c r="A64" s="57" t="s">
        <v>54</v>
      </c>
      <c r="B64" s="58" t="s">
        <v>17</v>
      </c>
      <c r="C64" s="73" t="s">
        <v>101</v>
      </c>
      <c r="D64" s="74" t="s">
        <v>212</v>
      </c>
      <c r="E64" s="74" t="s">
        <v>691</v>
      </c>
      <c r="F64" s="68"/>
      <c r="G64" s="68"/>
      <c r="H64" s="68"/>
      <c r="I64" s="68"/>
      <c r="J64" s="68"/>
      <c r="K64" s="67"/>
      <c r="L64" s="67"/>
      <c r="M64" s="68"/>
      <c r="N64" s="57"/>
      <c r="O64" s="57"/>
      <c r="P64" s="57"/>
      <c r="Q64" s="57"/>
      <c r="R64" s="57"/>
      <c r="S64" s="69" t="str">
        <f t="shared" si="1"/>
        <v>-</v>
      </c>
      <c r="T64" s="57">
        <f>'Kertas Kerja'!$I296</f>
        <v>12</v>
      </c>
      <c r="U64" s="57" t="str">
        <f t="shared" si="2"/>
        <v/>
      </c>
      <c r="V64" s="70">
        <f t="shared" si="3"/>
        <v>0</v>
      </c>
      <c r="W64" s="70">
        <f t="shared" si="4"/>
        <v>0</v>
      </c>
      <c r="X64" s="70"/>
    </row>
    <row r="65" ht="15.75" customHeight="1">
      <c r="A65" s="43" t="s">
        <v>54</v>
      </c>
      <c r="B65" s="44" t="s">
        <v>17</v>
      </c>
      <c r="C65" s="52" t="s">
        <v>101</v>
      </c>
      <c r="D65" s="53" t="s">
        <v>388</v>
      </c>
      <c r="E65" s="53" t="s">
        <v>692</v>
      </c>
      <c r="F65" s="48"/>
      <c r="G65" s="48"/>
      <c r="H65" s="48"/>
      <c r="I65" s="48"/>
      <c r="J65" s="48"/>
      <c r="K65" s="50"/>
      <c r="L65" s="50"/>
      <c r="M65" s="48"/>
      <c r="N65" s="43"/>
      <c r="O65" s="43"/>
      <c r="P65" s="43"/>
      <c r="Q65" s="43"/>
      <c r="R65" s="43"/>
      <c r="S65" s="54" t="str">
        <f t="shared" si="1"/>
        <v>-</v>
      </c>
      <c r="T65" s="43" t="str">
        <f>'Kertas Kerja'!$I304</f>
        <v/>
      </c>
      <c r="U65" s="43" t="str">
        <f t="shared" si="2"/>
        <v/>
      </c>
      <c r="V65" s="56">
        <f t="shared" si="3"/>
        <v>0</v>
      </c>
      <c r="W65" s="56">
        <f t="shared" si="4"/>
        <v>0</v>
      </c>
      <c r="X65" s="56"/>
    </row>
    <row r="66" ht="15.75" customHeight="1">
      <c r="A66" s="57" t="s">
        <v>54</v>
      </c>
      <c r="B66" s="58" t="s">
        <v>17</v>
      </c>
      <c r="C66" s="73" t="s">
        <v>101</v>
      </c>
      <c r="D66" s="74" t="s">
        <v>296</v>
      </c>
      <c r="E66" s="74" t="s">
        <v>693</v>
      </c>
      <c r="F66" s="68"/>
      <c r="G66" s="68"/>
      <c r="H66" s="68"/>
      <c r="I66" s="68"/>
      <c r="J66" s="68"/>
      <c r="K66" s="67"/>
      <c r="L66" s="67"/>
      <c r="M66" s="68"/>
      <c r="N66" s="57"/>
      <c r="O66" s="57"/>
      <c r="P66" s="57"/>
      <c r="Q66" s="57"/>
      <c r="R66" s="57"/>
      <c r="S66" s="69" t="str">
        <f t="shared" si="1"/>
        <v>-</v>
      </c>
      <c r="T66" s="57" t="str">
        <f>'Kertas Kerja'!$I281</f>
        <v/>
      </c>
      <c r="U66" s="57" t="str">
        <f t="shared" si="2"/>
        <v/>
      </c>
      <c r="V66" s="70">
        <f t="shared" si="3"/>
        <v>0</v>
      </c>
      <c r="W66" s="70">
        <f t="shared" si="4"/>
        <v>0</v>
      </c>
      <c r="X66" s="70"/>
    </row>
    <row r="67" ht="15.75" customHeight="1">
      <c r="A67" s="43" t="s">
        <v>54</v>
      </c>
      <c r="B67" s="44" t="s">
        <v>17</v>
      </c>
      <c r="C67" s="52" t="s">
        <v>101</v>
      </c>
      <c r="D67" s="53" t="s">
        <v>296</v>
      </c>
      <c r="E67" s="53" t="s">
        <v>694</v>
      </c>
      <c r="F67" s="48"/>
      <c r="G67" s="48"/>
      <c r="H67" s="48"/>
      <c r="I67" s="48"/>
      <c r="J67" s="48"/>
      <c r="K67" s="50"/>
      <c r="L67" s="50"/>
      <c r="M67" s="48"/>
      <c r="N67" s="43"/>
      <c r="O67" s="43"/>
      <c r="P67" s="43"/>
      <c r="Q67" s="43"/>
      <c r="R67" s="43"/>
      <c r="S67" s="54" t="str">
        <f t="shared" si="1"/>
        <v>-</v>
      </c>
      <c r="T67" s="43" t="str">
        <f>'Kertas Kerja'!$I282</f>
        <v/>
      </c>
      <c r="U67" s="43" t="str">
        <f t="shared" si="2"/>
        <v/>
      </c>
      <c r="V67" s="56">
        <f t="shared" si="3"/>
        <v>0</v>
      </c>
      <c r="W67" s="56">
        <f t="shared" si="4"/>
        <v>0</v>
      </c>
      <c r="X67" s="56"/>
    </row>
    <row r="68" ht="15.75" customHeight="1">
      <c r="A68" s="57" t="s">
        <v>54</v>
      </c>
      <c r="B68" s="58" t="s">
        <v>17</v>
      </c>
      <c r="C68" s="73" t="s">
        <v>101</v>
      </c>
      <c r="D68" s="74" t="s">
        <v>388</v>
      </c>
      <c r="E68" s="74" t="s">
        <v>695</v>
      </c>
      <c r="F68" s="68"/>
      <c r="G68" s="68"/>
      <c r="H68" s="68"/>
      <c r="I68" s="68"/>
      <c r="J68" s="68"/>
      <c r="K68" s="67"/>
      <c r="L68" s="67"/>
      <c r="M68" s="68"/>
      <c r="N68" s="57"/>
      <c r="O68" s="57"/>
      <c r="P68" s="57"/>
      <c r="Q68" s="57"/>
      <c r="R68" s="57"/>
      <c r="S68" s="69" t="str">
        <f t="shared" si="1"/>
        <v>-</v>
      </c>
      <c r="T68" s="57" t="str">
        <f>'Kertas Kerja'!$I305</f>
        <v/>
      </c>
      <c r="U68" s="57" t="str">
        <f t="shared" si="2"/>
        <v/>
      </c>
      <c r="V68" s="70">
        <f t="shared" si="3"/>
        <v>0</v>
      </c>
      <c r="W68" s="70">
        <f t="shared" si="4"/>
        <v>0</v>
      </c>
      <c r="X68" s="70"/>
    </row>
    <row r="69" ht="15.75" customHeight="1">
      <c r="A69" s="43" t="s">
        <v>54</v>
      </c>
      <c r="B69" s="44" t="s">
        <v>17</v>
      </c>
      <c r="C69" s="52" t="s">
        <v>101</v>
      </c>
      <c r="D69" s="53" t="s">
        <v>125</v>
      </c>
      <c r="E69" s="53" t="s">
        <v>696</v>
      </c>
      <c r="F69" s="48"/>
      <c r="G69" s="48"/>
      <c r="H69" s="48"/>
      <c r="I69" s="48"/>
      <c r="J69" s="48"/>
      <c r="K69" s="50"/>
      <c r="L69" s="50"/>
      <c r="M69" s="48"/>
      <c r="N69" s="43"/>
      <c r="O69" s="43"/>
      <c r="P69" s="43"/>
      <c r="Q69" s="43"/>
      <c r="R69" s="43"/>
      <c r="S69" s="54" t="str">
        <f t="shared" si="1"/>
        <v>-</v>
      </c>
      <c r="T69" s="43" t="str">
        <f>'Kertas Kerja'!$I266</f>
        <v/>
      </c>
      <c r="U69" s="43" t="str">
        <f t="shared" si="2"/>
        <v/>
      </c>
      <c r="V69" s="56">
        <f t="shared" si="3"/>
        <v>0</v>
      </c>
      <c r="W69" s="56">
        <f t="shared" si="4"/>
        <v>0</v>
      </c>
      <c r="X69" s="56"/>
    </row>
    <row r="70" ht="15.75" customHeight="1">
      <c r="A70" s="57" t="s">
        <v>54</v>
      </c>
      <c r="B70" s="58" t="s">
        <v>17</v>
      </c>
      <c r="C70" s="73" t="s">
        <v>101</v>
      </c>
      <c r="D70" s="74" t="s">
        <v>125</v>
      </c>
      <c r="E70" s="74" t="s">
        <v>697</v>
      </c>
      <c r="F70" s="68"/>
      <c r="G70" s="68"/>
      <c r="H70" s="68"/>
      <c r="I70" s="68"/>
      <c r="J70" s="68"/>
      <c r="K70" s="67"/>
      <c r="L70" s="67"/>
      <c r="M70" s="68"/>
      <c r="N70" s="57"/>
      <c r="O70" s="57"/>
      <c r="P70" s="57"/>
      <c r="Q70" s="57"/>
      <c r="R70" s="57"/>
      <c r="S70" s="69" t="str">
        <f t="shared" si="1"/>
        <v>-</v>
      </c>
      <c r="T70" s="57" t="str">
        <f>#REF!</f>
        <v>#REF!</v>
      </c>
      <c r="U70" s="57" t="str">
        <f t="shared" si="2"/>
        <v/>
      </c>
      <c r="V70" s="70">
        <f t="shared" si="3"/>
        <v>0</v>
      </c>
      <c r="W70" s="70">
        <f t="shared" si="4"/>
        <v>0</v>
      </c>
      <c r="X70" s="70"/>
    </row>
    <row r="71" ht="15.75" customHeight="1">
      <c r="A71" s="43" t="s">
        <v>54</v>
      </c>
      <c r="B71" s="44" t="s">
        <v>17</v>
      </c>
      <c r="C71" s="52" t="s">
        <v>101</v>
      </c>
      <c r="D71" s="53" t="s">
        <v>125</v>
      </c>
      <c r="E71" s="53" t="s">
        <v>699</v>
      </c>
      <c r="F71" s="48"/>
      <c r="G71" s="48"/>
      <c r="H71" s="48"/>
      <c r="I71" s="48"/>
      <c r="J71" s="48"/>
      <c r="K71" s="50"/>
      <c r="L71" s="50"/>
      <c r="M71" s="48"/>
      <c r="N71" s="43"/>
      <c r="O71" s="43"/>
      <c r="P71" s="43"/>
      <c r="Q71" s="43"/>
      <c r="R71" s="43"/>
      <c r="S71" s="54" t="str">
        <f t="shared" si="1"/>
        <v>-</v>
      </c>
      <c r="T71" s="43" t="str">
        <f>'Kertas Kerja'!$I267</f>
        <v/>
      </c>
      <c r="U71" s="43" t="str">
        <f t="shared" si="2"/>
        <v/>
      </c>
      <c r="V71" s="56">
        <f t="shared" si="3"/>
        <v>0</v>
      </c>
      <c r="W71" s="56">
        <f t="shared" si="4"/>
        <v>0</v>
      </c>
      <c r="X71" s="56"/>
    </row>
    <row r="72" ht="15.75" customHeight="1">
      <c r="A72" s="57"/>
      <c r="B72" s="58" t="s">
        <v>17</v>
      </c>
      <c r="C72" s="128" t="s">
        <v>14</v>
      </c>
      <c r="D72" s="74" t="s">
        <v>701</v>
      </c>
      <c r="E72" s="74" t="s">
        <v>702</v>
      </c>
      <c r="F72" s="68"/>
      <c r="G72" s="68"/>
      <c r="H72" s="68"/>
      <c r="I72" s="68"/>
      <c r="J72" s="68"/>
      <c r="K72" s="67"/>
      <c r="L72" s="67"/>
      <c r="M72" s="68"/>
      <c r="N72" s="57"/>
      <c r="O72" s="57"/>
      <c r="P72" s="57"/>
      <c r="Q72" s="57"/>
      <c r="R72" s="57"/>
      <c r="S72" s="69" t="str">
        <f t="shared" si="1"/>
        <v>-</v>
      </c>
      <c r="T72" s="57" t="str">
        <f>'Kertas Kerja'!$I94</f>
        <v/>
      </c>
      <c r="U72" s="57" t="str">
        <f t="shared" si="2"/>
        <v/>
      </c>
      <c r="V72" s="70">
        <f t="shared" si="3"/>
        <v>0</v>
      </c>
      <c r="W72" s="70">
        <f t="shared" si="4"/>
        <v>0</v>
      </c>
      <c r="X72" s="70"/>
    </row>
    <row r="73" ht="15.75" customHeight="1">
      <c r="A73" s="43"/>
      <c r="B73" s="44" t="s">
        <v>17</v>
      </c>
      <c r="C73" s="129" t="s">
        <v>14</v>
      </c>
      <c r="D73" s="53" t="s">
        <v>701</v>
      </c>
      <c r="E73" s="53" t="s">
        <v>705</v>
      </c>
      <c r="F73" s="48"/>
      <c r="G73" s="48"/>
      <c r="H73" s="48"/>
      <c r="I73" s="48"/>
      <c r="J73" s="48"/>
      <c r="K73" s="50"/>
      <c r="L73" s="50"/>
      <c r="M73" s="48"/>
      <c r="N73" s="43"/>
      <c r="O73" s="43"/>
      <c r="P73" s="43"/>
      <c r="Q73" s="43"/>
      <c r="R73" s="43"/>
      <c r="S73" s="54" t="str">
        <f t="shared" si="1"/>
        <v>-</v>
      </c>
      <c r="T73" s="43" t="str">
        <f>'Kertas Kerja'!$I103</f>
        <v/>
      </c>
      <c r="U73" s="43" t="str">
        <f t="shared" si="2"/>
        <v/>
      </c>
      <c r="V73" s="56">
        <f t="shared" si="3"/>
        <v>0</v>
      </c>
      <c r="W73" s="56">
        <f t="shared" si="4"/>
        <v>0</v>
      </c>
      <c r="X73" s="56"/>
    </row>
    <row r="74" ht="15.75" customHeight="1">
      <c r="A74" s="57" t="s">
        <v>54</v>
      </c>
      <c r="B74" s="58" t="s">
        <v>17</v>
      </c>
      <c r="C74" s="128" t="s">
        <v>14</v>
      </c>
      <c r="D74" s="74" t="s">
        <v>707</v>
      </c>
      <c r="E74" s="74" t="s">
        <v>708</v>
      </c>
      <c r="F74" s="68"/>
      <c r="G74" s="68"/>
      <c r="H74" s="68"/>
      <c r="I74" s="68"/>
      <c r="J74" s="68"/>
      <c r="K74" s="67"/>
      <c r="L74" s="67"/>
      <c r="M74" s="68"/>
      <c r="N74" s="57"/>
      <c r="O74" s="57"/>
      <c r="P74" s="57"/>
      <c r="Q74" s="57"/>
      <c r="R74" s="57"/>
      <c r="S74" s="69" t="str">
        <f t="shared" si="1"/>
        <v>-</v>
      </c>
      <c r="T74" s="57" t="str">
        <f>'Kertas Kerja'!$I53</f>
        <v/>
      </c>
      <c r="U74" s="57" t="str">
        <f t="shared" si="2"/>
        <v/>
      </c>
      <c r="V74" s="70">
        <f t="shared" si="3"/>
        <v>0</v>
      </c>
      <c r="W74" s="70">
        <f t="shared" si="4"/>
        <v>0</v>
      </c>
      <c r="X74" s="70"/>
    </row>
    <row r="75" ht="15.75" customHeight="1">
      <c r="A75" s="43"/>
      <c r="B75" s="44" t="s">
        <v>17</v>
      </c>
      <c r="C75" s="129" t="s">
        <v>14</v>
      </c>
      <c r="D75" s="53" t="s">
        <v>701</v>
      </c>
      <c r="E75" s="53" t="s">
        <v>710</v>
      </c>
      <c r="F75" s="48"/>
      <c r="G75" s="48"/>
      <c r="H75" s="48"/>
      <c r="I75" s="48"/>
      <c r="J75" s="48"/>
      <c r="K75" s="50"/>
      <c r="L75" s="50"/>
      <c r="M75" s="48"/>
      <c r="N75" s="43"/>
      <c r="O75" s="43"/>
      <c r="P75" s="43"/>
      <c r="Q75" s="43"/>
      <c r="R75" s="43"/>
      <c r="S75" s="54" t="str">
        <f t="shared" si="1"/>
        <v>-</v>
      </c>
      <c r="T75" s="43" t="str">
        <f>'Kertas Kerja'!$I102</f>
        <v/>
      </c>
      <c r="U75" s="43" t="str">
        <f t="shared" si="2"/>
        <v/>
      </c>
      <c r="V75" s="56">
        <f t="shared" si="3"/>
        <v>0</v>
      </c>
      <c r="W75" s="56">
        <f t="shared" si="4"/>
        <v>0</v>
      </c>
      <c r="X75" s="56"/>
    </row>
    <row r="76" ht="15.75" customHeight="1">
      <c r="A76" s="57"/>
      <c r="B76" s="58" t="s">
        <v>17</v>
      </c>
      <c r="C76" s="128" t="s">
        <v>14</v>
      </c>
      <c r="D76" s="74" t="s">
        <v>712</v>
      </c>
      <c r="E76" s="74" t="s">
        <v>713</v>
      </c>
      <c r="F76" s="68"/>
      <c r="G76" s="68"/>
      <c r="H76" s="68"/>
      <c r="I76" s="68"/>
      <c r="J76" s="68"/>
      <c r="K76" s="67"/>
      <c r="L76" s="67"/>
      <c r="M76" s="68"/>
      <c r="N76" s="57"/>
      <c r="O76" s="57"/>
      <c r="P76" s="57"/>
      <c r="Q76" s="57"/>
      <c r="R76" s="57"/>
      <c r="S76" s="69" t="str">
        <f t="shared" si="1"/>
        <v>-</v>
      </c>
      <c r="T76" s="57" t="str">
        <f>#REF!</f>
        <v>#REF!</v>
      </c>
      <c r="U76" s="57" t="str">
        <f t="shared" si="2"/>
        <v/>
      </c>
      <c r="V76" s="70">
        <f t="shared" si="3"/>
        <v>0</v>
      </c>
      <c r="W76" s="70">
        <f t="shared" si="4"/>
        <v>0</v>
      </c>
      <c r="X76" s="70"/>
    </row>
    <row r="77" ht="15.75" customHeight="1">
      <c r="A77" s="43"/>
      <c r="B77" s="44" t="s">
        <v>17</v>
      </c>
      <c r="C77" s="129" t="s">
        <v>14</v>
      </c>
      <c r="D77" s="53" t="s">
        <v>715</v>
      </c>
      <c r="E77" s="53" t="s">
        <v>716</v>
      </c>
      <c r="F77" s="48"/>
      <c r="G77" s="48"/>
      <c r="H77" s="48"/>
      <c r="I77" s="48"/>
      <c r="J77" s="48"/>
      <c r="K77" s="50"/>
      <c r="L77" s="50"/>
      <c r="M77" s="48"/>
      <c r="N77" s="43"/>
      <c r="O77" s="43"/>
      <c r="P77" s="43"/>
      <c r="Q77" s="43"/>
      <c r="R77" s="43"/>
      <c r="S77" s="54" t="str">
        <f t="shared" si="1"/>
        <v>-</v>
      </c>
      <c r="T77" s="43" t="str">
        <f>'Kertas Kerja'!$I15</f>
        <v/>
      </c>
      <c r="U77" s="43" t="str">
        <f t="shared" si="2"/>
        <v/>
      </c>
      <c r="V77" s="56">
        <f t="shared" si="3"/>
        <v>0</v>
      </c>
      <c r="W77" s="56">
        <f t="shared" si="4"/>
        <v>0</v>
      </c>
      <c r="X77" s="56"/>
    </row>
    <row r="78" ht="15.75" customHeight="1">
      <c r="A78" s="57" t="s">
        <v>54</v>
      </c>
      <c r="B78" s="58" t="s">
        <v>17</v>
      </c>
      <c r="C78" s="128" t="s">
        <v>14</v>
      </c>
      <c r="D78" s="74" t="s">
        <v>718</v>
      </c>
      <c r="E78" s="74" t="s">
        <v>719</v>
      </c>
      <c r="F78" s="68"/>
      <c r="G78" s="68"/>
      <c r="H78" s="68"/>
      <c r="I78" s="68"/>
      <c r="J78" s="68"/>
      <c r="K78" s="67"/>
      <c r="L78" s="67"/>
      <c r="M78" s="68"/>
      <c r="N78" s="57"/>
      <c r="O78" s="57"/>
      <c r="P78" s="57"/>
      <c r="Q78" s="57"/>
      <c r="R78" s="57"/>
      <c r="S78" s="69" t="str">
        <f t="shared" si="1"/>
        <v>-</v>
      </c>
      <c r="T78" s="57" t="str">
        <f>'Kertas Kerja'!$I61</f>
        <v/>
      </c>
      <c r="U78" s="57" t="str">
        <f t="shared" si="2"/>
        <v/>
      </c>
      <c r="V78" s="70">
        <f t="shared" si="3"/>
        <v>0</v>
      </c>
      <c r="W78" s="70">
        <f t="shared" si="4"/>
        <v>0</v>
      </c>
      <c r="X78" s="70"/>
    </row>
    <row r="79" ht="15.75" customHeight="1">
      <c r="A79" s="43" t="s">
        <v>54</v>
      </c>
      <c r="B79" s="44" t="s">
        <v>17</v>
      </c>
      <c r="C79" s="129" t="s">
        <v>14</v>
      </c>
      <c r="D79" s="53" t="s">
        <v>718</v>
      </c>
      <c r="E79" s="53" t="s">
        <v>722</v>
      </c>
      <c r="F79" s="48"/>
      <c r="G79" s="48"/>
      <c r="H79" s="48"/>
      <c r="I79" s="48"/>
      <c r="J79" s="48"/>
      <c r="K79" s="50"/>
      <c r="L79" s="50"/>
      <c r="M79" s="48"/>
      <c r="N79" s="43"/>
      <c r="O79" s="43"/>
      <c r="P79" s="43"/>
      <c r="Q79" s="43"/>
      <c r="R79" s="43"/>
      <c r="S79" s="54" t="str">
        <f t="shared" si="1"/>
        <v>-</v>
      </c>
      <c r="T79" s="43" t="str">
        <f>'Kertas Kerja'!$I60</f>
        <v/>
      </c>
      <c r="U79" s="43" t="str">
        <f t="shared" si="2"/>
        <v/>
      </c>
      <c r="V79" s="56">
        <f t="shared" si="3"/>
        <v>0</v>
      </c>
      <c r="W79" s="56">
        <f t="shared" si="4"/>
        <v>0</v>
      </c>
      <c r="X79" s="56"/>
    </row>
    <row r="80" ht="15.75" customHeight="1">
      <c r="A80" s="57" t="s">
        <v>54</v>
      </c>
      <c r="B80" s="58" t="s">
        <v>17</v>
      </c>
      <c r="C80" s="128" t="s">
        <v>14</v>
      </c>
      <c r="D80" s="74" t="s">
        <v>718</v>
      </c>
      <c r="E80" s="74" t="s">
        <v>725</v>
      </c>
      <c r="F80" s="68"/>
      <c r="G80" s="68"/>
      <c r="H80" s="68"/>
      <c r="I80" s="68"/>
      <c r="J80" s="68"/>
      <c r="K80" s="67"/>
      <c r="L80" s="67"/>
      <c r="M80" s="68"/>
      <c r="N80" s="57"/>
      <c r="O80" s="57"/>
      <c r="P80" s="57"/>
      <c r="Q80" s="57"/>
      <c r="R80" s="57"/>
      <c r="S80" s="69" t="str">
        <f t="shared" si="1"/>
        <v>-</v>
      </c>
      <c r="T80" s="57" t="str">
        <f>'Kertas Kerja'!$I59</f>
        <v/>
      </c>
      <c r="U80" s="57" t="str">
        <f t="shared" si="2"/>
        <v/>
      </c>
      <c r="V80" s="70">
        <f t="shared" si="3"/>
        <v>0</v>
      </c>
      <c r="W80" s="70">
        <f t="shared" si="4"/>
        <v>0</v>
      </c>
      <c r="X80" s="70"/>
    </row>
    <row r="81" ht="15.75" customHeight="1">
      <c r="A81" s="43" t="s">
        <v>54</v>
      </c>
      <c r="B81" s="44" t="s">
        <v>17</v>
      </c>
      <c r="C81" s="129" t="s">
        <v>14</v>
      </c>
      <c r="D81" s="53" t="s">
        <v>718</v>
      </c>
      <c r="E81" s="53" t="s">
        <v>726</v>
      </c>
      <c r="F81" s="48"/>
      <c r="G81" s="48"/>
      <c r="H81" s="48"/>
      <c r="I81" s="48"/>
      <c r="J81" s="48"/>
      <c r="K81" s="50"/>
      <c r="L81" s="50"/>
      <c r="M81" s="48"/>
      <c r="N81" s="43"/>
      <c r="O81" s="43"/>
      <c r="P81" s="43"/>
      <c r="Q81" s="43"/>
      <c r="R81" s="43"/>
      <c r="S81" s="54" t="str">
        <f t="shared" si="1"/>
        <v>-</v>
      </c>
      <c r="T81" s="43" t="str">
        <f>'Kertas Kerja'!$I70</f>
        <v/>
      </c>
      <c r="U81" s="43" t="str">
        <f t="shared" si="2"/>
        <v/>
      </c>
      <c r="V81" s="56">
        <f t="shared" si="3"/>
        <v>0</v>
      </c>
      <c r="W81" s="56">
        <f t="shared" si="4"/>
        <v>0</v>
      </c>
      <c r="X81" s="56"/>
    </row>
    <row r="82" ht="15.75" customHeight="1">
      <c r="A82" s="57" t="s">
        <v>54</v>
      </c>
      <c r="B82" s="58" t="s">
        <v>17</v>
      </c>
      <c r="C82" s="128" t="s">
        <v>14</v>
      </c>
      <c r="D82" s="74" t="s">
        <v>718</v>
      </c>
      <c r="E82" s="74" t="s">
        <v>729</v>
      </c>
      <c r="F82" s="68"/>
      <c r="G82" s="68"/>
      <c r="H82" s="68"/>
      <c r="I82" s="68"/>
      <c r="J82" s="68"/>
      <c r="K82" s="67"/>
      <c r="L82" s="67"/>
      <c r="M82" s="68"/>
      <c r="N82" s="57"/>
      <c r="O82" s="57"/>
      <c r="P82" s="57"/>
      <c r="Q82" s="57"/>
      <c r="R82" s="57"/>
      <c r="S82" s="69" t="str">
        <f t="shared" si="1"/>
        <v>-</v>
      </c>
      <c r="T82" s="57" t="str">
        <f>'Kertas Kerja'!$I69</f>
        <v/>
      </c>
      <c r="U82" s="57" t="str">
        <f t="shared" si="2"/>
        <v/>
      </c>
      <c r="V82" s="70">
        <f t="shared" si="3"/>
        <v>0</v>
      </c>
      <c r="W82" s="70">
        <f t="shared" si="4"/>
        <v>0</v>
      </c>
      <c r="X82" s="70"/>
    </row>
    <row r="83" ht="15.75" customHeight="1">
      <c r="A83" s="43" t="s">
        <v>54</v>
      </c>
      <c r="B83" s="44" t="s">
        <v>17</v>
      </c>
      <c r="C83" s="129" t="s">
        <v>14</v>
      </c>
      <c r="D83" s="53" t="s">
        <v>718</v>
      </c>
      <c r="E83" s="53" t="s">
        <v>730</v>
      </c>
      <c r="F83" s="48"/>
      <c r="G83" s="48"/>
      <c r="H83" s="48"/>
      <c r="I83" s="48"/>
      <c r="J83" s="48"/>
      <c r="K83" s="50"/>
      <c r="L83" s="50"/>
      <c r="M83" s="48"/>
      <c r="N83" s="43"/>
      <c r="O83" s="43"/>
      <c r="P83" s="43"/>
      <c r="Q83" s="43"/>
      <c r="R83" s="43"/>
      <c r="S83" s="54" t="str">
        <f t="shared" si="1"/>
        <v>-</v>
      </c>
      <c r="T83" s="43" t="str">
        <f>'Kertas Kerja'!$I71</f>
        <v/>
      </c>
      <c r="U83" s="43" t="str">
        <f t="shared" si="2"/>
        <v/>
      </c>
      <c r="V83" s="56">
        <f t="shared" si="3"/>
        <v>0</v>
      </c>
      <c r="W83" s="56">
        <f t="shared" si="4"/>
        <v>0</v>
      </c>
      <c r="X83" s="56"/>
    </row>
    <row r="84" ht="15.75" customHeight="1">
      <c r="A84" s="57" t="s">
        <v>54</v>
      </c>
      <c r="B84" s="58" t="s">
        <v>17</v>
      </c>
      <c r="C84" s="128" t="s">
        <v>14</v>
      </c>
      <c r="D84" s="74" t="s">
        <v>718</v>
      </c>
      <c r="E84" s="74" t="s">
        <v>731</v>
      </c>
      <c r="F84" s="68"/>
      <c r="G84" s="68"/>
      <c r="H84" s="68"/>
      <c r="I84" s="68"/>
      <c r="J84" s="68"/>
      <c r="K84" s="67"/>
      <c r="L84" s="67"/>
      <c r="M84" s="68"/>
      <c r="N84" s="57"/>
      <c r="O84" s="57"/>
      <c r="P84" s="57"/>
      <c r="Q84" s="57"/>
      <c r="R84" s="57"/>
      <c r="S84" s="69" t="str">
        <f t="shared" si="1"/>
        <v>-</v>
      </c>
      <c r="T84" s="57" t="str">
        <f>'Kertas Kerja'!$I74</f>
        <v/>
      </c>
      <c r="U84" s="57" t="str">
        <f t="shared" si="2"/>
        <v/>
      </c>
      <c r="V84" s="70">
        <f t="shared" si="3"/>
        <v>0</v>
      </c>
      <c r="W84" s="70">
        <f t="shared" si="4"/>
        <v>0</v>
      </c>
      <c r="X84" s="70"/>
    </row>
    <row r="85" ht="15.75" customHeight="1">
      <c r="A85" s="43" t="s">
        <v>54</v>
      </c>
      <c r="B85" s="44" t="s">
        <v>17</v>
      </c>
      <c r="C85" s="129" t="s">
        <v>14</v>
      </c>
      <c r="D85" s="53" t="s">
        <v>718</v>
      </c>
      <c r="E85" s="53" t="s">
        <v>732</v>
      </c>
      <c r="F85" s="48"/>
      <c r="G85" s="48"/>
      <c r="H85" s="48"/>
      <c r="I85" s="48"/>
      <c r="J85" s="48"/>
      <c r="K85" s="50"/>
      <c r="L85" s="50"/>
      <c r="M85" s="48"/>
      <c r="N85" s="43"/>
      <c r="O85" s="43"/>
      <c r="P85" s="43"/>
      <c r="Q85" s="43"/>
      <c r="R85" s="43"/>
      <c r="S85" s="54" t="str">
        <f t="shared" si="1"/>
        <v>-</v>
      </c>
      <c r="T85" s="43" t="str">
        <f>'Kertas Kerja'!$I72</f>
        <v/>
      </c>
      <c r="U85" s="43" t="str">
        <f t="shared" si="2"/>
        <v/>
      </c>
      <c r="V85" s="56">
        <f t="shared" si="3"/>
        <v>0</v>
      </c>
      <c r="W85" s="56">
        <f t="shared" si="4"/>
        <v>0</v>
      </c>
      <c r="X85" s="56"/>
    </row>
    <row r="86" ht="15.75" customHeight="1">
      <c r="A86" s="57" t="s">
        <v>54</v>
      </c>
      <c r="B86" s="58" t="s">
        <v>17</v>
      </c>
      <c r="C86" s="128" t="s">
        <v>14</v>
      </c>
      <c r="D86" s="74" t="s">
        <v>718</v>
      </c>
      <c r="E86" s="74" t="s">
        <v>733</v>
      </c>
      <c r="F86" s="68"/>
      <c r="G86" s="68"/>
      <c r="H86" s="68"/>
      <c r="I86" s="68"/>
      <c r="J86" s="68"/>
      <c r="K86" s="67"/>
      <c r="L86" s="67"/>
      <c r="M86" s="68"/>
      <c r="N86" s="57"/>
      <c r="O86" s="57"/>
      <c r="P86" s="57"/>
      <c r="Q86" s="57"/>
      <c r="R86" s="57"/>
      <c r="S86" s="69" t="str">
        <f t="shared" si="1"/>
        <v>-</v>
      </c>
      <c r="T86" s="57" t="str">
        <f>'Kertas Kerja'!$I67</f>
        <v/>
      </c>
      <c r="U86" s="57" t="str">
        <f t="shared" si="2"/>
        <v/>
      </c>
      <c r="V86" s="70">
        <f t="shared" si="3"/>
        <v>0</v>
      </c>
      <c r="W86" s="70">
        <f t="shared" si="4"/>
        <v>0</v>
      </c>
      <c r="X86" s="70"/>
    </row>
    <row r="87" ht="15.75" customHeight="1">
      <c r="A87" s="43" t="s">
        <v>54</v>
      </c>
      <c r="B87" s="44" t="s">
        <v>17</v>
      </c>
      <c r="C87" s="129" t="s">
        <v>14</v>
      </c>
      <c r="D87" s="53" t="s">
        <v>718</v>
      </c>
      <c r="E87" s="53" t="s">
        <v>734</v>
      </c>
      <c r="F87" s="48"/>
      <c r="G87" s="48"/>
      <c r="H87" s="48"/>
      <c r="I87" s="48"/>
      <c r="J87" s="48"/>
      <c r="K87" s="50"/>
      <c r="L87" s="50"/>
      <c r="M87" s="48"/>
      <c r="N87" s="43"/>
      <c r="O87" s="43"/>
      <c r="P87" s="43"/>
      <c r="Q87" s="43"/>
      <c r="R87" s="43"/>
      <c r="S87" s="54" t="str">
        <f t="shared" si="1"/>
        <v>-</v>
      </c>
      <c r="T87" s="43" t="str">
        <f>'Kertas Kerja'!$I66</f>
        <v/>
      </c>
      <c r="U87" s="43" t="str">
        <f t="shared" si="2"/>
        <v/>
      </c>
      <c r="V87" s="56">
        <f t="shared" si="3"/>
        <v>0</v>
      </c>
      <c r="W87" s="56">
        <f t="shared" si="4"/>
        <v>0</v>
      </c>
      <c r="X87" s="56"/>
    </row>
    <row r="88" ht="15.75" customHeight="1">
      <c r="A88" s="57" t="s">
        <v>54</v>
      </c>
      <c r="B88" s="58" t="s">
        <v>17</v>
      </c>
      <c r="C88" s="128" t="s">
        <v>14</v>
      </c>
      <c r="D88" s="74" t="s">
        <v>718</v>
      </c>
      <c r="E88" s="74" t="s">
        <v>737</v>
      </c>
      <c r="F88" s="68"/>
      <c r="G88" s="68"/>
      <c r="H88" s="68"/>
      <c r="I88" s="68"/>
      <c r="J88" s="68"/>
      <c r="K88" s="67"/>
      <c r="L88" s="67"/>
      <c r="M88" s="68"/>
      <c r="N88" s="57"/>
      <c r="O88" s="57"/>
      <c r="P88" s="57"/>
      <c r="Q88" s="57"/>
      <c r="R88" s="57"/>
      <c r="S88" s="69" t="str">
        <f t="shared" si="1"/>
        <v>-</v>
      </c>
      <c r="T88" s="57" t="str">
        <f>'Kertas Kerja'!$I65</f>
        <v/>
      </c>
      <c r="U88" s="57" t="str">
        <f t="shared" si="2"/>
        <v/>
      </c>
      <c r="V88" s="70">
        <f t="shared" si="3"/>
        <v>0</v>
      </c>
      <c r="W88" s="70">
        <f t="shared" si="4"/>
        <v>0</v>
      </c>
      <c r="X88" s="70"/>
    </row>
    <row r="89" ht="15.75" customHeight="1">
      <c r="A89" s="43" t="s">
        <v>54</v>
      </c>
      <c r="B89" s="44" t="s">
        <v>17</v>
      </c>
      <c r="C89" s="129" t="s">
        <v>14</v>
      </c>
      <c r="D89" s="53" t="s">
        <v>718</v>
      </c>
      <c r="E89" s="53" t="s">
        <v>740</v>
      </c>
      <c r="F89" s="48"/>
      <c r="G89" s="48"/>
      <c r="H89" s="48"/>
      <c r="I89" s="48"/>
      <c r="J89" s="48"/>
      <c r="K89" s="50"/>
      <c r="L89" s="50"/>
      <c r="M89" s="48"/>
      <c r="N89" s="43"/>
      <c r="O89" s="43"/>
      <c r="P89" s="43"/>
      <c r="Q89" s="43"/>
      <c r="R89" s="43"/>
      <c r="S89" s="54" t="str">
        <f t="shared" si="1"/>
        <v>-</v>
      </c>
      <c r="T89" s="43" t="str">
        <f>'Kertas Kerja'!$I64</f>
        <v/>
      </c>
      <c r="U89" s="43" t="str">
        <f t="shared" si="2"/>
        <v/>
      </c>
      <c r="V89" s="56">
        <f t="shared" si="3"/>
        <v>0</v>
      </c>
      <c r="W89" s="56">
        <f t="shared" si="4"/>
        <v>0</v>
      </c>
      <c r="X89" s="56"/>
    </row>
    <row r="90" ht="15.75" customHeight="1">
      <c r="A90" s="57" t="s">
        <v>54</v>
      </c>
      <c r="B90" s="58" t="s">
        <v>17</v>
      </c>
      <c r="C90" s="128" t="s">
        <v>14</v>
      </c>
      <c r="D90" s="74" t="s">
        <v>718</v>
      </c>
      <c r="E90" s="74" t="s">
        <v>741</v>
      </c>
      <c r="F90" s="68"/>
      <c r="G90" s="68"/>
      <c r="H90" s="68"/>
      <c r="I90" s="68"/>
      <c r="J90" s="68"/>
      <c r="K90" s="67"/>
      <c r="L90" s="67"/>
      <c r="M90" s="68"/>
      <c r="N90" s="57"/>
      <c r="O90" s="57"/>
      <c r="P90" s="57"/>
      <c r="Q90" s="57"/>
      <c r="R90" s="57"/>
      <c r="S90" s="69" t="str">
        <f t="shared" si="1"/>
        <v>-</v>
      </c>
      <c r="T90" s="57" t="str">
        <f>'Kertas Kerja'!$I73</f>
        <v/>
      </c>
      <c r="U90" s="57" t="str">
        <f t="shared" si="2"/>
        <v/>
      </c>
      <c r="V90" s="70">
        <f t="shared" si="3"/>
        <v>0</v>
      </c>
      <c r="W90" s="70">
        <f t="shared" si="4"/>
        <v>0</v>
      </c>
      <c r="X90" s="70"/>
    </row>
    <row r="91" ht="15.75" customHeight="1">
      <c r="A91" s="43" t="s">
        <v>54</v>
      </c>
      <c r="B91" s="44" t="s">
        <v>17</v>
      </c>
      <c r="C91" s="129" t="s">
        <v>14</v>
      </c>
      <c r="D91" s="53" t="s">
        <v>718</v>
      </c>
      <c r="E91" s="53" t="s">
        <v>742</v>
      </c>
      <c r="F91" s="48"/>
      <c r="G91" s="48"/>
      <c r="H91" s="48"/>
      <c r="I91" s="48"/>
      <c r="J91" s="48"/>
      <c r="K91" s="50"/>
      <c r="L91" s="50"/>
      <c r="M91" s="48"/>
      <c r="N91" s="43"/>
      <c r="O91" s="43"/>
      <c r="P91" s="43"/>
      <c r="Q91" s="43"/>
      <c r="R91" s="43"/>
      <c r="S91" s="54" t="str">
        <f t="shared" si="1"/>
        <v>-</v>
      </c>
      <c r="T91" s="43" t="str">
        <f>'Kertas Kerja'!$I63</f>
        <v/>
      </c>
      <c r="U91" s="43" t="str">
        <f t="shared" si="2"/>
        <v/>
      </c>
      <c r="V91" s="56">
        <f t="shared" si="3"/>
        <v>0</v>
      </c>
      <c r="W91" s="56">
        <f t="shared" si="4"/>
        <v>0</v>
      </c>
      <c r="X91" s="56"/>
    </row>
    <row r="92" ht="15.75" customHeight="1">
      <c r="A92" s="57" t="s">
        <v>54</v>
      </c>
      <c r="B92" s="58" t="s">
        <v>17</v>
      </c>
      <c r="C92" s="128" t="s">
        <v>14</v>
      </c>
      <c r="D92" s="74" t="s">
        <v>718</v>
      </c>
      <c r="E92" s="74" t="s">
        <v>743</v>
      </c>
      <c r="F92" s="68"/>
      <c r="G92" s="68"/>
      <c r="H92" s="68"/>
      <c r="I92" s="68"/>
      <c r="J92" s="68"/>
      <c r="K92" s="67"/>
      <c r="L92" s="67"/>
      <c r="M92" s="68"/>
      <c r="N92" s="57"/>
      <c r="O92" s="57"/>
      <c r="P92" s="57"/>
      <c r="Q92" s="57"/>
      <c r="R92" s="57"/>
      <c r="S92" s="69" t="str">
        <f t="shared" si="1"/>
        <v>-</v>
      </c>
      <c r="T92" s="57" t="str">
        <f>'Kertas Kerja'!$I62</f>
        <v/>
      </c>
      <c r="U92" s="57" t="str">
        <f t="shared" si="2"/>
        <v/>
      </c>
      <c r="V92" s="70">
        <f t="shared" si="3"/>
        <v>0</v>
      </c>
      <c r="W92" s="70">
        <f t="shared" si="4"/>
        <v>0</v>
      </c>
      <c r="X92" s="70"/>
    </row>
    <row r="93" ht="15.75" customHeight="1">
      <c r="A93" s="43" t="s">
        <v>54</v>
      </c>
      <c r="B93" s="44" t="s">
        <v>17</v>
      </c>
      <c r="C93" s="129" t="s">
        <v>14</v>
      </c>
      <c r="D93" s="53" t="s">
        <v>718</v>
      </c>
      <c r="E93" s="53" t="s">
        <v>744</v>
      </c>
      <c r="F93" s="48"/>
      <c r="G93" s="48"/>
      <c r="H93" s="48"/>
      <c r="I93" s="48"/>
      <c r="J93" s="48"/>
      <c r="K93" s="50"/>
      <c r="L93" s="50"/>
      <c r="M93" s="48"/>
      <c r="N93" s="43"/>
      <c r="O93" s="43"/>
      <c r="P93" s="43"/>
      <c r="Q93" s="43"/>
      <c r="R93" s="43"/>
      <c r="S93" s="54" t="str">
        <f t="shared" si="1"/>
        <v>-</v>
      </c>
      <c r="T93" s="43" t="str">
        <f>'Kertas Kerja'!$I68</f>
        <v/>
      </c>
      <c r="U93" s="43" t="str">
        <f t="shared" si="2"/>
        <v/>
      </c>
      <c r="V93" s="56">
        <f t="shared" si="3"/>
        <v>0</v>
      </c>
      <c r="W93" s="56">
        <f t="shared" si="4"/>
        <v>0</v>
      </c>
      <c r="X93" s="56"/>
    </row>
    <row r="94" ht="15.75" customHeight="1">
      <c r="A94" s="57" t="s">
        <v>54</v>
      </c>
      <c r="B94" s="58" t="s">
        <v>17</v>
      </c>
      <c r="C94" s="128" t="s">
        <v>14</v>
      </c>
      <c r="D94" s="74" t="s">
        <v>707</v>
      </c>
      <c r="E94" s="74" t="s">
        <v>747</v>
      </c>
      <c r="F94" s="68"/>
      <c r="G94" s="68"/>
      <c r="H94" s="68"/>
      <c r="I94" s="68"/>
      <c r="J94" s="68"/>
      <c r="K94" s="67"/>
      <c r="L94" s="67"/>
      <c r="M94" s="68"/>
      <c r="N94" s="57"/>
      <c r="O94" s="57"/>
      <c r="P94" s="57"/>
      <c r="Q94" s="57"/>
      <c r="R94" s="57"/>
      <c r="S94" s="69" t="str">
        <f t="shared" si="1"/>
        <v>-</v>
      </c>
      <c r="T94" s="57" t="str">
        <f>'Kertas Kerja'!$I26</f>
        <v/>
      </c>
      <c r="U94" s="57" t="str">
        <f t="shared" si="2"/>
        <v/>
      </c>
      <c r="V94" s="70">
        <f t="shared" si="3"/>
        <v>0</v>
      </c>
      <c r="W94" s="70">
        <f t="shared" si="4"/>
        <v>0</v>
      </c>
      <c r="X94" s="70"/>
    </row>
    <row r="95" ht="15.75" customHeight="1">
      <c r="A95" s="43" t="s">
        <v>54</v>
      </c>
      <c r="B95" s="44" t="s">
        <v>17</v>
      </c>
      <c r="C95" s="129" t="s">
        <v>14</v>
      </c>
      <c r="D95" s="53" t="s">
        <v>707</v>
      </c>
      <c r="E95" s="53" t="s">
        <v>748</v>
      </c>
      <c r="F95" s="48"/>
      <c r="G95" s="48"/>
      <c r="H95" s="48"/>
      <c r="I95" s="48"/>
      <c r="J95" s="48"/>
      <c r="K95" s="50"/>
      <c r="L95" s="50"/>
      <c r="M95" s="48"/>
      <c r="N95" s="43"/>
      <c r="O95" s="43"/>
      <c r="P95" s="43"/>
      <c r="Q95" s="43"/>
      <c r="R95" s="43"/>
      <c r="S95" s="54" t="str">
        <f t="shared" si="1"/>
        <v>-</v>
      </c>
      <c r="T95" s="43" t="str">
        <f>'Kertas Kerja'!$I44</f>
        <v/>
      </c>
      <c r="U95" s="43" t="str">
        <f t="shared" si="2"/>
        <v/>
      </c>
      <c r="V95" s="56">
        <f t="shared" si="3"/>
        <v>0</v>
      </c>
      <c r="W95" s="56">
        <f t="shared" si="4"/>
        <v>0</v>
      </c>
      <c r="X95" s="56"/>
    </row>
    <row r="96" ht="15.75" customHeight="1">
      <c r="A96" s="57" t="s">
        <v>54</v>
      </c>
      <c r="B96" s="58" t="s">
        <v>17</v>
      </c>
      <c r="C96" s="128" t="s">
        <v>14</v>
      </c>
      <c r="D96" s="74" t="s">
        <v>707</v>
      </c>
      <c r="E96" s="74" t="s">
        <v>749</v>
      </c>
      <c r="F96" s="68"/>
      <c r="G96" s="68"/>
      <c r="H96" s="68"/>
      <c r="I96" s="68"/>
      <c r="J96" s="68"/>
      <c r="K96" s="67"/>
      <c r="L96" s="67"/>
      <c r="M96" s="68"/>
      <c r="N96" s="57"/>
      <c r="O96" s="57"/>
      <c r="P96" s="57"/>
      <c r="Q96" s="57"/>
      <c r="R96" s="57"/>
      <c r="S96" s="69" t="str">
        <f t="shared" si="1"/>
        <v>-</v>
      </c>
      <c r="T96" s="57" t="str">
        <f>'Kertas Kerja'!$I39</f>
        <v/>
      </c>
      <c r="U96" s="57" t="str">
        <f t="shared" si="2"/>
        <v/>
      </c>
      <c r="V96" s="70">
        <f t="shared" si="3"/>
        <v>0</v>
      </c>
      <c r="W96" s="70">
        <f t="shared" si="4"/>
        <v>0</v>
      </c>
      <c r="X96" s="70"/>
    </row>
    <row r="97" ht="15.75" customHeight="1">
      <c r="A97" s="43" t="s">
        <v>54</v>
      </c>
      <c r="B97" s="44" t="s">
        <v>17</v>
      </c>
      <c r="C97" s="129" t="s">
        <v>14</v>
      </c>
      <c r="D97" s="53" t="s">
        <v>707</v>
      </c>
      <c r="E97" s="53" t="s">
        <v>750</v>
      </c>
      <c r="F97" s="48"/>
      <c r="G97" s="48"/>
      <c r="H97" s="48"/>
      <c r="I97" s="48"/>
      <c r="J97" s="48"/>
      <c r="K97" s="50"/>
      <c r="L97" s="50"/>
      <c r="M97" s="48"/>
      <c r="N97" s="43"/>
      <c r="O97" s="43"/>
      <c r="P97" s="43"/>
      <c r="Q97" s="43"/>
      <c r="R97" s="43"/>
      <c r="S97" s="54" t="str">
        <f t="shared" si="1"/>
        <v>-</v>
      </c>
      <c r="T97" s="43" t="str">
        <f>'Kertas Kerja'!$I41</f>
        <v/>
      </c>
      <c r="U97" s="43" t="str">
        <f t="shared" si="2"/>
        <v/>
      </c>
      <c r="V97" s="56">
        <f t="shared" si="3"/>
        <v>0</v>
      </c>
      <c r="W97" s="56">
        <f t="shared" si="4"/>
        <v>0</v>
      </c>
      <c r="X97" s="56"/>
    </row>
    <row r="98" ht="15.75" customHeight="1">
      <c r="A98" s="57" t="s">
        <v>54</v>
      </c>
      <c r="B98" s="58" t="s">
        <v>17</v>
      </c>
      <c r="C98" s="128" t="s">
        <v>14</v>
      </c>
      <c r="D98" s="74" t="s">
        <v>707</v>
      </c>
      <c r="E98" s="74" t="s">
        <v>751</v>
      </c>
      <c r="F98" s="68"/>
      <c r="G98" s="68"/>
      <c r="H98" s="68"/>
      <c r="I98" s="68"/>
      <c r="J98" s="68"/>
      <c r="K98" s="67"/>
      <c r="L98" s="67"/>
      <c r="M98" s="68"/>
      <c r="N98" s="57"/>
      <c r="O98" s="57"/>
      <c r="P98" s="57"/>
      <c r="Q98" s="57"/>
      <c r="R98" s="57"/>
      <c r="S98" s="69" t="str">
        <f t="shared" si="1"/>
        <v>-</v>
      </c>
      <c r="T98" s="57" t="str">
        <f>'Kertas Kerja'!$I38</f>
        <v/>
      </c>
      <c r="U98" s="57" t="str">
        <f t="shared" si="2"/>
        <v/>
      </c>
      <c r="V98" s="70">
        <f t="shared" si="3"/>
        <v>0</v>
      </c>
      <c r="W98" s="70">
        <f t="shared" si="4"/>
        <v>0</v>
      </c>
      <c r="X98" s="70"/>
    </row>
    <row r="99" ht="15.75" customHeight="1">
      <c r="A99" s="43" t="s">
        <v>54</v>
      </c>
      <c r="B99" s="44" t="s">
        <v>17</v>
      </c>
      <c r="C99" s="129" t="s">
        <v>14</v>
      </c>
      <c r="D99" s="53" t="s">
        <v>707</v>
      </c>
      <c r="E99" s="53" t="s">
        <v>752</v>
      </c>
      <c r="F99" s="48"/>
      <c r="G99" s="48"/>
      <c r="H99" s="48"/>
      <c r="I99" s="48"/>
      <c r="J99" s="48"/>
      <c r="K99" s="50"/>
      <c r="L99" s="50"/>
      <c r="M99" s="48"/>
      <c r="N99" s="43"/>
      <c r="O99" s="43"/>
      <c r="P99" s="43"/>
      <c r="Q99" s="43"/>
      <c r="R99" s="43"/>
      <c r="S99" s="54" t="str">
        <f t="shared" si="1"/>
        <v>-</v>
      </c>
      <c r="T99" s="43" t="str">
        <f>'Kertas Kerja'!$I42</f>
        <v/>
      </c>
      <c r="U99" s="43" t="str">
        <f t="shared" si="2"/>
        <v/>
      </c>
      <c r="V99" s="56">
        <f t="shared" si="3"/>
        <v>0</v>
      </c>
      <c r="W99" s="56">
        <f t="shared" si="4"/>
        <v>0</v>
      </c>
      <c r="X99" s="56"/>
    </row>
    <row r="100" ht="15.75" customHeight="1">
      <c r="A100" s="57" t="s">
        <v>54</v>
      </c>
      <c r="B100" s="58" t="s">
        <v>17</v>
      </c>
      <c r="C100" s="128" t="s">
        <v>14</v>
      </c>
      <c r="D100" s="74" t="s">
        <v>707</v>
      </c>
      <c r="E100" s="74" t="s">
        <v>753</v>
      </c>
      <c r="F100" s="68"/>
      <c r="G100" s="68"/>
      <c r="H100" s="68"/>
      <c r="I100" s="68"/>
      <c r="J100" s="68"/>
      <c r="K100" s="67"/>
      <c r="L100" s="67"/>
      <c r="M100" s="68"/>
      <c r="N100" s="57"/>
      <c r="O100" s="57"/>
      <c r="P100" s="57"/>
      <c r="Q100" s="57"/>
      <c r="R100" s="57"/>
      <c r="S100" s="69" t="str">
        <f t="shared" si="1"/>
        <v>-</v>
      </c>
      <c r="T100" s="57" t="str">
        <f>'Kertas Kerja'!$I40</f>
        <v/>
      </c>
      <c r="U100" s="57" t="str">
        <f t="shared" si="2"/>
        <v/>
      </c>
      <c r="V100" s="70">
        <f t="shared" si="3"/>
        <v>0</v>
      </c>
      <c r="W100" s="70">
        <f t="shared" si="4"/>
        <v>0</v>
      </c>
      <c r="X100" s="70"/>
    </row>
    <row r="101" ht="15.75" customHeight="1">
      <c r="A101" s="43" t="s">
        <v>54</v>
      </c>
      <c r="B101" s="44" t="s">
        <v>17</v>
      </c>
      <c r="C101" s="129" t="s">
        <v>14</v>
      </c>
      <c r="D101" s="53" t="s">
        <v>707</v>
      </c>
      <c r="E101" s="53" t="s">
        <v>754</v>
      </c>
      <c r="F101" s="48"/>
      <c r="G101" s="48"/>
      <c r="H101" s="48"/>
      <c r="I101" s="48"/>
      <c r="J101" s="48"/>
      <c r="K101" s="50"/>
      <c r="L101" s="50"/>
      <c r="M101" s="48"/>
      <c r="N101" s="43"/>
      <c r="O101" s="43"/>
      <c r="P101" s="43"/>
      <c r="Q101" s="43"/>
      <c r="R101" s="43"/>
      <c r="S101" s="54" t="str">
        <f t="shared" si="1"/>
        <v>-</v>
      </c>
      <c r="T101" s="43" t="str">
        <f>'Kertas Kerja'!$I45</f>
        <v/>
      </c>
      <c r="U101" s="43" t="str">
        <f t="shared" si="2"/>
        <v/>
      </c>
      <c r="V101" s="56">
        <f t="shared" si="3"/>
        <v>0</v>
      </c>
      <c r="W101" s="56">
        <f t="shared" si="4"/>
        <v>0</v>
      </c>
      <c r="X101" s="56"/>
    </row>
    <row r="102" ht="15.75" customHeight="1">
      <c r="A102" s="57" t="s">
        <v>54</v>
      </c>
      <c r="B102" s="58" t="s">
        <v>17</v>
      </c>
      <c r="C102" s="128" t="s">
        <v>14</v>
      </c>
      <c r="D102" s="74" t="s">
        <v>707</v>
      </c>
      <c r="E102" s="74" t="s">
        <v>755</v>
      </c>
      <c r="F102" s="68"/>
      <c r="G102" s="68"/>
      <c r="H102" s="68"/>
      <c r="I102" s="68"/>
      <c r="J102" s="68"/>
      <c r="K102" s="67"/>
      <c r="L102" s="67"/>
      <c r="M102" s="68"/>
      <c r="N102" s="57"/>
      <c r="O102" s="57"/>
      <c r="P102" s="57"/>
      <c r="Q102" s="57"/>
      <c r="R102" s="57"/>
      <c r="S102" s="69" t="str">
        <f t="shared" si="1"/>
        <v>-</v>
      </c>
      <c r="T102" s="57" t="str">
        <f>'Kertas Kerja'!$I47</f>
        <v/>
      </c>
      <c r="U102" s="57" t="str">
        <f t="shared" si="2"/>
        <v/>
      </c>
      <c r="V102" s="70">
        <f t="shared" si="3"/>
        <v>0</v>
      </c>
      <c r="W102" s="70">
        <f t="shared" si="4"/>
        <v>0</v>
      </c>
      <c r="X102" s="70"/>
    </row>
    <row r="103" ht="15.75" customHeight="1">
      <c r="A103" s="43" t="s">
        <v>54</v>
      </c>
      <c r="B103" s="44" t="s">
        <v>17</v>
      </c>
      <c r="C103" s="129" t="s">
        <v>14</v>
      </c>
      <c r="D103" s="53" t="s">
        <v>707</v>
      </c>
      <c r="E103" s="53" t="s">
        <v>756</v>
      </c>
      <c r="F103" s="48"/>
      <c r="G103" s="48"/>
      <c r="H103" s="48"/>
      <c r="I103" s="48"/>
      <c r="J103" s="48"/>
      <c r="K103" s="50"/>
      <c r="L103" s="50"/>
      <c r="M103" s="48"/>
      <c r="N103" s="43"/>
      <c r="O103" s="43"/>
      <c r="P103" s="43"/>
      <c r="Q103" s="43"/>
      <c r="R103" s="43"/>
      <c r="S103" s="54" t="str">
        <f t="shared" si="1"/>
        <v>-</v>
      </c>
      <c r="T103" s="43" t="str">
        <f>'Kertas Kerja'!$I32</f>
        <v/>
      </c>
      <c r="U103" s="43" t="str">
        <f t="shared" si="2"/>
        <v/>
      </c>
      <c r="V103" s="56">
        <f t="shared" si="3"/>
        <v>0</v>
      </c>
      <c r="W103" s="56">
        <f t="shared" si="4"/>
        <v>0</v>
      </c>
      <c r="X103" s="56"/>
    </row>
    <row r="104" ht="15.75" customHeight="1">
      <c r="A104" s="57" t="s">
        <v>54</v>
      </c>
      <c r="B104" s="58" t="s">
        <v>17</v>
      </c>
      <c r="C104" s="128" t="s">
        <v>14</v>
      </c>
      <c r="D104" s="74" t="s">
        <v>707</v>
      </c>
      <c r="E104" s="74" t="s">
        <v>757</v>
      </c>
      <c r="F104" s="68"/>
      <c r="G104" s="68"/>
      <c r="H104" s="68"/>
      <c r="I104" s="68"/>
      <c r="J104" s="68"/>
      <c r="K104" s="67"/>
      <c r="L104" s="67"/>
      <c r="M104" s="68"/>
      <c r="N104" s="57"/>
      <c r="O104" s="57"/>
      <c r="P104" s="57"/>
      <c r="Q104" s="57"/>
      <c r="R104" s="57"/>
      <c r="S104" s="69" t="str">
        <f t="shared" si="1"/>
        <v>-</v>
      </c>
      <c r="T104" s="57" t="str">
        <f>'Kertas Kerja'!$I33</f>
        <v/>
      </c>
      <c r="U104" s="57" t="str">
        <f t="shared" si="2"/>
        <v/>
      </c>
      <c r="V104" s="70">
        <f t="shared" si="3"/>
        <v>0</v>
      </c>
      <c r="W104" s="70">
        <f t="shared" si="4"/>
        <v>0</v>
      </c>
      <c r="X104" s="70"/>
    </row>
    <row r="105" ht="15.75" customHeight="1">
      <c r="A105" s="43" t="s">
        <v>54</v>
      </c>
      <c r="B105" s="44" t="s">
        <v>17</v>
      </c>
      <c r="C105" s="129" t="s">
        <v>14</v>
      </c>
      <c r="D105" s="53" t="s">
        <v>707</v>
      </c>
      <c r="E105" s="53" t="s">
        <v>758</v>
      </c>
      <c r="F105" s="48"/>
      <c r="G105" s="48"/>
      <c r="H105" s="48"/>
      <c r="I105" s="48"/>
      <c r="J105" s="48"/>
      <c r="K105" s="50"/>
      <c r="L105" s="50"/>
      <c r="M105" s="48"/>
      <c r="N105" s="43"/>
      <c r="O105" s="43"/>
      <c r="P105" s="43"/>
      <c r="Q105" s="43"/>
      <c r="R105" s="43"/>
      <c r="S105" s="54" t="str">
        <f t="shared" si="1"/>
        <v>-</v>
      </c>
      <c r="T105" s="43" t="str">
        <f>'Kertas Kerja'!$I35</f>
        <v/>
      </c>
      <c r="U105" s="43" t="str">
        <f t="shared" si="2"/>
        <v/>
      </c>
      <c r="V105" s="56">
        <f t="shared" si="3"/>
        <v>0</v>
      </c>
      <c r="W105" s="56">
        <f t="shared" si="4"/>
        <v>0</v>
      </c>
      <c r="X105" s="56"/>
    </row>
    <row r="106" ht="15.75" customHeight="1">
      <c r="A106" s="57" t="s">
        <v>54</v>
      </c>
      <c r="B106" s="58" t="s">
        <v>17</v>
      </c>
      <c r="C106" s="128" t="s">
        <v>14</v>
      </c>
      <c r="D106" s="74" t="s">
        <v>707</v>
      </c>
      <c r="E106" s="74" t="s">
        <v>759</v>
      </c>
      <c r="F106" s="68"/>
      <c r="G106" s="68"/>
      <c r="H106" s="68"/>
      <c r="I106" s="68"/>
      <c r="J106" s="68"/>
      <c r="K106" s="67"/>
      <c r="L106" s="67"/>
      <c r="M106" s="68"/>
      <c r="N106" s="57"/>
      <c r="O106" s="57"/>
      <c r="P106" s="57"/>
      <c r="Q106" s="57"/>
      <c r="R106" s="57"/>
      <c r="S106" s="69" t="str">
        <f t="shared" si="1"/>
        <v>-</v>
      </c>
      <c r="T106" s="57" t="str">
        <f>'Kertas Kerja'!$I34</f>
        <v/>
      </c>
      <c r="U106" s="57" t="str">
        <f t="shared" si="2"/>
        <v/>
      </c>
      <c r="V106" s="70">
        <f t="shared" si="3"/>
        <v>0</v>
      </c>
      <c r="W106" s="70">
        <f t="shared" si="4"/>
        <v>0</v>
      </c>
      <c r="X106" s="70"/>
    </row>
    <row r="107" ht="15.75" customHeight="1">
      <c r="A107" s="43" t="s">
        <v>54</v>
      </c>
      <c r="B107" s="44" t="s">
        <v>17</v>
      </c>
      <c r="C107" s="129" t="s">
        <v>14</v>
      </c>
      <c r="D107" s="53" t="s">
        <v>707</v>
      </c>
      <c r="E107" s="53" t="s">
        <v>760</v>
      </c>
      <c r="F107" s="48"/>
      <c r="G107" s="48"/>
      <c r="H107" s="48"/>
      <c r="I107" s="48"/>
      <c r="J107" s="48"/>
      <c r="K107" s="50"/>
      <c r="L107" s="50"/>
      <c r="M107" s="48"/>
      <c r="N107" s="43"/>
      <c r="O107" s="43"/>
      <c r="P107" s="43"/>
      <c r="Q107" s="43"/>
      <c r="R107" s="43"/>
      <c r="S107" s="54" t="str">
        <f t="shared" si="1"/>
        <v>-</v>
      </c>
      <c r="T107" s="43" t="str">
        <f>'Kertas Kerja'!$I27</f>
        <v/>
      </c>
      <c r="U107" s="43" t="str">
        <f t="shared" si="2"/>
        <v/>
      </c>
      <c r="V107" s="56">
        <f t="shared" si="3"/>
        <v>0</v>
      </c>
      <c r="W107" s="56">
        <f t="shared" si="4"/>
        <v>0</v>
      </c>
      <c r="X107" s="56"/>
    </row>
    <row r="108" ht="15.75" customHeight="1">
      <c r="A108" s="57" t="s">
        <v>54</v>
      </c>
      <c r="B108" s="58" t="s">
        <v>17</v>
      </c>
      <c r="C108" s="128" t="s">
        <v>14</v>
      </c>
      <c r="D108" s="74" t="s">
        <v>707</v>
      </c>
      <c r="E108" s="74" t="s">
        <v>763</v>
      </c>
      <c r="F108" s="68"/>
      <c r="G108" s="68"/>
      <c r="H108" s="68"/>
      <c r="I108" s="68"/>
      <c r="J108" s="68"/>
      <c r="K108" s="67"/>
      <c r="L108" s="67"/>
      <c r="M108" s="68"/>
      <c r="N108" s="57"/>
      <c r="O108" s="57"/>
      <c r="P108" s="57"/>
      <c r="Q108" s="57"/>
      <c r="R108" s="57"/>
      <c r="S108" s="69" t="str">
        <f t="shared" si="1"/>
        <v>-</v>
      </c>
      <c r="T108" s="57" t="str">
        <f>'Kertas Kerja'!$I28</f>
        <v/>
      </c>
      <c r="U108" s="57" t="str">
        <f t="shared" si="2"/>
        <v/>
      </c>
      <c r="V108" s="70">
        <f t="shared" si="3"/>
        <v>0</v>
      </c>
      <c r="W108" s="70">
        <f t="shared" si="4"/>
        <v>0</v>
      </c>
      <c r="X108" s="70"/>
    </row>
    <row r="109" ht="15.75" customHeight="1">
      <c r="A109" s="43" t="s">
        <v>54</v>
      </c>
      <c r="B109" s="44" t="s">
        <v>17</v>
      </c>
      <c r="C109" s="129" t="s">
        <v>14</v>
      </c>
      <c r="D109" s="53" t="s">
        <v>707</v>
      </c>
      <c r="E109" s="53" t="s">
        <v>764</v>
      </c>
      <c r="F109" s="48"/>
      <c r="G109" s="48"/>
      <c r="H109" s="48"/>
      <c r="I109" s="48"/>
      <c r="J109" s="48"/>
      <c r="K109" s="50"/>
      <c r="L109" s="50"/>
      <c r="M109" s="48"/>
      <c r="N109" s="43"/>
      <c r="O109" s="43"/>
      <c r="P109" s="43"/>
      <c r="Q109" s="43"/>
      <c r="R109" s="43"/>
      <c r="S109" s="54" t="str">
        <f t="shared" si="1"/>
        <v>-</v>
      </c>
      <c r="T109" s="43" t="str">
        <f>'Kertas Kerja'!$I25</f>
        <v/>
      </c>
      <c r="U109" s="43" t="str">
        <f t="shared" si="2"/>
        <v/>
      </c>
      <c r="V109" s="56">
        <f t="shared" si="3"/>
        <v>0</v>
      </c>
      <c r="W109" s="56">
        <f t="shared" si="4"/>
        <v>0</v>
      </c>
      <c r="X109" s="56"/>
    </row>
    <row r="110" ht="15.75" customHeight="1">
      <c r="A110" s="57" t="s">
        <v>54</v>
      </c>
      <c r="B110" s="58" t="s">
        <v>17</v>
      </c>
      <c r="C110" s="128" t="s">
        <v>14</v>
      </c>
      <c r="D110" s="74" t="s">
        <v>707</v>
      </c>
      <c r="E110" s="74" t="s">
        <v>766</v>
      </c>
      <c r="F110" s="68"/>
      <c r="G110" s="68"/>
      <c r="H110" s="68"/>
      <c r="I110" s="68"/>
      <c r="J110" s="68"/>
      <c r="K110" s="67"/>
      <c r="L110" s="67"/>
      <c r="M110" s="68"/>
      <c r="N110" s="57"/>
      <c r="O110" s="57"/>
      <c r="P110" s="57"/>
      <c r="Q110" s="57"/>
      <c r="R110" s="57"/>
      <c r="S110" s="69" t="str">
        <f t="shared" si="1"/>
        <v>-</v>
      </c>
      <c r="T110" s="57" t="str">
        <f>'Kertas Kerja'!$I24</f>
        <v/>
      </c>
      <c r="U110" s="57" t="str">
        <f t="shared" si="2"/>
        <v/>
      </c>
      <c r="V110" s="70">
        <f t="shared" si="3"/>
        <v>0</v>
      </c>
      <c r="W110" s="70">
        <f t="shared" si="4"/>
        <v>0</v>
      </c>
      <c r="X110" s="70"/>
    </row>
    <row r="111" ht="15.75" customHeight="1">
      <c r="A111" s="43" t="s">
        <v>54</v>
      </c>
      <c r="B111" s="44" t="s">
        <v>17</v>
      </c>
      <c r="C111" s="129" t="s">
        <v>14</v>
      </c>
      <c r="D111" s="53" t="s">
        <v>707</v>
      </c>
      <c r="E111" s="53" t="s">
        <v>769</v>
      </c>
      <c r="F111" s="48"/>
      <c r="G111" s="48"/>
      <c r="H111" s="48"/>
      <c r="I111" s="48"/>
      <c r="J111" s="48"/>
      <c r="K111" s="50"/>
      <c r="L111" s="50"/>
      <c r="M111" s="48"/>
      <c r="N111" s="43"/>
      <c r="O111" s="43"/>
      <c r="P111" s="43"/>
      <c r="Q111" s="43"/>
      <c r="R111" s="43"/>
      <c r="S111" s="54" t="str">
        <f t="shared" si="1"/>
        <v>-</v>
      </c>
      <c r="T111" s="43" t="str">
        <f>'Kertas Kerja'!$I37</f>
        <v/>
      </c>
      <c r="U111" s="43" t="str">
        <f t="shared" si="2"/>
        <v/>
      </c>
      <c r="V111" s="56">
        <f t="shared" si="3"/>
        <v>0</v>
      </c>
      <c r="W111" s="56">
        <f t="shared" si="4"/>
        <v>0</v>
      </c>
      <c r="X111" s="56"/>
    </row>
    <row r="112" ht="15.75" customHeight="1">
      <c r="A112" s="57" t="s">
        <v>54</v>
      </c>
      <c r="B112" s="58" t="s">
        <v>17</v>
      </c>
      <c r="C112" s="128" t="s">
        <v>14</v>
      </c>
      <c r="D112" s="74" t="s">
        <v>707</v>
      </c>
      <c r="E112" s="74" t="s">
        <v>773</v>
      </c>
      <c r="F112" s="68"/>
      <c r="G112" s="68"/>
      <c r="H112" s="68"/>
      <c r="I112" s="68"/>
      <c r="J112" s="68"/>
      <c r="K112" s="67"/>
      <c r="L112" s="67"/>
      <c r="M112" s="68"/>
      <c r="N112" s="57"/>
      <c r="O112" s="57"/>
      <c r="P112" s="57"/>
      <c r="Q112" s="57"/>
      <c r="R112" s="57"/>
      <c r="S112" s="69" t="str">
        <f t="shared" si="1"/>
        <v>-</v>
      </c>
      <c r="T112" s="57" t="str">
        <f>'Kertas Kerja'!$I46</f>
        <v/>
      </c>
      <c r="U112" s="57" t="str">
        <f t="shared" si="2"/>
        <v/>
      </c>
      <c r="V112" s="70">
        <f t="shared" si="3"/>
        <v>0</v>
      </c>
      <c r="W112" s="70">
        <f t="shared" si="4"/>
        <v>0</v>
      </c>
      <c r="X112" s="70"/>
    </row>
    <row r="113" ht="15.75" customHeight="1">
      <c r="A113" s="43" t="s">
        <v>54</v>
      </c>
      <c r="B113" s="44" t="s">
        <v>17</v>
      </c>
      <c r="C113" s="129" t="s">
        <v>14</v>
      </c>
      <c r="D113" s="53" t="s">
        <v>707</v>
      </c>
      <c r="E113" s="53" t="s">
        <v>776</v>
      </c>
      <c r="F113" s="48"/>
      <c r="G113" s="48"/>
      <c r="H113" s="48"/>
      <c r="I113" s="48"/>
      <c r="J113" s="48"/>
      <c r="K113" s="50"/>
      <c r="L113" s="50"/>
      <c r="M113" s="48"/>
      <c r="N113" s="43"/>
      <c r="O113" s="43"/>
      <c r="P113" s="43"/>
      <c r="Q113" s="43"/>
      <c r="R113" s="43"/>
      <c r="S113" s="54" t="str">
        <f t="shared" si="1"/>
        <v>-</v>
      </c>
      <c r="T113" s="43" t="str">
        <f>'Kertas Kerja'!$I43</f>
        <v/>
      </c>
      <c r="U113" s="43" t="str">
        <f t="shared" si="2"/>
        <v/>
      </c>
      <c r="V113" s="56">
        <f t="shared" si="3"/>
        <v>0</v>
      </c>
      <c r="W113" s="56">
        <f t="shared" si="4"/>
        <v>0</v>
      </c>
      <c r="X113" s="56"/>
    </row>
    <row r="114" ht="15.75" customHeight="1">
      <c r="A114" s="57" t="s">
        <v>54</v>
      </c>
      <c r="B114" s="58" t="s">
        <v>17</v>
      </c>
      <c r="C114" s="128" t="s">
        <v>14</v>
      </c>
      <c r="D114" s="74" t="s">
        <v>707</v>
      </c>
      <c r="E114" s="74" t="s">
        <v>778</v>
      </c>
      <c r="F114" s="68"/>
      <c r="G114" s="68"/>
      <c r="H114" s="68"/>
      <c r="I114" s="68"/>
      <c r="J114" s="68"/>
      <c r="K114" s="67"/>
      <c r="L114" s="67"/>
      <c r="M114" s="68"/>
      <c r="N114" s="57"/>
      <c r="O114" s="57"/>
      <c r="P114" s="57"/>
      <c r="Q114" s="57"/>
      <c r="R114" s="57"/>
      <c r="S114" s="69" t="str">
        <f t="shared" si="1"/>
        <v>-</v>
      </c>
      <c r="T114" s="57" t="str">
        <f>'Kertas Kerja'!$I36</f>
        <v/>
      </c>
      <c r="U114" s="57" t="str">
        <f t="shared" si="2"/>
        <v/>
      </c>
      <c r="V114" s="70">
        <f t="shared" si="3"/>
        <v>0</v>
      </c>
      <c r="W114" s="70">
        <f t="shared" si="4"/>
        <v>0</v>
      </c>
      <c r="X114" s="70"/>
    </row>
    <row r="115" ht="15.75" customHeight="1">
      <c r="A115" s="43" t="s">
        <v>54</v>
      </c>
      <c r="B115" s="44" t="s">
        <v>17</v>
      </c>
      <c r="C115" s="129" t="s">
        <v>14</v>
      </c>
      <c r="D115" s="53" t="s">
        <v>707</v>
      </c>
      <c r="E115" s="53" t="s">
        <v>779</v>
      </c>
      <c r="F115" s="48"/>
      <c r="G115" s="48"/>
      <c r="H115" s="48"/>
      <c r="I115" s="48"/>
      <c r="J115" s="48"/>
      <c r="K115" s="50"/>
      <c r="L115" s="50"/>
      <c r="M115" s="48"/>
      <c r="N115" s="43"/>
      <c r="O115" s="43"/>
      <c r="P115" s="43"/>
      <c r="Q115" s="43"/>
      <c r="R115" s="43"/>
      <c r="S115" s="54" t="str">
        <f t="shared" si="1"/>
        <v>-</v>
      </c>
      <c r="T115" s="43" t="str">
        <f>'Kertas Kerja'!$I30</f>
        <v/>
      </c>
      <c r="U115" s="43" t="str">
        <f t="shared" si="2"/>
        <v/>
      </c>
      <c r="V115" s="56">
        <f t="shared" si="3"/>
        <v>0</v>
      </c>
      <c r="W115" s="56">
        <f t="shared" si="4"/>
        <v>0</v>
      </c>
      <c r="X115" s="56"/>
    </row>
    <row r="116" ht="15.75" customHeight="1">
      <c r="A116" s="57" t="s">
        <v>54</v>
      </c>
      <c r="B116" s="58" t="s">
        <v>17</v>
      </c>
      <c r="C116" s="128" t="s">
        <v>14</v>
      </c>
      <c r="D116" s="74" t="s">
        <v>707</v>
      </c>
      <c r="E116" s="74" t="s">
        <v>782</v>
      </c>
      <c r="F116" s="68"/>
      <c r="G116" s="68"/>
      <c r="H116" s="68"/>
      <c r="I116" s="68"/>
      <c r="J116" s="68"/>
      <c r="K116" s="67"/>
      <c r="L116" s="67"/>
      <c r="M116" s="68"/>
      <c r="N116" s="57"/>
      <c r="O116" s="57"/>
      <c r="P116" s="57"/>
      <c r="Q116" s="57"/>
      <c r="R116" s="57"/>
      <c r="S116" s="69" t="str">
        <f t="shared" si="1"/>
        <v>-</v>
      </c>
      <c r="T116" s="57" t="str">
        <f>'Kertas Kerja'!$I31</f>
        <v/>
      </c>
      <c r="U116" s="57" t="str">
        <f t="shared" si="2"/>
        <v/>
      </c>
      <c r="V116" s="70">
        <f t="shared" si="3"/>
        <v>0</v>
      </c>
      <c r="W116" s="70">
        <f t="shared" si="4"/>
        <v>0</v>
      </c>
      <c r="X116" s="70"/>
    </row>
    <row r="117" ht="15.75" customHeight="1">
      <c r="A117" s="43" t="s">
        <v>54</v>
      </c>
      <c r="B117" s="44" t="s">
        <v>17</v>
      </c>
      <c r="C117" s="129" t="s">
        <v>14</v>
      </c>
      <c r="D117" s="53" t="s">
        <v>707</v>
      </c>
      <c r="E117" s="53" t="s">
        <v>784</v>
      </c>
      <c r="F117" s="48"/>
      <c r="G117" s="48"/>
      <c r="H117" s="48"/>
      <c r="I117" s="48"/>
      <c r="J117" s="48"/>
      <c r="K117" s="50"/>
      <c r="L117" s="50"/>
      <c r="M117" s="48"/>
      <c r="N117" s="43"/>
      <c r="O117" s="43"/>
      <c r="P117" s="43"/>
      <c r="Q117" s="43"/>
      <c r="R117" s="43"/>
      <c r="S117" s="54" t="str">
        <f t="shared" si="1"/>
        <v>-</v>
      </c>
      <c r="T117" s="43" t="str">
        <f>'Kertas Kerja'!$I29</f>
        <v/>
      </c>
      <c r="U117" s="43" t="str">
        <f t="shared" si="2"/>
        <v/>
      </c>
      <c r="V117" s="56">
        <f t="shared" si="3"/>
        <v>0</v>
      </c>
      <c r="W117" s="56">
        <f t="shared" si="4"/>
        <v>0</v>
      </c>
      <c r="X117" s="56"/>
    </row>
    <row r="118" ht="15.75" customHeight="1">
      <c r="A118" s="57"/>
      <c r="B118" s="58" t="s">
        <v>17</v>
      </c>
      <c r="C118" s="128" t="s">
        <v>14</v>
      </c>
      <c r="D118" s="74" t="s">
        <v>712</v>
      </c>
      <c r="E118" s="74" t="s">
        <v>787</v>
      </c>
      <c r="F118" s="68"/>
      <c r="G118" s="68"/>
      <c r="H118" s="68"/>
      <c r="I118" s="68"/>
      <c r="J118" s="68"/>
      <c r="K118" s="67"/>
      <c r="L118" s="67"/>
      <c r="M118" s="68"/>
      <c r="N118" s="57"/>
      <c r="O118" s="57"/>
      <c r="P118" s="57"/>
      <c r="Q118" s="57"/>
      <c r="R118" s="57"/>
      <c r="S118" s="69" t="str">
        <f t="shared" si="1"/>
        <v>-</v>
      </c>
      <c r="T118" s="57" t="str">
        <f>'Kertas Kerja'!$I77</f>
        <v/>
      </c>
      <c r="U118" s="57" t="str">
        <f t="shared" si="2"/>
        <v/>
      </c>
      <c r="V118" s="70">
        <f t="shared" si="3"/>
        <v>0</v>
      </c>
      <c r="W118" s="70">
        <f t="shared" si="4"/>
        <v>0</v>
      </c>
      <c r="X118" s="70"/>
    </row>
    <row r="119" ht="15.75" customHeight="1">
      <c r="A119" s="43"/>
      <c r="B119" s="44" t="s">
        <v>17</v>
      </c>
      <c r="C119" s="129" t="s">
        <v>14</v>
      </c>
      <c r="D119" s="53" t="s">
        <v>712</v>
      </c>
      <c r="E119" s="53" t="s">
        <v>794</v>
      </c>
      <c r="F119" s="48"/>
      <c r="G119" s="48"/>
      <c r="H119" s="48"/>
      <c r="I119" s="48"/>
      <c r="J119" s="48"/>
      <c r="K119" s="50"/>
      <c r="L119" s="50"/>
      <c r="M119" s="48"/>
      <c r="N119" s="43"/>
      <c r="O119" s="43"/>
      <c r="P119" s="43"/>
      <c r="Q119" s="43"/>
      <c r="R119" s="43"/>
      <c r="S119" s="54" t="str">
        <f t="shared" si="1"/>
        <v>-</v>
      </c>
      <c r="T119" s="43" t="str">
        <f>'Kertas Kerja'!$I78</f>
        <v/>
      </c>
      <c r="U119" s="43" t="str">
        <f t="shared" si="2"/>
        <v/>
      </c>
      <c r="V119" s="56">
        <f t="shared" si="3"/>
        <v>0</v>
      </c>
      <c r="W119" s="56">
        <f t="shared" si="4"/>
        <v>0</v>
      </c>
      <c r="X119" s="56"/>
    </row>
    <row r="120" ht="15.75" customHeight="1">
      <c r="A120" s="57"/>
      <c r="B120" s="58" t="s">
        <v>17</v>
      </c>
      <c r="C120" s="128" t="s">
        <v>14</v>
      </c>
      <c r="D120" s="74" t="s">
        <v>701</v>
      </c>
      <c r="E120" s="74" t="s">
        <v>795</v>
      </c>
      <c r="F120" s="68"/>
      <c r="G120" s="68"/>
      <c r="H120" s="68"/>
      <c r="I120" s="68"/>
      <c r="J120" s="68"/>
      <c r="K120" s="67"/>
      <c r="L120" s="67"/>
      <c r="M120" s="68"/>
      <c r="N120" s="57"/>
      <c r="O120" s="57"/>
      <c r="P120" s="57"/>
      <c r="Q120" s="57"/>
      <c r="R120" s="57"/>
      <c r="S120" s="69" t="str">
        <f t="shared" si="1"/>
        <v>-</v>
      </c>
      <c r="T120" s="57" t="str">
        <f>'Kertas Kerja'!$I99</f>
        <v/>
      </c>
      <c r="U120" s="57" t="str">
        <f t="shared" si="2"/>
        <v/>
      </c>
      <c r="V120" s="70">
        <f t="shared" si="3"/>
        <v>0</v>
      </c>
      <c r="W120" s="70">
        <f t="shared" si="4"/>
        <v>0</v>
      </c>
      <c r="X120" s="70"/>
    </row>
    <row r="121" ht="15.75" customHeight="1">
      <c r="A121" s="43"/>
      <c r="B121" s="44" t="s">
        <v>17</v>
      </c>
      <c r="C121" s="129" t="s">
        <v>14</v>
      </c>
      <c r="D121" s="53" t="s">
        <v>701</v>
      </c>
      <c r="E121" s="53" t="s">
        <v>807</v>
      </c>
      <c r="F121" s="48"/>
      <c r="G121" s="48"/>
      <c r="H121" s="48"/>
      <c r="I121" s="48"/>
      <c r="J121" s="48"/>
      <c r="K121" s="50"/>
      <c r="L121" s="50"/>
      <c r="M121" s="48"/>
      <c r="N121" s="43"/>
      <c r="O121" s="43"/>
      <c r="P121" s="43"/>
      <c r="Q121" s="43"/>
      <c r="R121" s="43"/>
      <c r="S121" s="54" t="str">
        <f t="shared" si="1"/>
        <v>-</v>
      </c>
      <c r="T121" s="43" t="str">
        <f>'Kertas Kerja'!$I100</f>
        <v/>
      </c>
      <c r="U121" s="43" t="str">
        <f t="shared" si="2"/>
        <v/>
      </c>
      <c r="V121" s="56">
        <f t="shared" si="3"/>
        <v>0</v>
      </c>
      <c r="W121" s="56">
        <f t="shared" si="4"/>
        <v>0</v>
      </c>
      <c r="X121" s="56"/>
    </row>
    <row r="122" ht="15.75" customHeight="1">
      <c r="A122" s="57"/>
      <c r="B122" s="58" t="s">
        <v>17</v>
      </c>
      <c r="C122" s="128" t="s">
        <v>14</v>
      </c>
      <c r="D122" s="74" t="s">
        <v>701</v>
      </c>
      <c r="E122" s="74" t="s">
        <v>814</v>
      </c>
      <c r="F122" s="68"/>
      <c r="G122" s="68"/>
      <c r="H122" s="68"/>
      <c r="I122" s="68"/>
      <c r="J122" s="68"/>
      <c r="K122" s="67"/>
      <c r="L122" s="67"/>
      <c r="M122" s="68"/>
      <c r="N122" s="57"/>
      <c r="O122" s="57"/>
      <c r="P122" s="57"/>
      <c r="Q122" s="57"/>
      <c r="R122" s="57"/>
      <c r="S122" s="69" t="str">
        <f t="shared" si="1"/>
        <v>-</v>
      </c>
      <c r="T122" s="57" t="str">
        <f>'Kertas Kerja'!$I117</f>
        <v/>
      </c>
      <c r="U122" s="57" t="str">
        <f t="shared" si="2"/>
        <v/>
      </c>
      <c r="V122" s="70">
        <f t="shared" si="3"/>
        <v>0</v>
      </c>
      <c r="W122" s="70">
        <f t="shared" si="4"/>
        <v>0</v>
      </c>
      <c r="X122" s="70"/>
    </row>
    <row r="123" ht="15.75" customHeight="1">
      <c r="A123" s="43"/>
      <c r="B123" s="44" t="s">
        <v>17</v>
      </c>
      <c r="C123" s="129" t="s">
        <v>14</v>
      </c>
      <c r="D123" s="53" t="s">
        <v>712</v>
      </c>
      <c r="E123" s="53" t="s">
        <v>818</v>
      </c>
      <c r="F123" s="48"/>
      <c r="G123" s="48"/>
      <c r="H123" s="48"/>
      <c r="I123" s="48"/>
      <c r="J123" s="48"/>
      <c r="K123" s="50"/>
      <c r="L123" s="50"/>
      <c r="M123" s="48"/>
      <c r="N123" s="43"/>
      <c r="O123" s="43"/>
      <c r="P123" s="43"/>
      <c r="Q123" s="43"/>
      <c r="R123" s="43"/>
      <c r="S123" s="54" t="str">
        <f t="shared" si="1"/>
        <v>-</v>
      </c>
      <c r="T123" s="43" t="str">
        <f>'Kertas Kerja'!$I80</f>
        <v/>
      </c>
      <c r="U123" s="43" t="str">
        <f t="shared" si="2"/>
        <v/>
      </c>
      <c r="V123" s="56">
        <f t="shared" si="3"/>
        <v>0</v>
      </c>
      <c r="W123" s="56">
        <f t="shared" si="4"/>
        <v>0</v>
      </c>
      <c r="X123" s="56"/>
    </row>
    <row r="124" ht="15.75" customHeight="1">
      <c r="A124" s="57"/>
      <c r="B124" s="58" t="s">
        <v>17</v>
      </c>
      <c r="C124" s="128" t="s">
        <v>14</v>
      </c>
      <c r="D124" s="74" t="s">
        <v>701</v>
      </c>
      <c r="E124" s="74" t="s">
        <v>826</v>
      </c>
      <c r="F124" s="68"/>
      <c r="G124" s="68"/>
      <c r="H124" s="68"/>
      <c r="I124" s="68"/>
      <c r="J124" s="68"/>
      <c r="K124" s="67"/>
      <c r="L124" s="67"/>
      <c r="M124" s="68"/>
      <c r="N124" s="57"/>
      <c r="O124" s="57"/>
      <c r="P124" s="57"/>
      <c r="Q124" s="57"/>
      <c r="R124" s="57"/>
      <c r="S124" s="69" t="str">
        <f t="shared" si="1"/>
        <v>-</v>
      </c>
      <c r="T124" s="57" t="str">
        <f>'Kertas Kerja'!$I119</f>
        <v/>
      </c>
      <c r="U124" s="57" t="str">
        <f t="shared" si="2"/>
        <v/>
      </c>
      <c r="V124" s="70">
        <f t="shared" si="3"/>
        <v>0</v>
      </c>
      <c r="W124" s="70">
        <f t="shared" si="4"/>
        <v>0</v>
      </c>
      <c r="X124" s="70"/>
    </row>
    <row r="125" ht="15.75" customHeight="1">
      <c r="A125" s="43"/>
      <c r="B125" s="44" t="s">
        <v>17</v>
      </c>
      <c r="C125" s="129" t="s">
        <v>14</v>
      </c>
      <c r="D125" s="53" t="s">
        <v>701</v>
      </c>
      <c r="E125" s="53" t="s">
        <v>831</v>
      </c>
      <c r="F125" s="48"/>
      <c r="G125" s="48"/>
      <c r="H125" s="48"/>
      <c r="I125" s="48"/>
      <c r="J125" s="48"/>
      <c r="K125" s="50"/>
      <c r="L125" s="50"/>
      <c r="M125" s="48"/>
      <c r="N125" s="43"/>
      <c r="O125" s="43"/>
      <c r="P125" s="43"/>
      <c r="Q125" s="43"/>
      <c r="R125" s="43"/>
      <c r="S125" s="54" t="str">
        <f t="shared" si="1"/>
        <v>-</v>
      </c>
      <c r="T125" s="43" t="str">
        <f>'Kertas Kerja'!$I97</f>
        <v/>
      </c>
      <c r="U125" s="43" t="str">
        <f t="shared" si="2"/>
        <v/>
      </c>
      <c r="V125" s="56">
        <f t="shared" si="3"/>
        <v>0</v>
      </c>
      <c r="W125" s="56">
        <f t="shared" si="4"/>
        <v>0</v>
      </c>
      <c r="X125" s="56"/>
    </row>
    <row r="126" ht="15.75" customHeight="1">
      <c r="A126" s="57"/>
      <c r="B126" s="58" t="s">
        <v>17</v>
      </c>
      <c r="C126" s="128" t="s">
        <v>14</v>
      </c>
      <c r="D126" s="74" t="s">
        <v>701</v>
      </c>
      <c r="E126" s="74" t="s">
        <v>835</v>
      </c>
      <c r="F126" s="68"/>
      <c r="G126" s="68"/>
      <c r="H126" s="68"/>
      <c r="I126" s="68"/>
      <c r="J126" s="68"/>
      <c r="K126" s="67"/>
      <c r="L126" s="67"/>
      <c r="M126" s="68"/>
      <c r="N126" s="57"/>
      <c r="O126" s="57"/>
      <c r="P126" s="57"/>
      <c r="Q126" s="57"/>
      <c r="R126" s="57"/>
      <c r="S126" s="69" t="str">
        <f t="shared" si="1"/>
        <v>-</v>
      </c>
      <c r="T126" s="57" t="str">
        <f>'Kertas Kerja'!$I104</f>
        <v/>
      </c>
      <c r="U126" s="57" t="str">
        <f t="shared" si="2"/>
        <v/>
      </c>
      <c r="V126" s="70">
        <f t="shared" si="3"/>
        <v>0</v>
      </c>
      <c r="W126" s="70">
        <f t="shared" si="4"/>
        <v>0</v>
      </c>
      <c r="X126" s="70"/>
    </row>
    <row r="127" ht="15.75" customHeight="1">
      <c r="A127" s="43" t="s">
        <v>54</v>
      </c>
      <c r="B127" s="44" t="s">
        <v>17</v>
      </c>
      <c r="C127" s="129" t="s">
        <v>14</v>
      </c>
      <c r="D127" s="53" t="s">
        <v>840</v>
      </c>
      <c r="E127" s="53" t="s">
        <v>842</v>
      </c>
      <c r="F127" s="48"/>
      <c r="G127" s="48"/>
      <c r="H127" s="48"/>
      <c r="I127" s="48"/>
      <c r="J127" s="48"/>
      <c r="K127" s="50"/>
      <c r="L127" s="50"/>
      <c r="M127" s="48"/>
      <c r="N127" s="43"/>
      <c r="O127" s="43"/>
      <c r="P127" s="43"/>
      <c r="Q127" s="43"/>
      <c r="R127" s="43"/>
      <c r="S127" s="54" t="str">
        <f t="shared" si="1"/>
        <v>-</v>
      </c>
      <c r="T127" s="43" t="str">
        <f>'Kertas Kerja'!$I76</f>
        <v/>
      </c>
      <c r="U127" s="43" t="str">
        <f t="shared" si="2"/>
        <v/>
      </c>
      <c r="V127" s="56">
        <f t="shared" si="3"/>
        <v>0</v>
      </c>
      <c r="W127" s="56">
        <f t="shared" si="4"/>
        <v>0</v>
      </c>
      <c r="X127" s="56"/>
    </row>
    <row r="128" ht="15.75" customHeight="1">
      <c r="A128" s="57"/>
      <c r="B128" s="58" t="s">
        <v>17</v>
      </c>
      <c r="C128" s="128" t="s">
        <v>14</v>
      </c>
      <c r="D128" s="74" t="s">
        <v>846</v>
      </c>
      <c r="E128" s="74" t="s">
        <v>847</v>
      </c>
      <c r="F128" s="68"/>
      <c r="G128" s="68"/>
      <c r="H128" s="68"/>
      <c r="I128" s="68"/>
      <c r="J128" s="68"/>
      <c r="K128" s="67"/>
      <c r="L128" s="67"/>
      <c r="M128" s="68"/>
      <c r="N128" s="57"/>
      <c r="O128" s="57"/>
      <c r="P128" s="57"/>
      <c r="Q128" s="57"/>
      <c r="R128" s="57"/>
      <c r="S128" s="69" t="str">
        <f t="shared" si="1"/>
        <v>-</v>
      </c>
      <c r="T128" s="57" t="str">
        <f>'Kertas Kerja'!$I141</f>
        <v/>
      </c>
      <c r="U128" s="57" t="str">
        <f t="shared" si="2"/>
        <v/>
      </c>
      <c r="V128" s="70">
        <f t="shared" si="3"/>
        <v>0</v>
      </c>
      <c r="W128" s="70">
        <f t="shared" si="4"/>
        <v>0</v>
      </c>
      <c r="X128" s="70"/>
    </row>
    <row r="129" ht="15.75" customHeight="1">
      <c r="A129" s="43"/>
      <c r="B129" s="44" t="s">
        <v>17</v>
      </c>
      <c r="C129" s="129" t="s">
        <v>14</v>
      </c>
      <c r="D129" s="53" t="s">
        <v>846</v>
      </c>
      <c r="E129" s="53" t="s">
        <v>853</v>
      </c>
      <c r="F129" s="48"/>
      <c r="G129" s="48"/>
      <c r="H129" s="48"/>
      <c r="I129" s="48"/>
      <c r="J129" s="48"/>
      <c r="K129" s="50"/>
      <c r="L129" s="50"/>
      <c r="M129" s="48"/>
      <c r="N129" s="43"/>
      <c r="O129" s="43"/>
      <c r="P129" s="43"/>
      <c r="Q129" s="43"/>
      <c r="R129" s="43"/>
      <c r="S129" s="54" t="str">
        <f t="shared" si="1"/>
        <v>-</v>
      </c>
      <c r="T129" s="43" t="str">
        <f>'Kertas Kerja'!$I132</f>
        <v/>
      </c>
      <c r="U129" s="43" t="str">
        <f t="shared" si="2"/>
        <v/>
      </c>
      <c r="V129" s="56">
        <f t="shared" si="3"/>
        <v>0</v>
      </c>
      <c r="W129" s="56">
        <f t="shared" si="4"/>
        <v>0</v>
      </c>
      <c r="X129" s="56"/>
    </row>
    <row r="130" ht="15.75" customHeight="1">
      <c r="A130" s="57"/>
      <c r="B130" s="58" t="s">
        <v>17</v>
      </c>
      <c r="C130" s="128" t="s">
        <v>14</v>
      </c>
      <c r="D130" s="74" t="s">
        <v>846</v>
      </c>
      <c r="E130" s="74" t="s">
        <v>856</v>
      </c>
      <c r="F130" s="68"/>
      <c r="G130" s="68"/>
      <c r="H130" s="68"/>
      <c r="I130" s="68"/>
      <c r="J130" s="68"/>
      <c r="K130" s="67"/>
      <c r="L130" s="67"/>
      <c r="M130" s="68"/>
      <c r="N130" s="57"/>
      <c r="O130" s="57"/>
      <c r="P130" s="57"/>
      <c r="Q130" s="57"/>
      <c r="R130" s="57"/>
      <c r="S130" s="69" t="str">
        <f t="shared" si="1"/>
        <v>-</v>
      </c>
      <c r="T130" s="57" t="str">
        <f>'Kertas Kerja'!$I131</f>
        <v/>
      </c>
      <c r="U130" s="57" t="str">
        <f t="shared" si="2"/>
        <v/>
      </c>
      <c r="V130" s="70">
        <f t="shared" si="3"/>
        <v>0</v>
      </c>
      <c r="W130" s="70">
        <f t="shared" si="4"/>
        <v>0</v>
      </c>
      <c r="X130" s="70"/>
    </row>
    <row r="131" ht="15.75" customHeight="1">
      <c r="A131" s="43"/>
      <c r="B131" s="44" t="s">
        <v>17</v>
      </c>
      <c r="C131" s="129" t="s">
        <v>14</v>
      </c>
      <c r="D131" s="53" t="s">
        <v>846</v>
      </c>
      <c r="E131" s="53" t="s">
        <v>863</v>
      </c>
      <c r="F131" s="48"/>
      <c r="G131" s="48"/>
      <c r="H131" s="48"/>
      <c r="I131" s="48"/>
      <c r="J131" s="48"/>
      <c r="K131" s="50"/>
      <c r="L131" s="50"/>
      <c r="M131" s="48"/>
      <c r="N131" s="43"/>
      <c r="O131" s="43"/>
      <c r="P131" s="43"/>
      <c r="Q131" s="43"/>
      <c r="R131" s="43"/>
      <c r="S131" s="54" t="str">
        <f t="shared" si="1"/>
        <v>-</v>
      </c>
      <c r="T131" s="43" t="str">
        <f>'Kertas Kerja'!$I142</f>
        <v/>
      </c>
      <c r="U131" s="43" t="str">
        <f t="shared" si="2"/>
        <v/>
      </c>
      <c r="V131" s="56">
        <f t="shared" si="3"/>
        <v>0</v>
      </c>
      <c r="W131" s="56">
        <f t="shared" si="4"/>
        <v>0</v>
      </c>
      <c r="X131" s="56"/>
    </row>
    <row r="132" ht="15.75" customHeight="1">
      <c r="A132" s="57"/>
      <c r="B132" s="58" t="s">
        <v>17</v>
      </c>
      <c r="C132" s="128" t="s">
        <v>14</v>
      </c>
      <c r="D132" s="74" t="s">
        <v>846</v>
      </c>
      <c r="E132" s="74" t="s">
        <v>868</v>
      </c>
      <c r="F132" s="68"/>
      <c r="G132" s="68"/>
      <c r="H132" s="68"/>
      <c r="I132" s="68"/>
      <c r="J132" s="68"/>
      <c r="K132" s="67"/>
      <c r="L132" s="67"/>
      <c r="M132" s="68"/>
      <c r="N132" s="57"/>
      <c r="O132" s="57"/>
      <c r="P132" s="57"/>
      <c r="Q132" s="57"/>
      <c r="R132" s="57"/>
      <c r="S132" s="69" t="str">
        <f t="shared" si="1"/>
        <v>-</v>
      </c>
      <c r="T132" s="57" t="str">
        <f>'Kertas Kerja'!$I136</f>
        <v/>
      </c>
      <c r="U132" s="57" t="str">
        <f t="shared" si="2"/>
        <v/>
      </c>
      <c r="V132" s="70">
        <f t="shared" si="3"/>
        <v>0</v>
      </c>
      <c r="W132" s="70">
        <f t="shared" si="4"/>
        <v>0</v>
      </c>
      <c r="X132" s="70"/>
    </row>
    <row r="133" ht="15.75" customHeight="1">
      <c r="A133" s="43"/>
      <c r="B133" s="44" t="s">
        <v>17</v>
      </c>
      <c r="C133" s="129" t="s">
        <v>14</v>
      </c>
      <c r="D133" s="53" t="s">
        <v>846</v>
      </c>
      <c r="E133" s="53" t="s">
        <v>873</v>
      </c>
      <c r="F133" s="48"/>
      <c r="G133" s="48"/>
      <c r="H133" s="48"/>
      <c r="I133" s="48"/>
      <c r="J133" s="48"/>
      <c r="K133" s="50"/>
      <c r="L133" s="50"/>
      <c r="M133" s="48"/>
      <c r="N133" s="43"/>
      <c r="O133" s="43"/>
      <c r="P133" s="43"/>
      <c r="Q133" s="43"/>
      <c r="R133" s="43"/>
      <c r="S133" s="54" t="str">
        <f t="shared" si="1"/>
        <v>-</v>
      </c>
      <c r="T133" s="43" t="str">
        <f>'Kertas Kerja'!$I137</f>
        <v/>
      </c>
      <c r="U133" s="43" t="str">
        <f t="shared" si="2"/>
        <v/>
      </c>
      <c r="V133" s="56">
        <f t="shared" si="3"/>
        <v>0</v>
      </c>
      <c r="W133" s="56">
        <f t="shared" si="4"/>
        <v>0</v>
      </c>
      <c r="X133" s="56"/>
    </row>
    <row r="134" ht="15.75" customHeight="1">
      <c r="A134" s="57"/>
      <c r="B134" s="58" t="s">
        <v>17</v>
      </c>
      <c r="C134" s="128" t="s">
        <v>14</v>
      </c>
      <c r="D134" s="74" t="s">
        <v>846</v>
      </c>
      <c r="E134" s="74" t="s">
        <v>878</v>
      </c>
      <c r="F134" s="68"/>
      <c r="G134" s="68"/>
      <c r="H134" s="68"/>
      <c r="I134" s="68"/>
      <c r="J134" s="68"/>
      <c r="K134" s="67"/>
      <c r="L134" s="67"/>
      <c r="M134" s="68"/>
      <c r="N134" s="57"/>
      <c r="O134" s="57"/>
      <c r="P134" s="57"/>
      <c r="Q134" s="57"/>
      <c r="R134" s="57"/>
      <c r="S134" s="69" t="str">
        <f t="shared" si="1"/>
        <v>-</v>
      </c>
      <c r="T134" s="57" t="str">
        <f>'Kertas Kerja'!$I126</f>
        <v/>
      </c>
      <c r="U134" s="57" t="str">
        <f t="shared" si="2"/>
        <v/>
      </c>
      <c r="V134" s="70">
        <f t="shared" si="3"/>
        <v>0</v>
      </c>
      <c r="W134" s="70">
        <f t="shared" si="4"/>
        <v>0</v>
      </c>
      <c r="X134" s="70"/>
    </row>
    <row r="135" ht="15.75" customHeight="1">
      <c r="A135" s="43"/>
      <c r="B135" s="44" t="s">
        <v>17</v>
      </c>
      <c r="C135" s="129" t="s">
        <v>14</v>
      </c>
      <c r="D135" s="53" t="s">
        <v>846</v>
      </c>
      <c r="E135" s="53" t="s">
        <v>879</v>
      </c>
      <c r="F135" s="48"/>
      <c r="G135" s="48"/>
      <c r="H135" s="48"/>
      <c r="I135" s="48"/>
      <c r="J135" s="48"/>
      <c r="K135" s="50"/>
      <c r="L135" s="50"/>
      <c r="M135" s="48"/>
      <c r="N135" s="43"/>
      <c r="O135" s="43"/>
      <c r="P135" s="43"/>
      <c r="Q135" s="43"/>
      <c r="R135" s="43"/>
      <c r="S135" s="54" t="str">
        <f t="shared" si="1"/>
        <v>-</v>
      </c>
      <c r="T135" s="43" t="str">
        <f>'Kertas Kerja'!$I138</f>
        <v/>
      </c>
      <c r="U135" s="43" t="str">
        <f t="shared" si="2"/>
        <v/>
      </c>
      <c r="V135" s="56">
        <f t="shared" si="3"/>
        <v>0</v>
      </c>
      <c r="W135" s="56">
        <f t="shared" si="4"/>
        <v>0</v>
      </c>
      <c r="X135" s="56"/>
    </row>
    <row r="136" ht="15.75" customHeight="1">
      <c r="A136" s="57"/>
      <c r="B136" s="58" t="s">
        <v>17</v>
      </c>
      <c r="C136" s="128" t="s">
        <v>14</v>
      </c>
      <c r="D136" s="74" t="s">
        <v>846</v>
      </c>
      <c r="E136" s="74" t="s">
        <v>887</v>
      </c>
      <c r="F136" s="68"/>
      <c r="G136" s="68"/>
      <c r="H136" s="68"/>
      <c r="I136" s="68"/>
      <c r="J136" s="68"/>
      <c r="K136" s="67"/>
      <c r="L136" s="67"/>
      <c r="M136" s="68"/>
      <c r="N136" s="57"/>
      <c r="O136" s="57"/>
      <c r="P136" s="57"/>
      <c r="Q136" s="57"/>
      <c r="R136" s="57"/>
      <c r="S136" s="69" t="str">
        <f t="shared" si="1"/>
        <v>-</v>
      </c>
      <c r="T136" s="57" t="str">
        <f>'Kertas Kerja'!$I135</f>
        <v/>
      </c>
      <c r="U136" s="57" t="str">
        <f t="shared" si="2"/>
        <v/>
      </c>
      <c r="V136" s="70">
        <f t="shared" si="3"/>
        <v>0</v>
      </c>
      <c r="W136" s="70">
        <f t="shared" si="4"/>
        <v>0</v>
      </c>
      <c r="X136" s="70"/>
    </row>
    <row r="137" ht="15.75" customHeight="1">
      <c r="A137" s="43"/>
      <c r="B137" s="44" t="s">
        <v>17</v>
      </c>
      <c r="C137" s="129" t="s">
        <v>14</v>
      </c>
      <c r="D137" s="53" t="s">
        <v>846</v>
      </c>
      <c r="E137" s="53" t="s">
        <v>891</v>
      </c>
      <c r="F137" s="48"/>
      <c r="G137" s="48"/>
      <c r="H137" s="48"/>
      <c r="I137" s="48"/>
      <c r="J137" s="48"/>
      <c r="K137" s="50"/>
      <c r="L137" s="50"/>
      <c r="M137" s="48"/>
      <c r="N137" s="43"/>
      <c r="O137" s="43"/>
      <c r="P137" s="43"/>
      <c r="Q137" s="43"/>
      <c r="R137" s="43"/>
      <c r="S137" s="54" t="str">
        <f t="shared" si="1"/>
        <v>-</v>
      </c>
      <c r="T137" s="43" t="str">
        <f>'Kertas Kerja'!$I133</f>
        <v/>
      </c>
      <c r="U137" s="43" t="str">
        <f t="shared" si="2"/>
        <v/>
      </c>
      <c r="V137" s="56">
        <f t="shared" si="3"/>
        <v>0</v>
      </c>
      <c r="W137" s="56">
        <f t="shared" si="4"/>
        <v>0</v>
      </c>
      <c r="X137" s="56"/>
    </row>
    <row r="138" ht="15.75" customHeight="1">
      <c r="A138" s="57"/>
      <c r="B138" s="58" t="s">
        <v>17</v>
      </c>
      <c r="C138" s="128" t="s">
        <v>14</v>
      </c>
      <c r="D138" s="74" t="s">
        <v>846</v>
      </c>
      <c r="E138" s="74" t="s">
        <v>893</v>
      </c>
      <c r="F138" s="68"/>
      <c r="G138" s="68"/>
      <c r="H138" s="68"/>
      <c r="I138" s="68"/>
      <c r="J138" s="68"/>
      <c r="K138" s="67"/>
      <c r="L138" s="67"/>
      <c r="M138" s="68"/>
      <c r="N138" s="57"/>
      <c r="O138" s="57"/>
      <c r="P138" s="57"/>
      <c r="Q138" s="57"/>
      <c r="R138" s="57"/>
      <c r="S138" s="69" t="str">
        <f t="shared" si="1"/>
        <v>-</v>
      </c>
      <c r="T138" s="57" t="str">
        <f>'Kertas Kerja'!$I134</f>
        <v/>
      </c>
      <c r="U138" s="57" t="str">
        <f t="shared" si="2"/>
        <v/>
      </c>
      <c r="V138" s="70">
        <f t="shared" si="3"/>
        <v>0</v>
      </c>
      <c r="W138" s="70">
        <f t="shared" si="4"/>
        <v>0</v>
      </c>
      <c r="X138" s="70"/>
    </row>
    <row r="139" ht="15.75" customHeight="1">
      <c r="A139" s="43"/>
      <c r="B139" s="44" t="s">
        <v>17</v>
      </c>
      <c r="C139" s="129" t="s">
        <v>14</v>
      </c>
      <c r="D139" s="53" t="s">
        <v>846</v>
      </c>
      <c r="E139" s="53" t="s">
        <v>900</v>
      </c>
      <c r="F139" s="48"/>
      <c r="G139" s="48"/>
      <c r="H139" s="48"/>
      <c r="I139" s="48"/>
      <c r="J139" s="48"/>
      <c r="K139" s="50"/>
      <c r="L139" s="50"/>
      <c r="M139" s="48"/>
      <c r="N139" s="43"/>
      <c r="O139" s="43"/>
      <c r="P139" s="43"/>
      <c r="Q139" s="43"/>
      <c r="R139" s="43"/>
      <c r="S139" s="54" t="str">
        <f t="shared" si="1"/>
        <v>-</v>
      </c>
      <c r="T139" s="43" t="str">
        <f>'Kertas Kerja'!$I129</f>
        <v/>
      </c>
      <c r="U139" s="43" t="str">
        <f t="shared" si="2"/>
        <v/>
      </c>
      <c r="V139" s="56">
        <f t="shared" si="3"/>
        <v>0</v>
      </c>
      <c r="W139" s="56">
        <f t="shared" si="4"/>
        <v>0</v>
      </c>
      <c r="X139" s="56"/>
    </row>
    <row r="140" ht="15.75" customHeight="1">
      <c r="A140" s="57"/>
      <c r="B140" s="58" t="s">
        <v>17</v>
      </c>
      <c r="C140" s="128" t="s">
        <v>14</v>
      </c>
      <c r="D140" s="74" t="s">
        <v>846</v>
      </c>
      <c r="E140" s="74" t="s">
        <v>908</v>
      </c>
      <c r="F140" s="68"/>
      <c r="G140" s="68"/>
      <c r="H140" s="68"/>
      <c r="I140" s="68"/>
      <c r="J140" s="68"/>
      <c r="K140" s="67"/>
      <c r="L140" s="67"/>
      <c r="M140" s="68"/>
      <c r="N140" s="57"/>
      <c r="O140" s="57"/>
      <c r="P140" s="57"/>
      <c r="Q140" s="57"/>
      <c r="R140" s="57"/>
      <c r="S140" s="69" t="str">
        <f t="shared" si="1"/>
        <v>-</v>
      </c>
      <c r="T140" s="57" t="str">
        <f>'Kertas Kerja'!$I130</f>
        <v/>
      </c>
      <c r="U140" s="57" t="str">
        <f t="shared" si="2"/>
        <v/>
      </c>
      <c r="V140" s="70">
        <f t="shared" si="3"/>
        <v>0</v>
      </c>
      <c r="W140" s="70">
        <f t="shared" si="4"/>
        <v>0</v>
      </c>
      <c r="X140" s="70"/>
    </row>
    <row r="141" ht="15.75" customHeight="1">
      <c r="A141" s="43"/>
      <c r="B141" s="44" t="s">
        <v>17</v>
      </c>
      <c r="C141" s="129" t="s">
        <v>14</v>
      </c>
      <c r="D141" s="53" t="s">
        <v>846</v>
      </c>
      <c r="E141" s="53" t="s">
        <v>912</v>
      </c>
      <c r="F141" s="48"/>
      <c r="G141" s="48"/>
      <c r="H141" s="48"/>
      <c r="I141" s="48"/>
      <c r="J141" s="48"/>
      <c r="K141" s="50"/>
      <c r="L141" s="50"/>
      <c r="M141" s="48"/>
      <c r="N141" s="43"/>
      <c r="O141" s="43"/>
      <c r="P141" s="43"/>
      <c r="Q141" s="43"/>
      <c r="R141" s="43"/>
      <c r="S141" s="54" t="str">
        <f t="shared" si="1"/>
        <v>-</v>
      </c>
      <c r="T141" s="43" t="str">
        <f>'Kertas Kerja'!$I123</f>
        <v/>
      </c>
      <c r="U141" s="43" t="str">
        <f t="shared" si="2"/>
        <v/>
      </c>
      <c r="V141" s="56">
        <f t="shared" si="3"/>
        <v>0</v>
      </c>
      <c r="W141" s="56">
        <f t="shared" si="4"/>
        <v>0</v>
      </c>
      <c r="X141" s="56"/>
    </row>
    <row r="142" ht="15.75" customHeight="1">
      <c r="A142" s="57"/>
      <c r="B142" s="58" t="s">
        <v>17</v>
      </c>
      <c r="C142" s="128" t="s">
        <v>14</v>
      </c>
      <c r="D142" s="74" t="s">
        <v>846</v>
      </c>
      <c r="E142" s="74" t="s">
        <v>917</v>
      </c>
      <c r="F142" s="68"/>
      <c r="G142" s="68"/>
      <c r="H142" s="68"/>
      <c r="I142" s="68"/>
      <c r="J142" s="68"/>
      <c r="K142" s="67"/>
      <c r="L142" s="67"/>
      <c r="M142" s="68"/>
      <c r="N142" s="57"/>
      <c r="O142" s="57"/>
      <c r="P142" s="57"/>
      <c r="Q142" s="57"/>
      <c r="R142" s="57"/>
      <c r="S142" s="69" t="str">
        <f t="shared" si="1"/>
        <v>-</v>
      </c>
      <c r="T142" s="57" t="str">
        <f>'Kertas Kerja'!$I125</f>
        <v/>
      </c>
      <c r="U142" s="57" t="str">
        <f t="shared" si="2"/>
        <v/>
      </c>
      <c r="V142" s="70">
        <f t="shared" si="3"/>
        <v>0</v>
      </c>
      <c r="W142" s="70">
        <f t="shared" si="4"/>
        <v>0</v>
      </c>
      <c r="X142" s="70"/>
      <c r="Y142" s="5"/>
      <c r="Z142" s="5"/>
    </row>
    <row r="143" ht="15.75" customHeight="1">
      <c r="A143" s="43"/>
      <c r="B143" s="44" t="s">
        <v>17</v>
      </c>
      <c r="C143" s="129" t="s">
        <v>14</v>
      </c>
      <c r="D143" s="53" t="s">
        <v>846</v>
      </c>
      <c r="E143" s="53" t="s">
        <v>921</v>
      </c>
      <c r="F143" s="48"/>
      <c r="G143" s="48"/>
      <c r="H143" s="48"/>
      <c r="I143" s="48"/>
      <c r="J143" s="48"/>
      <c r="K143" s="50"/>
      <c r="L143" s="50"/>
      <c r="M143" s="48"/>
      <c r="N143" s="43"/>
      <c r="O143" s="43"/>
      <c r="P143" s="43"/>
      <c r="Q143" s="43"/>
      <c r="R143" s="43"/>
      <c r="S143" s="54" t="str">
        <f t="shared" si="1"/>
        <v>-</v>
      </c>
      <c r="T143" s="43" t="str">
        <f>'Kertas Kerja'!$I124</f>
        <v/>
      </c>
      <c r="U143" s="43" t="str">
        <f t="shared" si="2"/>
        <v/>
      </c>
      <c r="V143" s="56">
        <f t="shared" si="3"/>
        <v>0</v>
      </c>
      <c r="W143" s="56">
        <f t="shared" si="4"/>
        <v>0</v>
      </c>
      <c r="X143" s="56"/>
    </row>
    <row r="144" ht="15.75" customHeight="1">
      <c r="A144" s="57"/>
      <c r="B144" s="58" t="s">
        <v>17</v>
      </c>
      <c r="C144" s="128" t="s">
        <v>14</v>
      </c>
      <c r="D144" s="74" t="s">
        <v>846</v>
      </c>
      <c r="E144" s="74" t="s">
        <v>924</v>
      </c>
      <c r="F144" s="68"/>
      <c r="G144" s="68"/>
      <c r="H144" s="68"/>
      <c r="I144" s="68"/>
      <c r="J144" s="68"/>
      <c r="K144" s="67"/>
      <c r="L144" s="67"/>
      <c r="M144" s="68"/>
      <c r="N144" s="57"/>
      <c r="O144" s="57"/>
      <c r="P144" s="57"/>
      <c r="Q144" s="57"/>
      <c r="R144" s="57"/>
      <c r="S144" s="69" t="str">
        <f t="shared" si="1"/>
        <v>-</v>
      </c>
      <c r="T144" s="57" t="str">
        <f>'Kertas Kerja'!$I139</f>
        <v/>
      </c>
      <c r="U144" s="57" t="str">
        <f t="shared" si="2"/>
        <v/>
      </c>
      <c r="V144" s="70">
        <f t="shared" si="3"/>
        <v>0</v>
      </c>
      <c r="W144" s="70">
        <f t="shared" si="4"/>
        <v>0</v>
      </c>
      <c r="X144" s="70"/>
    </row>
    <row r="145" ht="15.75" customHeight="1">
      <c r="A145" s="43"/>
      <c r="B145" s="44" t="s">
        <v>17</v>
      </c>
      <c r="C145" s="129" t="s">
        <v>14</v>
      </c>
      <c r="D145" s="53" t="s">
        <v>846</v>
      </c>
      <c r="E145" s="53" t="s">
        <v>928</v>
      </c>
      <c r="F145" s="48"/>
      <c r="G145" s="48"/>
      <c r="H145" s="48"/>
      <c r="I145" s="48"/>
      <c r="J145" s="48"/>
      <c r="K145" s="50"/>
      <c r="L145" s="50"/>
      <c r="M145" s="48"/>
      <c r="N145" s="43"/>
      <c r="O145" s="43"/>
      <c r="P145" s="43"/>
      <c r="Q145" s="43"/>
      <c r="R145" s="43"/>
      <c r="S145" s="54" t="str">
        <f t="shared" si="1"/>
        <v>-</v>
      </c>
      <c r="T145" s="43" t="str">
        <f>'Kertas Kerja'!$I127</f>
        <v/>
      </c>
      <c r="U145" s="43" t="str">
        <f t="shared" si="2"/>
        <v/>
      </c>
      <c r="V145" s="56">
        <f t="shared" si="3"/>
        <v>0</v>
      </c>
      <c r="W145" s="56">
        <f t="shared" si="4"/>
        <v>0</v>
      </c>
      <c r="X145" s="56"/>
    </row>
    <row r="146" ht="15.75" customHeight="1">
      <c r="A146" s="57"/>
      <c r="B146" s="58" t="s">
        <v>17</v>
      </c>
      <c r="C146" s="128" t="s">
        <v>14</v>
      </c>
      <c r="D146" s="74" t="s">
        <v>846</v>
      </c>
      <c r="E146" s="74" t="s">
        <v>931</v>
      </c>
      <c r="F146" s="68"/>
      <c r="G146" s="68"/>
      <c r="H146" s="68"/>
      <c r="I146" s="68"/>
      <c r="J146" s="68"/>
      <c r="K146" s="67"/>
      <c r="L146" s="67"/>
      <c r="M146" s="68"/>
      <c r="N146" s="57"/>
      <c r="O146" s="57"/>
      <c r="P146" s="57"/>
      <c r="Q146" s="57"/>
      <c r="R146" s="57"/>
      <c r="S146" s="69" t="str">
        <f t="shared" si="1"/>
        <v>-</v>
      </c>
      <c r="T146" s="57" t="str">
        <f>'Kertas Kerja'!$I128</f>
        <v/>
      </c>
      <c r="U146" s="57" t="str">
        <f t="shared" si="2"/>
        <v/>
      </c>
      <c r="V146" s="70">
        <f t="shared" si="3"/>
        <v>0</v>
      </c>
      <c r="W146" s="70">
        <f t="shared" si="4"/>
        <v>0</v>
      </c>
      <c r="X146" s="70"/>
    </row>
    <row r="147" ht="15.75" customHeight="1">
      <c r="A147" s="43"/>
      <c r="B147" s="44" t="s">
        <v>17</v>
      </c>
      <c r="C147" s="129" t="s">
        <v>14</v>
      </c>
      <c r="D147" s="53" t="s">
        <v>846</v>
      </c>
      <c r="E147" s="53" t="s">
        <v>933</v>
      </c>
      <c r="F147" s="48"/>
      <c r="G147" s="48"/>
      <c r="H147" s="48"/>
      <c r="I147" s="48"/>
      <c r="J147" s="48"/>
      <c r="K147" s="50"/>
      <c r="L147" s="50"/>
      <c r="M147" s="48"/>
      <c r="N147" s="43"/>
      <c r="O147" s="43"/>
      <c r="P147" s="43"/>
      <c r="Q147" s="43"/>
      <c r="R147" s="43"/>
      <c r="S147" s="54" t="str">
        <f t="shared" si="1"/>
        <v>-</v>
      </c>
      <c r="T147" s="43" t="str">
        <f>'Kertas Kerja'!$I140</f>
        <v/>
      </c>
      <c r="U147" s="43" t="str">
        <f t="shared" si="2"/>
        <v/>
      </c>
      <c r="V147" s="56">
        <f t="shared" si="3"/>
        <v>0</v>
      </c>
      <c r="W147" s="56">
        <f t="shared" si="4"/>
        <v>0</v>
      </c>
      <c r="X147" s="56"/>
    </row>
    <row r="148" ht="15.75" customHeight="1">
      <c r="A148" s="57" t="s">
        <v>54</v>
      </c>
      <c r="B148" s="58" t="s">
        <v>17</v>
      </c>
      <c r="C148" s="128" t="s">
        <v>14</v>
      </c>
      <c r="D148" s="74" t="s">
        <v>840</v>
      </c>
      <c r="E148" s="74" t="s">
        <v>937</v>
      </c>
      <c r="F148" s="68"/>
      <c r="G148" s="68"/>
      <c r="H148" s="68"/>
      <c r="I148" s="68"/>
      <c r="J148" s="68"/>
      <c r="K148" s="67"/>
      <c r="L148" s="67"/>
      <c r="M148" s="68"/>
      <c r="N148" s="57"/>
      <c r="O148" s="57"/>
      <c r="P148" s="57"/>
      <c r="Q148" s="57"/>
      <c r="R148" s="57"/>
      <c r="S148" s="69" t="str">
        <f t="shared" si="1"/>
        <v>-</v>
      </c>
      <c r="T148" s="57" t="str">
        <f>'Kertas Kerja'!$I75</f>
        <v/>
      </c>
      <c r="U148" s="57" t="str">
        <f t="shared" si="2"/>
        <v/>
      </c>
      <c r="V148" s="70">
        <f t="shared" si="3"/>
        <v>0</v>
      </c>
      <c r="W148" s="70">
        <f t="shared" si="4"/>
        <v>0</v>
      </c>
      <c r="X148" s="70"/>
    </row>
    <row r="149" ht="15.75" customHeight="1">
      <c r="A149" s="43"/>
      <c r="B149" s="44" t="s">
        <v>17</v>
      </c>
      <c r="C149" s="129" t="s">
        <v>14</v>
      </c>
      <c r="D149" s="53" t="s">
        <v>940</v>
      </c>
      <c r="E149" s="53" t="s">
        <v>941</v>
      </c>
      <c r="F149" s="48"/>
      <c r="G149" s="48"/>
      <c r="H149" s="48"/>
      <c r="I149" s="48"/>
      <c r="J149" s="48"/>
      <c r="K149" s="50"/>
      <c r="L149" s="50"/>
      <c r="M149" s="48"/>
      <c r="N149" s="43"/>
      <c r="O149" s="43"/>
      <c r="P149" s="43"/>
      <c r="Q149" s="43"/>
      <c r="R149" s="43"/>
      <c r="S149" s="54" t="str">
        <f t="shared" si="1"/>
        <v>-</v>
      </c>
      <c r="T149" s="43" t="str">
        <f>'Kertas Kerja'!$I89</f>
        <v/>
      </c>
      <c r="U149" s="43" t="str">
        <f t="shared" si="2"/>
        <v/>
      </c>
      <c r="V149" s="56">
        <f t="shared" si="3"/>
        <v>0</v>
      </c>
      <c r="W149" s="56">
        <f t="shared" si="4"/>
        <v>0</v>
      </c>
      <c r="X149" s="56"/>
    </row>
    <row r="150" ht="15.75" customHeight="1">
      <c r="A150" s="57"/>
      <c r="B150" s="58" t="s">
        <v>17</v>
      </c>
      <c r="C150" s="128" t="s">
        <v>14</v>
      </c>
      <c r="D150" s="74" t="s">
        <v>940</v>
      </c>
      <c r="E150" s="74" t="s">
        <v>945</v>
      </c>
      <c r="F150" s="68"/>
      <c r="G150" s="68"/>
      <c r="H150" s="68"/>
      <c r="I150" s="68"/>
      <c r="J150" s="68"/>
      <c r="K150" s="67"/>
      <c r="L150" s="67"/>
      <c r="M150" s="68"/>
      <c r="N150" s="57"/>
      <c r="O150" s="57"/>
      <c r="P150" s="57"/>
      <c r="Q150" s="57"/>
      <c r="R150" s="57"/>
      <c r="S150" s="69" t="str">
        <f t="shared" si="1"/>
        <v>-</v>
      </c>
      <c r="T150" s="57" t="str">
        <f>'Kertas Kerja'!$I90</f>
        <v/>
      </c>
      <c r="U150" s="57" t="str">
        <f t="shared" si="2"/>
        <v/>
      </c>
      <c r="V150" s="70">
        <f t="shared" si="3"/>
        <v>0</v>
      </c>
      <c r="W150" s="70">
        <f t="shared" si="4"/>
        <v>0</v>
      </c>
      <c r="X150" s="70"/>
    </row>
    <row r="151" ht="15.75" customHeight="1">
      <c r="A151" s="43" t="s">
        <v>54</v>
      </c>
      <c r="B151" s="44" t="s">
        <v>17</v>
      </c>
      <c r="C151" s="129" t="s">
        <v>14</v>
      </c>
      <c r="D151" s="53" t="s">
        <v>707</v>
      </c>
      <c r="E151" s="53" t="s">
        <v>950</v>
      </c>
      <c r="F151" s="48"/>
      <c r="G151" s="48"/>
      <c r="H151" s="48"/>
      <c r="I151" s="48"/>
      <c r="J151" s="48"/>
      <c r="K151" s="50"/>
      <c r="L151" s="50"/>
      <c r="M151" s="48"/>
      <c r="N151" s="43"/>
      <c r="O151" s="43"/>
      <c r="P151" s="43"/>
      <c r="Q151" s="43"/>
      <c r="R151" s="43"/>
      <c r="S151" s="54" t="str">
        <f t="shared" si="1"/>
        <v>-</v>
      </c>
      <c r="T151" s="43" t="str">
        <f>'Kertas Kerja'!$I22</f>
        <v/>
      </c>
      <c r="U151" s="43" t="str">
        <f t="shared" si="2"/>
        <v/>
      </c>
      <c r="V151" s="56">
        <f t="shared" si="3"/>
        <v>0</v>
      </c>
      <c r="W151" s="56">
        <f t="shared" si="4"/>
        <v>0</v>
      </c>
      <c r="X151" s="56"/>
      <c r="Y151" s="5"/>
      <c r="Z151" s="5"/>
    </row>
    <row r="152" ht="15.75" customHeight="1">
      <c r="A152" s="57"/>
      <c r="B152" s="58" t="s">
        <v>17</v>
      </c>
      <c r="C152" s="128" t="s">
        <v>14</v>
      </c>
      <c r="D152" s="74" t="s">
        <v>940</v>
      </c>
      <c r="E152" s="74" t="s">
        <v>957</v>
      </c>
      <c r="F152" s="68"/>
      <c r="G152" s="68"/>
      <c r="H152" s="68"/>
      <c r="I152" s="68"/>
      <c r="J152" s="68"/>
      <c r="K152" s="67"/>
      <c r="L152" s="67"/>
      <c r="M152" s="68"/>
      <c r="N152" s="57"/>
      <c r="O152" s="57"/>
      <c r="P152" s="57"/>
      <c r="Q152" s="57"/>
      <c r="R152" s="57"/>
      <c r="S152" s="69" t="str">
        <f t="shared" si="1"/>
        <v>-</v>
      </c>
      <c r="T152" s="57" t="str">
        <f>'Kertas Kerja'!$I91</f>
        <v/>
      </c>
      <c r="U152" s="57" t="str">
        <f t="shared" si="2"/>
        <v/>
      </c>
      <c r="V152" s="70">
        <f t="shared" si="3"/>
        <v>0</v>
      </c>
      <c r="W152" s="70">
        <f t="shared" si="4"/>
        <v>0</v>
      </c>
      <c r="X152" s="70"/>
    </row>
    <row r="153" ht="15.75" customHeight="1">
      <c r="A153" s="43"/>
      <c r="B153" s="44" t="s">
        <v>17</v>
      </c>
      <c r="C153" s="129" t="s">
        <v>14</v>
      </c>
      <c r="D153" s="53" t="s">
        <v>940</v>
      </c>
      <c r="E153" s="53" t="s">
        <v>961</v>
      </c>
      <c r="F153" s="48"/>
      <c r="G153" s="48"/>
      <c r="H153" s="48"/>
      <c r="I153" s="48"/>
      <c r="J153" s="48"/>
      <c r="K153" s="50"/>
      <c r="L153" s="50"/>
      <c r="M153" s="48"/>
      <c r="N153" s="43"/>
      <c r="O153" s="43"/>
      <c r="P153" s="43"/>
      <c r="Q153" s="43"/>
      <c r="R153" s="43"/>
      <c r="S153" s="54" t="str">
        <f t="shared" si="1"/>
        <v>-</v>
      </c>
      <c r="T153" s="43" t="str">
        <f>'Kertas Kerja'!$I92</f>
        <v/>
      </c>
      <c r="U153" s="43" t="str">
        <f t="shared" si="2"/>
        <v/>
      </c>
      <c r="V153" s="56">
        <f t="shared" si="3"/>
        <v>0</v>
      </c>
      <c r="W153" s="56">
        <f t="shared" si="4"/>
        <v>0</v>
      </c>
      <c r="X153" s="56"/>
    </row>
    <row r="154" ht="15.75" customHeight="1">
      <c r="A154" s="57"/>
      <c r="B154" s="58" t="s">
        <v>17</v>
      </c>
      <c r="C154" s="128" t="s">
        <v>14</v>
      </c>
      <c r="D154" s="74" t="s">
        <v>701</v>
      </c>
      <c r="E154" s="74" t="s">
        <v>963</v>
      </c>
      <c r="F154" s="68"/>
      <c r="G154" s="68"/>
      <c r="H154" s="68"/>
      <c r="I154" s="68"/>
      <c r="J154" s="68"/>
      <c r="K154" s="67"/>
      <c r="L154" s="67"/>
      <c r="M154" s="68"/>
      <c r="N154" s="57"/>
      <c r="O154" s="57"/>
      <c r="P154" s="57"/>
      <c r="Q154" s="57"/>
      <c r="R154" s="57"/>
      <c r="S154" s="69" t="str">
        <f t="shared" si="1"/>
        <v>-</v>
      </c>
      <c r="T154" s="57" t="str">
        <f>'Kertas Kerja'!$I93</f>
        <v/>
      </c>
      <c r="U154" s="57" t="str">
        <f t="shared" si="2"/>
        <v/>
      </c>
      <c r="V154" s="70">
        <f t="shared" si="3"/>
        <v>0</v>
      </c>
      <c r="W154" s="70">
        <f t="shared" si="4"/>
        <v>0</v>
      </c>
      <c r="X154" s="70"/>
    </row>
    <row r="155" ht="15.75" customHeight="1">
      <c r="A155" s="43"/>
      <c r="B155" s="44" t="s">
        <v>17</v>
      </c>
      <c r="C155" s="129" t="s">
        <v>14</v>
      </c>
      <c r="D155" s="53" t="s">
        <v>701</v>
      </c>
      <c r="E155" s="53" t="s">
        <v>966</v>
      </c>
      <c r="F155" s="48"/>
      <c r="G155" s="48"/>
      <c r="H155" s="48"/>
      <c r="I155" s="48"/>
      <c r="J155" s="48"/>
      <c r="K155" s="50"/>
      <c r="L155" s="50"/>
      <c r="M155" s="48"/>
      <c r="N155" s="43"/>
      <c r="O155" s="43"/>
      <c r="P155" s="43"/>
      <c r="Q155" s="43"/>
      <c r="R155" s="43"/>
      <c r="S155" s="54" t="str">
        <f t="shared" si="1"/>
        <v>-</v>
      </c>
      <c r="T155" s="43" t="str">
        <f>'Kertas Kerja'!$I95</f>
        <v/>
      </c>
      <c r="U155" s="43" t="str">
        <f t="shared" si="2"/>
        <v/>
      </c>
      <c r="V155" s="56">
        <f t="shared" si="3"/>
        <v>0</v>
      </c>
      <c r="W155" s="56">
        <f t="shared" si="4"/>
        <v>0</v>
      </c>
      <c r="X155" s="56"/>
    </row>
    <row r="156" ht="15.75" customHeight="1">
      <c r="A156" s="57"/>
      <c r="B156" s="58" t="s">
        <v>17</v>
      </c>
      <c r="C156" s="128" t="s">
        <v>14</v>
      </c>
      <c r="D156" s="74" t="s">
        <v>712</v>
      </c>
      <c r="E156" s="74" t="s">
        <v>970</v>
      </c>
      <c r="F156" s="68"/>
      <c r="G156" s="68"/>
      <c r="H156" s="68"/>
      <c r="I156" s="68"/>
      <c r="J156" s="68"/>
      <c r="K156" s="67"/>
      <c r="L156" s="67"/>
      <c r="M156" s="68"/>
      <c r="N156" s="57"/>
      <c r="O156" s="57"/>
      <c r="P156" s="57"/>
      <c r="Q156" s="57"/>
      <c r="R156" s="57"/>
      <c r="S156" s="69" t="str">
        <f t="shared" si="1"/>
        <v>-</v>
      </c>
      <c r="T156" s="57" t="str">
        <f>'Kertas Kerja'!$I84</f>
        <v/>
      </c>
      <c r="U156" s="57" t="str">
        <f t="shared" si="2"/>
        <v/>
      </c>
      <c r="V156" s="70">
        <f t="shared" si="3"/>
        <v>0</v>
      </c>
      <c r="W156" s="70">
        <f t="shared" si="4"/>
        <v>0</v>
      </c>
      <c r="X156" s="70"/>
      <c r="Y156" s="5"/>
      <c r="Z156" s="5"/>
    </row>
    <row r="157" ht="15.75" customHeight="1">
      <c r="A157" s="43"/>
      <c r="B157" s="44" t="s">
        <v>17</v>
      </c>
      <c r="C157" s="129" t="s">
        <v>14</v>
      </c>
      <c r="D157" s="53" t="s">
        <v>712</v>
      </c>
      <c r="E157" s="53" t="s">
        <v>974</v>
      </c>
      <c r="F157" s="48"/>
      <c r="G157" s="48"/>
      <c r="H157" s="48"/>
      <c r="I157" s="48"/>
      <c r="J157" s="48"/>
      <c r="K157" s="50"/>
      <c r="L157" s="50"/>
      <c r="M157" s="48"/>
      <c r="N157" s="43"/>
      <c r="O157" s="43"/>
      <c r="P157" s="43"/>
      <c r="Q157" s="43"/>
      <c r="R157" s="43"/>
      <c r="S157" s="54" t="str">
        <f t="shared" si="1"/>
        <v>-</v>
      </c>
      <c r="T157" s="43" t="str">
        <f>'Kertas Kerja'!$I83</f>
        <v/>
      </c>
      <c r="U157" s="43" t="str">
        <f t="shared" si="2"/>
        <v/>
      </c>
      <c r="V157" s="56">
        <f t="shared" si="3"/>
        <v>0</v>
      </c>
      <c r="W157" s="56">
        <f t="shared" si="4"/>
        <v>0</v>
      </c>
      <c r="X157" s="56"/>
    </row>
    <row r="158" ht="15.75" customHeight="1">
      <c r="A158" s="57"/>
      <c r="B158" s="58" t="s">
        <v>17</v>
      </c>
      <c r="C158" s="128" t="s">
        <v>14</v>
      </c>
      <c r="D158" s="74" t="s">
        <v>978</v>
      </c>
      <c r="E158" s="74" t="s">
        <v>979</v>
      </c>
      <c r="F158" s="68"/>
      <c r="G158" s="68"/>
      <c r="H158" s="68"/>
      <c r="I158" s="68"/>
      <c r="J158" s="68"/>
      <c r="K158" s="67"/>
      <c r="L158" s="67"/>
      <c r="M158" s="68"/>
      <c r="N158" s="57"/>
      <c r="O158" s="57"/>
      <c r="P158" s="57"/>
      <c r="Q158" s="57"/>
      <c r="R158" s="57"/>
      <c r="S158" s="69" t="str">
        <f t="shared" si="1"/>
        <v>-</v>
      </c>
      <c r="T158" s="57" t="str">
        <f>'Kertas Kerja'!$I10</f>
        <v/>
      </c>
      <c r="U158" s="57" t="str">
        <f t="shared" si="2"/>
        <v/>
      </c>
      <c r="V158" s="70">
        <f t="shared" si="3"/>
        <v>0</v>
      </c>
      <c r="W158" s="70">
        <f t="shared" si="4"/>
        <v>0</v>
      </c>
      <c r="X158" s="70"/>
    </row>
    <row r="159" ht="15.75" customHeight="1">
      <c r="A159" s="43"/>
      <c r="B159" s="44" t="s">
        <v>17</v>
      </c>
      <c r="C159" s="129" t="s">
        <v>14</v>
      </c>
      <c r="D159" s="53" t="s">
        <v>701</v>
      </c>
      <c r="E159" s="53" t="s">
        <v>984</v>
      </c>
      <c r="F159" s="48"/>
      <c r="G159" s="48"/>
      <c r="H159" s="48"/>
      <c r="I159" s="48"/>
      <c r="J159" s="48"/>
      <c r="K159" s="50"/>
      <c r="L159" s="50"/>
      <c r="M159" s="48"/>
      <c r="N159" s="43"/>
      <c r="O159" s="43"/>
      <c r="P159" s="43"/>
      <c r="Q159" s="43"/>
      <c r="R159" s="43"/>
      <c r="S159" s="54" t="str">
        <f t="shared" si="1"/>
        <v>-</v>
      </c>
      <c r="T159" s="43" t="str">
        <f>'Kertas Kerja'!$I114</f>
        <v/>
      </c>
      <c r="U159" s="43" t="str">
        <f t="shared" si="2"/>
        <v/>
      </c>
      <c r="V159" s="56">
        <f t="shared" si="3"/>
        <v>0</v>
      </c>
      <c r="W159" s="56">
        <f t="shared" si="4"/>
        <v>0</v>
      </c>
      <c r="X159" s="56"/>
    </row>
    <row r="160" ht="15.75" customHeight="1">
      <c r="A160" s="57"/>
      <c r="B160" s="58" t="s">
        <v>17</v>
      </c>
      <c r="C160" s="128" t="s">
        <v>14</v>
      </c>
      <c r="D160" s="74" t="s">
        <v>701</v>
      </c>
      <c r="E160" s="74" t="s">
        <v>989</v>
      </c>
      <c r="F160" s="68"/>
      <c r="G160" s="68"/>
      <c r="H160" s="68"/>
      <c r="I160" s="68"/>
      <c r="J160" s="68"/>
      <c r="K160" s="67"/>
      <c r="L160" s="67"/>
      <c r="M160" s="68"/>
      <c r="N160" s="57"/>
      <c r="O160" s="57"/>
      <c r="P160" s="57"/>
      <c r="Q160" s="57"/>
      <c r="R160" s="57"/>
      <c r="S160" s="69" t="str">
        <f t="shared" si="1"/>
        <v>-</v>
      </c>
      <c r="T160" s="57" t="str">
        <f>'Kertas Kerja'!$I111</f>
        <v/>
      </c>
      <c r="U160" s="57" t="str">
        <f t="shared" si="2"/>
        <v/>
      </c>
      <c r="V160" s="70">
        <f t="shared" si="3"/>
        <v>0</v>
      </c>
      <c r="W160" s="70">
        <f t="shared" si="4"/>
        <v>0</v>
      </c>
      <c r="X160" s="70"/>
    </row>
    <row r="161" ht="15.75" customHeight="1">
      <c r="A161" s="43"/>
      <c r="B161" s="44" t="s">
        <v>17</v>
      </c>
      <c r="C161" s="129" t="s">
        <v>14</v>
      </c>
      <c r="D161" s="53" t="s">
        <v>701</v>
      </c>
      <c r="E161" s="53" t="s">
        <v>991</v>
      </c>
      <c r="F161" s="48"/>
      <c r="G161" s="48"/>
      <c r="H161" s="48"/>
      <c r="I161" s="48"/>
      <c r="J161" s="48"/>
      <c r="K161" s="50"/>
      <c r="L161" s="50"/>
      <c r="M161" s="48"/>
      <c r="N161" s="43"/>
      <c r="O161" s="43"/>
      <c r="P161" s="43"/>
      <c r="Q161" s="43"/>
      <c r="R161" s="43"/>
      <c r="S161" s="54" t="str">
        <f t="shared" si="1"/>
        <v>-</v>
      </c>
      <c r="T161" s="43" t="str">
        <f>'Kertas Kerja'!$I112</f>
        <v/>
      </c>
      <c r="U161" s="43" t="str">
        <f t="shared" si="2"/>
        <v/>
      </c>
      <c r="V161" s="56">
        <f t="shared" si="3"/>
        <v>0</v>
      </c>
      <c r="W161" s="56">
        <f t="shared" si="4"/>
        <v>0</v>
      </c>
      <c r="X161" s="56"/>
    </row>
    <row r="162" ht="15.75" customHeight="1">
      <c r="A162" s="57"/>
      <c r="B162" s="58" t="s">
        <v>17</v>
      </c>
      <c r="C162" s="128" t="s">
        <v>14</v>
      </c>
      <c r="D162" s="74" t="s">
        <v>701</v>
      </c>
      <c r="E162" s="74" t="s">
        <v>994</v>
      </c>
      <c r="F162" s="68"/>
      <c r="G162" s="68"/>
      <c r="H162" s="68"/>
      <c r="I162" s="68"/>
      <c r="J162" s="68"/>
      <c r="K162" s="67"/>
      <c r="L162" s="67"/>
      <c r="M162" s="68"/>
      <c r="N162" s="57"/>
      <c r="O162" s="57"/>
      <c r="P162" s="57"/>
      <c r="Q162" s="57"/>
      <c r="R162" s="57"/>
      <c r="S162" s="69" t="str">
        <f t="shared" si="1"/>
        <v>-</v>
      </c>
      <c r="T162" s="57" t="str">
        <f>'Kertas Kerja'!$I113</f>
        <v/>
      </c>
      <c r="U162" s="57" t="str">
        <f t="shared" si="2"/>
        <v/>
      </c>
      <c r="V162" s="70">
        <f t="shared" si="3"/>
        <v>0</v>
      </c>
      <c r="W162" s="70">
        <f t="shared" si="4"/>
        <v>0</v>
      </c>
      <c r="X162" s="70"/>
    </row>
    <row r="163" ht="15.75" customHeight="1">
      <c r="A163" s="43"/>
      <c r="B163" s="44" t="s">
        <v>17</v>
      </c>
      <c r="C163" s="129" t="s">
        <v>14</v>
      </c>
      <c r="D163" s="53" t="s">
        <v>701</v>
      </c>
      <c r="E163" s="53" t="s">
        <v>999</v>
      </c>
      <c r="F163" s="48"/>
      <c r="G163" s="48"/>
      <c r="H163" s="48"/>
      <c r="I163" s="48"/>
      <c r="J163" s="48"/>
      <c r="K163" s="50"/>
      <c r="L163" s="50"/>
      <c r="M163" s="48"/>
      <c r="N163" s="43"/>
      <c r="O163" s="43"/>
      <c r="P163" s="43"/>
      <c r="Q163" s="43"/>
      <c r="R163" s="43"/>
      <c r="S163" s="54" t="str">
        <f t="shared" si="1"/>
        <v>-</v>
      </c>
      <c r="T163" s="43" t="str">
        <f>'Kertas Kerja'!$I109</f>
        <v/>
      </c>
      <c r="U163" s="43" t="str">
        <f t="shared" si="2"/>
        <v/>
      </c>
      <c r="V163" s="56">
        <f t="shared" si="3"/>
        <v>0</v>
      </c>
      <c r="W163" s="56">
        <f t="shared" si="4"/>
        <v>0</v>
      </c>
      <c r="X163" s="56"/>
    </row>
    <row r="164" ht="15.75" customHeight="1">
      <c r="A164" s="57"/>
      <c r="B164" s="58" t="s">
        <v>17</v>
      </c>
      <c r="C164" s="128" t="s">
        <v>14</v>
      </c>
      <c r="D164" s="74" t="s">
        <v>701</v>
      </c>
      <c r="E164" s="74" t="s">
        <v>1002</v>
      </c>
      <c r="F164" s="68"/>
      <c r="G164" s="68"/>
      <c r="H164" s="68"/>
      <c r="I164" s="68"/>
      <c r="J164" s="68"/>
      <c r="K164" s="67"/>
      <c r="L164" s="67"/>
      <c r="M164" s="68"/>
      <c r="N164" s="57"/>
      <c r="O164" s="57"/>
      <c r="P164" s="57"/>
      <c r="Q164" s="57"/>
      <c r="R164" s="57"/>
      <c r="S164" s="69" t="str">
        <f t="shared" si="1"/>
        <v>-</v>
      </c>
      <c r="T164" s="57" t="str">
        <f>'Kertas Kerja'!$I110</f>
        <v/>
      </c>
      <c r="U164" s="57" t="str">
        <f t="shared" si="2"/>
        <v/>
      </c>
      <c r="V164" s="70">
        <f t="shared" si="3"/>
        <v>0</v>
      </c>
      <c r="W164" s="70">
        <f t="shared" si="4"/>
        <v>0</v>
      </c>
      <c r="X164" s="70"/>
    </row>
    <row r="165" ht="15.75" customHeight="1">
      <c r="A165" s="43"/>
      <c r="B165" s="44" t="s">
        <v>17</v>
      </c>
      <c r="C165" s="129" t="s">
        <v>14</v>
      </c>
      <c r="D165" s="53" t="s">
        <v>978</v>
      </c>
      <c r="E165" s="53" t="s">
        <v>1007</v>
      </c>
      <c r="F165" s="48"/>
      <c r="G165" s="48"/>
      <c r="H165" s="48"/>
      <c r="I165" s="48"/>
      <c r="J165" s="48"/>
      <c r="K165" s="50"/>
      <c r="L165" s="50"/>
      <c r="M165" s="48"/>
      <c r="N165" s="43"/>
      <c r="O165" s="43"/>
      <c r="P165" s="43"/>
      <c r="Q165" s="43"/>
      <c r="R165" s="43"/>
      <c r="S165" s="54" t="str">
        <f t="shared" si="1"/>
        <v>-</v>
      </c>
      <c r="T165" s="43" t="str">
        <f>#REF!</f>
        <v>#REF!</v>
      </c>
      <c r="U165" s="43" t="str">
        <f t="shared" si="2"/>
        <v/>
      </c>
      <c r="V165" s="56">
        <f t="shared" si="3"/>
        <v>0</v>
      </c>
      <c r="W165" s="56">
        <f t="shared" si="4"/>
        <v>0</v>
      </c>
      <c r="X165" s="56"/>
    </row>
    <row r="166" ht="15.75" customHeight="1">
      <c r="A166" s="57"/>
      <c r="B166" s="58" t="s">
        <v>17</v>
      </c>
      <c r="C166" s="128" t="s">
        <v>14</v>
      </c>
      <c r="D166" s="74" t="s">
        <v>701</v>
      </c>
      <c r="E166" s="74" t="s">
        <v>1010</v>
      </c>
      <c r="F166" s="68"/>
      <c r="G166" s="68"/>
      <c r="H166" s="68"/>
      <c r="I166" s="68"/>
      <c r="J166" s="68"/>
      <c r="K166" s="67"/>
      <c r="L166" s="67"/>
      <c r="M166" s="68"/>
      <c r="N166" s="57"/>
      <c r="O166" s="57"/>
      <c r="P166" s="57"/>
      <c r="Q166" s="57"/>
      <c r="R166" s="57"/>
      <c r="S166" s="69" t="str">
        <f t="shared" si="1"/>
        <v>-</v>
      </c>
      <c r="T166" s="57" t="str">
        <f>'Kertas Kerja'!$I107</f>
        <v/>
      </c>
      <c r="U166" s="57" t="str">
        <f t="shared" si="2"/>
        <v/>
      </c>
      <c r="V166" s="70">
        <f t="shared" si="3"/>
        <v>0</v>
      </c>
      <c r="W166" s="70">
        <f t="shared" si="4"/>
        <v>0</v>
      </c>
      <c r="X166" s="70"/>
    </row>
    <row r="167" ht="15.75" customHeight="1">
      <c r="A167" s="43"/>
      <c r="B167" s="44" t="s">
        <v>17</v>
      </c>
      <c r="C167" s="129" t="s">
        <v>14</v>
      </c>
      <c r="D167" s="53" t="s">
        <v>978</v>
      </c>
      <c r="E167" s="53" t="s">
        <v>1020</v>
      </c>
      <c r="F167" s="48"/>
      <c r="G167" s="48"/>
      <c r="H167" s="48"/>
      <c r="I167" s="48"/>
      <c r="J167" s="48"/>
      <c r="K167" s="50"/>
      <c r="L167" s="50"/>
      <c r="M167" s="48"/>
      <c r="N167" s="43"/>
      <c r="O167" s="43"/>
      <c r="P167" s="43"/>
      <c r="Q167" s="43"/>
      <c r="R167" s="43"/>
      <c r="S167" s="54" t="str">
        <f t="shared" si="1"/>
        <v>-</v>
      </c>
      <c r="T167" s="43" t="str">
        <f>'Kertas Kerja'!$I11</f>
        <v/>
      </c>
      <c r="U167" s="43" t="str">
        <f t="shared" si="2"/>
        <v/>
      </c>
      <c r="V167" s="56">
        <f t="shared" si="3"/>
        <v>0</v>
      </c>
      <c r="W167" s="56">
        <f t="shared" si="4"/>
        <v>0</v>
      </c>
      <c r="X167" s="56"/>
    </row>
    <row r="168" ht="15.75" customHeight="1">
      <c r="A168" s="57" t="s">
        <v>54</v>
      </c>
      <c r="B168" s="58" t="s">
        <v>17</v>
      </c>
      <c r="C168" s="128" t="s">
        <v>14</v>
      </c>
      <c r="D168" s="74" t="s">
        <v>1024</v>
      </c>
      <c r="E168" s="74" t="s">
        <v>1025</v>
      </c>
      <c r="F168" s="68"/>
      <c r="G168" s="68"/>
      <c r="H168" s="68"/>
      <c r="I168" s="68"/>
      <c r="J168" s="68"/>
      <c r="K168" s="67"/>
      <c r="L168" s="67"/>
      <c r="M168" s="68"/>
      <c r="N168" s="57"/>
      <c r="O168" s="57"/>
      <c r="P168" s="57"/>
      <c r="Q168" s="57"/>
      <c r="R168" s="57"/>
      <c r="S168" s="69" t="str">
        <f t="shared" si="1"/>
        <v>-</v>
      </c>
      <c r="T168" s="57" t="str">
        <f>'Kertas Kerja'!$I121</f>
        <v/>
      </c>
      <c r="U168" s="57" t="str">
        <f t="shared" si="2"/>
        <v/>
      </c>
      <c r="V168" s="70">
        <f t="shared" si="3"/>
        <v>0</v>
      </c>
      <c r="W168" s="70">
        <f t="shared" si="4"/>
        <v>0</v>
      </c>
      <c r="X168" s="70"/>
    </row>
    <row r="169" ht="15.75" customHeight="1">
      <c r="A169" s="43" t="s">
        <v>54</v>
      </c>
      <c r="B169" s="44" t="s">
        <v>17</v>
      </c>
      <c r="C169" s="129" t="s">
        <v>14</v>
      </c>
      <c r="D169" s="53" t="s">
        <v>1024</v>
      </c>
      <c r="E169" s="53" t="s">
        <v>1029</v>
      </c>
      <c r="F169" s="48"/>
      <c r="G169" s="48"/>
      <c r="H169" s="48"/>
      <c r="I169" s="48"/>
      <c r="J169" s="48"/>
      <c r="K169" s="50"/>
      <c r="L169" s="50"/>
      <c r="M169" s="48"/>
      <c r="N169" s="43"/>
      <c r="O169" s="43"/>
      <c r="P169" s="43"/>
      <c r="Q169" s="43"/>
      <c r="R169" s="43"/>
      <c r="S169" s="54" t="str">
        <f t="shared" si="1"/>
        <v>-</v>
      </c>
      <c r="T169" s="43" t="str">
        <f>'Kertas Kerja'!$I120</f>
        <v/>
      </c>
      <c r="U169" s="43" t="str">
        <f t="shared" si="2"/>
        <v/>
      </c>
      <c r="V169" s="56">
        <f t="shared" si="3"/>
        <v>0</v>
      </c>
      <c r="W169" s="56">
        <f t="shared" si="4"/>
        <v>0</v>
      </c>
      <c r="X169" s="56"/>
      <c r="Y169" s="5"/>
      <c r="Z169" s="5"/>
    </row>
    <row r="170" ht="15.75" customHeight="1">
      <c r="A170" s="57" t="s">
        <v>54</v>
      </c>
      <c r="B170" s="58" t="s">
        <v>17</v>
      </c>
      <c r="C170" s="128" t="s">
        <v>14</v>
      </c>
      <c r="D170" s="74" t="s">
        <v>707</v>
      </c>
      <c r="E170" s="74" t="s">
        <v>1034</v>
      </c>
      <c r="F170" s="68"/>
      <c r="G170" s="68"/>
      <c r="H170" s="68"/>
      <c r="I170" s="68"/>
      <c r="J170" s="68"/>
      <c r="K170" s="67"/>
      <c r="L170" s="67"/>
      <c r="M170" s="68"/>
      <c r="N170" s="57"/>
      <c r="O170" s="57"/>
      <c r="P170" s="57"/>
      <c r="Q170" s="57"/>
      <c r="R170" s="57"/>
      <c r="S170" s="69" t="str">
        <f t="shared" si="1"/>
        <v>-</v>
      </c>
      <c r="T170" s="57" t="str">
        <f>'Kertas Kerja'!$I21</f>
        <v/>
      </c>
      <c r="U170" s="57" t="str">
        <f t="shared" si="2"/>
        <v/>
      </c>
      <c r="V170" s="70">
        <f t="shared" si="3"/>
        <v>0</v>
      </c>
      <c r="W170" s="70">
        <f t="shared" si="4"/>
        <v>0</v>
      </c>
      <c r="X170" s="70"/>
    </row>
    <row r="171" ht="15.75" customHeight="1">
      <c r="A171" s="43" t="s">
        <v>54</v>
      </c>
      <c r="B171" s="44" t="s">
        <v>17</v>
      </c>
      <c r="C171" s="129" t="s">
        <v>14</v>
      </c>
      <c r="D171" s="53" t="s">
        <v>707</v>
      </c>
      <c r="E171" s="53" t="s">
        <v>1037</v>
      </c>
      <c r="F171" s="48"/>
      <c r="G171" s="48"/>
      <c r="H171" s="48"/>
      <c r="I171" s="48"/>
      <c r="J171" s="48"/>
      <c r="K171" s="50"/>
      <c r="L171" s="50"/>
      <c r="M171" s="48"/>
      <c r="N171" s="43"/>
      <c r="O171" s="43"/>
      <c r="P171" s="43"/>
      <c r="Q171" s="43"/>
      <c r="R171" s="43"/>
      <c r="S171" s="54" t="str">
        <f t="shared" si="1"/>
        <v>-</v>
      </c>
      <c r="T171" s="43" t="str">
        <f>'Kertas Kerja'!$I19</f>
        <v/>
      </c>
      <c r="U171" s="43" t="str">
        <f t="shared" si="2"/>
        <v/>
      </c>
      <c r="V171" s="56">
        <f t="shared" si="3"/>
        <v>0</v>
      </c>
      <c r="W171" s="56">
        <f t="shared" si="4"/>
        <v>0</v>
      </c>
      <c r="X171" s="56"/>
    </row>
    <row r="172" ht="15.75" customHeight="1">
      <c r="A172" s="57" t="s">
        <v>54</v>
      </c>
      <c r="B172" s="58" t="s">
        <v>17</v>
      </c>
      <c r="C172" s="128" t="s">
        <v>14</v>
      </c>
      <c r="D172" s="74" t="s">
        <v>707</v>
      </c>
      <c r="E172" s="74" t="s">
        <v>1042</v>
      </c>
      <c r="F172" s="68"/>
      <c r="G172" s="68"/>
      <c r="H172" s="68"/>
      <c r="I172" s="68"/>
      <c r="J172" s="68"/>
      <c r="K172" s="67"/>
      <c r="L172" s="67"/>
      <c r="M172" s="68"/>
      <c r="N172" s="57"/>
      <c r="O172" s="57"/>
      <c r="P172" s="57"/>
      <c r="Q172" s="57"/>
      <c r="R172" s="57"/>
      <c r="S172" s="69" t="str">
        <f t="shared" si="1"/>
        <v>-</v>
      </c>
      <c r="T172" s="57" t="str">
        <f>'Kertas Kerja'!$I20</f>
        <v/>
      </c>
      <c r="U172" s="57" t="str">
        <f t="shared" si="2"/>
        <v/>
      </c>
      <c r="V172" s="70">
        <f t="shared" si="3"/>
        <v>0</v>
      </c>
      <c r="W172" s="70">
        <f t="shared" si="4"/>
        <v>0</v>
      </c>
      <c r="X172" s="70"/>
    </row>
    <row r="173" ht="15.75" customHeight="1">
      <c r="A173" s="43" t="s">
        <v>54</v>
      </c>
      <c r="B173" s="44" t="s">
        <v>17</v>
      </c>
      <c r="C173" s="129" t="s">
        <v>14</v>
      </c>
      <c r="D173" s="53" t="s">
        <v>707</v>
      </c>
      <c r="E173" s="53" t="s">
        <v>1047</v>
      </c>
      <c r="F173" s="48"/>
      <c r="G173" s="48"/>
      <c r="H173" s="48"/>
      <c r="I173" s="48"/>
      <c r="J173" s="48"/>
      <c r="K173" s="50"/>
      <c r="L173" s="50"/>
      <c r="M173" s="48"/>
      <c r="N173" s="43"/>
      <c r="O173" s="43"/>
      <c r="P173" s="43"/>
      <c r="Q173" s="43"/>
      <c r="R173" s="43"/>
      <c r="S173" s="54" t="str">
        <f t="shared" si="1"/>
        <v>-</v>
      </c>
      <c r="T173" s="43" t="str">
        <f>'Kertas Kerja'!$I18</f>
        <v/>
      </c>
      <c r="U173" s="43" t="str">
        <f t="shared" si="2"/>
        <v/>
      </c>
      <c r="V173" s="56">
        <f t="shared" si="3"/>
        <v>0</v>
      </c>
      <c r="W173" s="56">
        <f t="shared" si="4"/>
        <v>0</v>
      </c>
      <c r="X173" s="56"/>
    </row>
    <row r="174" ht="15.75" customHeight="1">
      <c r="A174" s="57"/>
      <c r="B174" s="58" t="s">
        <v>17</v>
      </c>
      <c r="C174" s="128" t="s">
        <v>14</v>
      </c>
      <c r="D174" s="74" t="s">
        <v>846</v>
      </c>
      <c r="E174" s="74" t="s">
        <v>1050</v>
      </c>
      <c r="F174" s="68"/>
      <c r="G174" s="68"/>
      <c r="H174" s="68"/>
      <c r="I174" s="68"/>
      <c r="J174" s="68"/>
      <c r="K174" s="67"/>
      <c r="L174" s="67"/>
      <c r="M174" s="68"/>
      <c r="N174" s="57"/>
      <c r="O174" s="57"/>
      <c r="P174" s="57"/>
      <c r="Q174" s="57"/>
      <c r="R174" s="57"/>
      <c r="S174" s="69" t="str">
        <f t="shared" si="1"/>
        <v>-</v>
      </c>
      <c r="T174" s="57" t="str">
        <f>'Kertas Kerja'!$I122</f>
        <v/>
      </c>
      <c r="U174" s="57" t="str">
        <f t="shared" si="2"/>
        <v/>
      </c>
      <c r="V174" s="70">
        <f t="shared" si="3"/>
        <v>0</v>
      </c>
      <c r="W174" s="70">
        <f t="shared" si="4"/>
        <v>0</v>
      </c>
      <c r="X174" s="70"/>
    </row>
    <row r="175" ht="15.75" customHeight="1">
      <c r="A175" s="43"/>
      <c r="B175" s="44" t="s">
        <v>17</v>
      </c>
      <c r="C175" s="129" t="s">
        <v>14</v>
      </c>
      <c r="D175" s="53" t="s">
        <v>978</v>
      </c>
      <c r="E175" s="53" t="s">
        <v>1056</v>
      </c>
      <c r="F175" s="48"/>
      <c r="G175" s="48"/>
      <c r="H175" s="48"/>
      <c r="I175" s="48"/>
      <c r="J175" s="48"/>
      <c r="K175" s="50"/>
      <c r="L175" s="50"/>
      <c r="M175" s="48"/>
      <c r="N175" s="43"/>
      <c r="O175" s="43"/>
      <c r="P175" s="43"/>
      <c r="Q175" s="43"/>
      <c r="R175" s="43"/>
      <c r="S175" s="54" t="str">
        <f t="shared" si="1"/>
        <v>-</v>
      </c>
      <c r="T175" s="43" t="str">
        <f>'Kertas Kerja'!$I13</f>
        <v/>
      </c>
      <c r="U175" s="43" t="str">
        <f t="shared" si="2"/>
        <v/>
      </c>
      <c r="V175" s="56">
        <f t="shared" si="3"/>
        <v>0</v>
      </c>
      <c r="W175" s="56">
        <f t="shared" si="4"/>
        <v>0</v>
      </c>
      <c r="X175" s="56"/>
    </row>
    <row r="176" ht="15.75" customHeight="1">
      <c r="A176" s="57"/>
      <c r="B176" s="58" t="s">
        <v>17</v>
      </c>
      <c r="C176" s="128" t="s">
        <v>14</v>
      </c>
      <c r="D176" s="74" t="s">
        <v>978</v>
      </c>
      <c r="E176" s="74" t="s">
        <v>1060</v>
      </c>
      <c r="F176" s="68"/>
      <c r="G176" s="68"/>
      <c r="H176" s="68"/>
      <c r="I176" s="68"/>
      <c r="J176" s="68"/>
      <c r="K176" s="67"/>
      <c r="L176" s="67"/>
      <c r="M176" s="68"/>
      <c r="N176" s="57"/>
      <c r="O176" s="57"/>
      <c r="P176" s="57"/>
      <c r="Q176" s="57"/>
      <c r="R176" s="57"/>
      <c r="S176" s="69" t="str">
        <f t="shared" si="1"/>
        <v>-</v>
      </c>
      <c r="T176" s="57" t="str">
        <f>'Kertas Kerja'!$I14</f>
        <v/>
      </c>
      <c r="U176" s="57" t="str">
        <f t="shared" si="2"/>
        <v/>
      </c>
      <c r="V176" s="70">
        <f t="shared" si="3"/>
        <v>0</v>
      </c>
      <c r="W176" s="70">
        <f t="shared" si="4"/>
        <v>0</v>
      </c>
      <c r="X176" s="70"/>
    </row>
    <row r="177" ht="15.75" customHeight="1">
      <c r="A177" s="43"/>
      <c r="B177" s="44" t="s">
        <v>17</v>
      </c>
      <c r="C177" s="129" t="s">
        <v>14</v>
      </c>
      <c r="D177" s="53" t="s">
        <v>701</v>
      </c>
      <c r="E177" s="53" t="s">
        <v>1062</v>
      </c>
      <c r="F177" s="48"/>
      <c r="G177" s="48"/>
      <c r="H177" s="48"/>
      <c r="I177" s="48"/>
      <c r="J177" s="48"/>
      <c r="K177" s="50"/>
      <c r="L177" s="50"/>
      <c r="M177" s="48"/>
      <c r="N177" s="43"/>
      <c r="O177" s="43"/>
      <c r="P177" s="43"/>
      <c r="Q177" s="43"/>
      <c r="R177" s="43"/>
      <c r="S177" s="54" t="str">
        <f t="shared" si="1"/>
        <v>-</v>
      </c>
      <c r="T177" s="43" t="str">
        <f>'Kertas Kerja'!$I118</f>
        <v/>
      </c>
      <c r="U177" s="43" t="str">
        <f t="shared" si="2"/>
        <v/>
      </c>
      <c r="V177" s="56">
        <f t="shared" si="3"/>
        <v>0</v>
      </c>
      <c r="W177" s="56">
        <f t="shared" si="4"/>
        <v>0</v>
      </c>
      <c r="X177" s="56"/>
    </row>
    <row r="178" ht="15.75" customHeight="1">
      <c r="A178" s="57"/>
      <c r="B178" s="58" t="s">
        <v>17</v>
      </c>
      <c r="C178" s="128" t="s">
        <v>14</v>
      </c>
      <c r="D178" s="74" t="s">
        <v>701</v>
      </c>
      <c r="E178" s="74" t="s">
        <v>1063</v>
      </c>
      <c r="F178" s="68"/>
      <c r="G178" s="68"/>
      <c r="H178" s="68"/>
      <c r="I178" s="68"/>
      <c r="J178" s="68"/>
      <c r="K178" s="67"/>
      <c r="L178" s="67"/>
      <c r="M178" s="68"/>
      <c r="N178" s="57"/>
      <c r="O178" s="57"/>
      <c r="P178" s="57"/>
      <c r="Q178" s="57"/>
      <c r="R178" s="57"/>
      <c r="S178" s="69" t="str">
        <f t="shared" si="1"/>
        <v>-</v>
      </c>
      <c r="T178" s="57" t="str">
        <f>'Kertas Kerja'!$I98</f>
        <v/>
      </c>
      <c r="U178" s="57" t="str">
        <f t="shared" si="2"/>
        <v/>
      </c>
      <c r="V178" s="70">
        <f t="shared" si="3"/>
        <v>0</v>
      </c>
      <c r="W178" s="70">
        <f t="shared" si="4"/>
        <v>0</v>
      </c>
      <c r="X178" s="70"/>
    </row>
    <row r="179" ht="15.75" customHeight="1">
      <c r="A179" s="43"/>
      <c r="B179" s="44" t="s">
        <v>17</v>
      </c>
      <c r="C179" s="129" t="s">
        <v>14</v>
      </c>
      <c r="D179" s="53" t="s">
        <v>701</v>
      </c>
      <c r="E179" s="53" t="s">
        <v>1066</v>
      </c>
      <c r="F179" s="48"/>
      <c r="G179" s="48"/>
      <c r="H179" s="48"/>
      <c r="I179" s="48"/>
      <c r="J179" s="48"/>
      <c r="K179" s="50"/>
      <c r="L179" s="50"/>
      <c r="M179" s="48"/>
      <c r="N179" s="43"/>
      <c r="O179" s="43"/>
      <c r="P179" s="43"/>
      <c r="Q179" s="43"/>
      <c r="R179" s="43"/>
      <c r="S179" s="54" t="str">
        <f t="shared" si="1"/>
        <v>-</v>
      </c>
      <c r="T179" s="43" t="str">
        <f>'Kertas Kerja'!$I101</f>
        <v/>
      </c>
      <c r="U179" s="43" t="str">
        <f t="shared" si="2"/>
        <v/>
      </c>
      <c r="V179" s="56">
        <f t="shared" si="3"/>
        <v>0</v>
      </c>
      <c r="W179" s="56">
        <f t="shared" si="4"/>
        <v>0</v>
      </c>
      <c r="X179" s="56"/>
    </row>
    <row r="180" ht="15.75" customHeight="1">
      <c r="A180" s="57" t="s">
        <v>54</v>
      </c>
      <c r="B180" s="58" t="s">
        <v>17</v>
      </c>
      <c r="C180" s="128" t="s">
        <v>14</v>
      </c>
      <c r="D180" s="74" t="s">
        <v>707</v>
      </c>
      <c r="E180" s="74" t="s">
        <v>1072</v>
      </c>
      <c r="F180" s="68"/>
      <c r="G180" s="68"/>
      <c r="H180" s="68"/>
      <c r="I180" s="68"/>
      <c r="J180" s="68"/>
      <c r="K180" s="67"/>
      <c r="L180" s="67"/>
      <c r="M180" s="68"/>
      <c r="N180" s="57"/>
      <c r="O180" s="57"/>
      <c r="P180" s="57"/>
      <c r="Q180" s="57"/>
      <c r="R180" s="57"/>
      <c r="S180" s="69" t="str">
        <f t="shared" si="1"/>
        <v>-</v>
      </c>
      <c r="T180" s="57" t="str">
        <f>'Kertas Kerja'!$I17</f>
        <v/>
      </c>
      <c r="U180" s="57" t="str">
        <f t="shared" si="2"/>
        <v/>
      </c>
      <c r="V180" s="70">
        <f t="shared" si="3"/>
        <v>0</v>
      </c>
      <c r="W180" s="70">
        <f t="shared" si="4"/>
        <v>0</v>
      </c>
      <c r="X180" s="70"/>
    </row>
    <row r="181" ht="15.75" customHeight="1">
      <c r="A181" s="43" t="s">
        <v>54</v>
      </c>
      <c r="B181" s="44" t="s">
        <v>17</v>
      </c>
      <c r="C181" s="129" t="s">
        <v>14</v>
      </c>
      <c r="D181" s="53" t="s">
        <v>707</v>
      </c>
      <c r="E181" s="53" t="s">
        <v>1089</v>
      </c>
      <c r="F181" s="48"/>
      <c r="G181" s="48"/>
      <c r="H181" s="48"/>
      <c r="I181" s="48"/>
      <c r="J181" s="48"/>
      <c r="K181" s="50"/>
      <c r="L181" s="50"/>
      <c r="M181" s="48"/>
      <c r="N181" s="43"/>
      <c r="O181" s="43"/>
      <c r="P181" s="43"/>
      <c r="Q181" s="43"/>
      <c r="R181" s="43"/>
      <c r="S181" s="54" t="str">
        <f t="shared" si="1"/>
        <v>-</v>
      </c>
      <c r="T181" s="43" t="str">
        <f>'Kertas Kerja'!$I54</f>
        <v/>
      </c>
      <c r="U181" s="43" t="str">
        <f t="shared" si="2"/>
        <v/>
      </c>
      <c r="V181" s="56">
        <f t="shared" si="3"/>
        <v>0</v>
      </c>
      <c r="W181" s="56">
        <f t="shared" si="4"/>
        <v>0</v>
      </c>
      <c r="X181" s="56"/>
    </row>
    <row r="182" ht="15.75" customHeight="1">
      <c r="A182" s="57"/>
      <c r="B182" s="58" t="s">
        <v>17</v>
      </c>
      <c r="C182" s="128" t="s">
        <v>14</v>
      </c>
      <c r="D182" s="74" t="s">
        <v>707</v>
      </c>
      <c r="E182" s="74" t="s">
        <v>1094</v>
      </c>
      <c r="F182" s="68"/>
      <c r="G182" s="68"/>
      <c r="H182" s="68"/>
      <c r="I182" s="68"/>
      <c r="J182" s="68"/>
      <c r="K182" s="67"/>
      <c r="L182" s="67"/>
      <c r="M182" s="68"/>
      <c r="N182" s="57"/>
      <c r="O182" s="57"/>
      <c r="P182" s="57"/>
      <c r="Q182" s="57"/>
      <c r="R182" s="57"/>
      <c r="S182" s="69" t="str">
        <f t="shared" si="1"/>
        <v>-</v>
      </c>
      <c r="T182" s="57" t="str">
        <f>'Kertas Kerja'!$I57</f>
        <v/>
      </c>
      <c r="U182" s="57" t="str">
        <f t="shared" si="2"/>
        <v/>
      </c>
      <c r="V182" s="70">
        <f t="shared" si="3"/>
        <v>0</v>
      </c>
      <c r="W182" s="70">
        <f t="shared" si="4"/>
        <v>0</v>
      </c>
      <c r="X182" s="70"/>
    </row>
    <row r="183" ht="15.75" customHeight="1">
      <c r="A183" s="43"/>
      <c r="B183" s="44" t="s">
        <v>17</v>
      </c>
      <c r="C183" s="129" t="s">
        <v>14</v>
      </c>
      <c r="D183" s="53" t="s">
        <v>978</v>
      </c>
      <c r="E183" s="53" t="s">
        <v>1098</v>
      </c>
      <c r="F183" s="48"/>
      <c r="G183" s="48"/>
      <c r="H183" s="48"/>
      <c r="I183" s="48"/>
      <c r="J183" s="48"/>
      <c r="K183" s="50"/>
      <c r="L183" s="50"/>
      <c r="M183" s="48"/>
      <c r="N183" s="43"/>
      <c r="O183" s="43"/>
      <c r="P183" s="43"/>
      <c r="Q183" s="43"/>
      <c r="R183" s="43"/>
      <c r="S183" s="54" t="str">
        <f t="shared" si="1"/>
        <v>-</v>
      </c>
      <c r="T183" s="43" t="str">
        <f>'Kertas Kerja'!$I7</f>
        <v/>
      </c>
      <c r="U183" s="43" t="str">
        <f t="shared" si="2"/>
        <v/>
      </c>
      <c r="V183" s="56">
        <f t="shared" si="3"/>
        <v>0</v>
      </c>
      <c r="W183" s="56">
        <f t="shared" si="4"/>
        <v>0</v>
      </c>
      <c r="X183" s="56"/>
    </row>
    <row r="184" ht="15.75" customHeight="1">
      <c r="A184" s="57"/>
      <c r="B184" s="58" t="s">
        <v>17</v>
      </c>
      <c r="C184" s="128" t="s">
        <v>14</v>
      </c>
      <c r="D184" s="74" t="s">
        <v>978</v>
      </c>
      <c r="E184" s="74" t="s">
        <v>1100</v>
      </c>
      <c r="F184" s="68"/>
      <c r="G184" s="68"/>
      <c r="H184" s="68"/>
      <c r="I184" s="68"/>
      <c r="J184" s="68"/>
      <c r="K184" s="67"/>
      <c r="L184" s="67"/>
      <c r="M184" s="68"/>
      <c r="N184" s="57"/>
      <c r="O184" s="57"/>
      <c r="P184" s="57"/>
      <c r="Q184" s="57"/>
      <c r="R184" s="57"/>
      <c r="S184" s="69" t="str">
        <f t="shared" si="1"/>
        <v>-</v>
      </c>
      <c r="T184" s="57" t="str">
        <f>'Kertas Kerja'!$I8</f>
        <v/>
      </c>
      <c r="U184" s="57" t="str">
        <f t="shared" si="2"/>
        <v/>
      </c>
      <c r="V184" s="70">
        <f t="shared" si="3"/>
        <v>0</v>
      </c>
      <c r="W184" s="70">
        <f t="shared" si="4"/>
        <v>0</v>
      </c>
      <c r="X184" s="70"/>
    </row>
    <row r="185" ht="15.75" customHeight="1">
      <c r="A185" s="43"/>
      <c r="B185" s="44" t="s">
        <v>17</v>
      </c>
      <c r="C185" s="129" t="s">
        <v>14</v>
      </c>
      <c r="D185" s="53" t="s">
        <v>712</v>
      </c>
      <c r="E185" s="53" t="s">
        <v>1104</v>
      </c>
      <c r="F185" s="48"/>
      <c r="G185" s="48"/>
      <c r="H185" s="48"/>
      <c r="I185" s="48"/>
      <c r="J185" s="48"/>
      <c r="K185" s="50"/>
      <c r="L185" s="50"/>
      <c r="M185" s="48"/>
      <c r="N185" s="43"/>
      <c r="O185" s="43"/>
      <c r="P185" s="43"/>
      <c r="Q185" s="43"/>
      <c r="R185" s="43"/>
      <c r="S185" s="54" t="str">
        <f t="shared" si="1"/>
        <v>-</v>
      </c>
      <c r="T185" s="43" t="str">
        <f>'Kertas Kerja'!$I81</f>
        <v/>
      </c>
      <c r="U185" s="43" t="str">
        <f t="shared" si="2"/>
        <v/>
      </c>
      <c r="V185" s="56">
        <f t="shared" si="3"/>
        <v>0</v>
      </c>
      <c r="W185" s="56">
        <f t="shared" si="4"/>
        <v>0</v>
      </c>
      <c r="X185" s="56"/>
    </row>
    <row r="186" ht="15.75" customHeight="1">
      <c r="A186" s="57" t="s">
        <v>54</v>
      </c>
      <c r="B186" s="58" t="s">
        <v>17</v>
      </c>
      <c r="C186" s="128" t="s">
        <v>14</v>
      </c>
      <c r="D186" s="74" t="s">
        <v>707</v>
      </c>
      <c r="E186" s="74" t="s">
        <v>1107</v>
      </c>
      <c r="F186" s="68"/>
      <c r="G186" s="68"/>
      <c r="H186" s="68"/>
      <c r="I186" s="68"/>
      <c r="J186" s="68"/>
      <c r="K186" s="67"/>
      <c r="L186" s="67"/>
      <c r="M186" s="68"/>
      <c r="N186" s="57"/>
      <c r="O186" s="57"/>
      <c r="P186" s="57"/>
      <c r="Q186" s="57"/>
      <c r="R186" s="57"/>
      <c r="S186" s="69" t="str">
        <f t="shared" si="1"/>
        <v>-</v>
      </c>
      <c r="T186" s="57" t="str">
        <f>'Kertas Kerja'!$I49</f>
        <v/>
      </c>
      <c r="U186" s="57" t="str">
        <f t="shared" si="2"/>
        <v/>
      </c>
      <c r="V186" s="70">
        <f t="shared" si="3"/>
        <v>0</v>
      </c>
      <c r="W186" s="70">
        <f t="shared" si="4"/>
        <v>0</v>
      </c>
      <c r="X186" s="70"/>
    </row>
    <row r="187" ht="15.75" customHeight="1">
      <c r="A187" s="43" t="s">
        <v>54</v>
      </c>
      <c r="B187" s="44" t="s">
        <v>17</v>
      </c>
      <c r="C187" s="129" t="s">
        <v>14</v>
      </c>
      <c r="D187" s="53" t="s">
        <v>707</v>
      </c>
      <c r="E187" s="53" t="s">
        <v>1119</v>
      </c>
      <c r="F187" s="48"/>
      <c r="G187" s="48"/>
      <c r="H187" s="48"/>
      <c r="I187" s="48"/>
      <c r="J187" s="48"/>
      <c r="K187" s="50"/>
      <c r="L187" s="50"/>
      <c r="M187" s="48"/>
      <c r="N187" s="43"/>
      <c r="O187" s="43"/>
      <c r="P187" s="43"/>
      <c r="Q187" s="43"/>
      <c r="R187" s="43"/>
      <c r="S187" s="54" t="str">
        <f t="shared" si="1"/>
        <v>-</v>
      </c>
      <c r="T187" s="43" t="str">
        <f>'Kertas Kerja'!$I50</f>
        <v/>
      </c>
      <c r="U187" s="43" t="str">
        <f t="shared" si="2"/>
        <v/>
      </c>
      <c r="V187" s="56">
        <f t="shared" si="3"/>
        <v>0</v>
      </c>
      <c r="W187" s="56">
        <f t="shared" si="4"/>
        <v>0</v>
      </c>
      <c r="X187" s="56"/>
    </row>
    <row r="188" ht="15.75" customHeight="1">
      <c r="A188" s="57" t="s">
        <v>54</v>
      </c>
      <c r="B188" s="58" t="s">
        <v>17</v>
      </c>
      <c r="C188" s="128" t="s">
        <v>14</v>
      </c>
      <c r="D188" s="74" t="s">
        <v>707</v>
      </c>
      <c r="E188" s="74" t="s">
        <v>1126</v>
      </c>
      <c r="F188" s="68"/>
      <c r="G188" s="68"/>
      <c r="H188" s="68"/>
      <c r="I188" s="68"/>
      <c r="J188" s="68"/>
      <c r="K188" s="67"/>
      <c r="L188" s="67"/>
      <c r="M188" s="68"/>
      <c r="N188" s="57"/>
      <c r="O188" s="57"/>
      <c r="P188" s="57"/>
      <c r="Q188" s="57"/>
      <c r="R188" s="57"/>
      <c r="S188" s="69" t="str">
        <f t="shared" si="1"/>
        <v>-</v>
      </c>
      <c r="T188" s="57" t="str">
        <f>'Kertas Kerja'!$I51</f>
        <v/>
      </c>
      <c r="U188" s="57" t="str">
        <f t="shared" si="2"/>
        <v/>
      </c>
      <c r="V188" s="70">
        <f t="shared" si="3"/>
        <v>0</v>
      </c>
      <c r="W188" s="70">
        <f t="shared" si="4"/>
        <v>0</v>
      </c>
      <c r="X188" s="70"/>
      <c r="Y188" s="5"/>
      <c r="Z188" s="5"/>
    </row>
    <row r="189" ht="15.75" customHeight="1">
      <c r="A189" s="43"/>
      <c r="B189" s="44" t="s">
        <v>17</v>
      </c>
      <c r="C189" s="129" t="s">
        <v>14</v>
      </c>
      <c r="D189" s="53" t="s">
        <v>701</v>
      </c>
      <c r="E189" s="53" t="s">
        <v>1133</v>
      </c>
      <c r="F189" s="48"/>
      <c r="G189" s="48"/>
      <c r="H189" s="48"/>
      <c r="I189" s="48"/>
      <c r="J189" s="48"/>
      <c r="K189" s="50"/>
      <c r="L189" s="50"/>
      <c r="M189" s="48"/>
      <c r="N189" s="43"/>
      <c r="O189" s="43"/>
      <c r="P189" s="43"/>
      <c r="Q189" s="43"/>
      <c r="R189" s="43"/>
      <c r="S189" s="54" t="str">
        <f t="shared" si="1"/>
        <v>-</v>
      </c>
      <c r="T189" s="43" t="str">
        <f>'Kertas Kerja'!$I113</f>
        <v/>
      </c>
      <c r="U189" s="43" t="str">
        <f t="shared" si="2"/>
        <v/>
      </c>
      <c r="V189" s="56">
        <f t="shared" si="3"/>
        <v>0</v>
      </c>
      <c r="W189" s="56">
        <f t="shared" si="4"/>
        <v>0</v>
      </c>
      <c r="X189" s="56"/>
    </row>
    <row r="190" ht="15.75" customHeight="1">
      <c r="A190" s="57"/>
      <c r="B190" s="58" t="s">
        <v>17</v>
      </c>
      <c r="C190" s="128" t="s">
        <v>14</v>
      </c>
      <c r="D190" s="74" t="s">
        <v>701</v>
      </c>
      <c r="E190" s="74" t="s">
        <v>1140</v>
      </c>
      <c r="F190" s="68"/>
      <c r="G190" s="68"/>
      <c r="H190" s="68"/>
      <c r="I190" s="68"/>
      <c r="J190" s="68"/>
      <c r="K190" s="67"/>
      <c r="L190" s="67"/>
      <c r="M190" s="68"/>
      <c r="N190" s="57"/>
      <c r="O190" s="57"/>
      <c r="P190" s="57"/>
      <c r="Q190" s="57"/>
      <c r="R190" s="57"/>
      <c r="S190" s="69" t="str">
        <f t="shared" si="1"/>
        <v>-</v>
      </c>
      <c r="T190" s="57" t="str">
        <f>'Kertas Kerja'!$I114</f>
        <v/>
      </c>
      <c r="U190" s="57" t="str">
        <f t="shared" si="2"/>
        <v/>
      </c>
      <c r="V190" s="70">
        <f t="shared" si="3"/>
        <v>0</v>
      </c>
      <c r="W190" s="70">
        <f t="shared" si="4"/>
        <v>0</v>
      </c>
      <c r="X190" s="70"/>
    </row>
    <row r="191" ht="15.75" customHeight="1">
      <c r="A191" s="43"/>
      <c r="B191" s="44" t="s">
        <v>17</v>
      </c>
      <c r="C191" s="129" t="s">
        <v>14</v>
      </c>
      <c r="D191" s="53" t="s">
        <v>701</v>
      </c>
      <c r="E191" s="53" t="s">
        <v>1154</v>
      </c>
      <c r="F191" s="48"/>
      <c r="G191" s="48"/>
      <c r="H191" s="48"/>
      <c r="I191" s="48"/>
      <c r="J191" s="48"/>
      <c r="K191" s="50"/>
      <c r="L191" s="50"/>
      <c r="M191" s="48"/>
      <c r="N191" s="43"/>
      <c r="O191" s="43"/>
      <c r="P191" s="43"/>
      <c r="Q191" s="43"/>
      <c r="R191" s="43"/>
      <c r="S191" s="54" t="str">
        <f t="shared" si="1"/>
        <v>-</v>
      </c>
      <c r="T191" s="43" t="str">
        <f>'Kertas Kerja'!$I106</f>
        <v/>
      </c>
      <c r="U191" s="43" t="str">
        <f t="shared" si="2"/>
        <v/>
      </c>
      <c r="V191" s="56">
        <f t="shared" si="3"/>
        <v>0</v>
      </c>
      <c r="W191" s="56">
        <f t="shared" si="4"/>
        <v>0</v>
      </c>
      <c r="X191" s="56"/>
    </row>
    <row r="192" ht="15.75" customHeight="1">
      <c r="A192" s="57"/>
      <c r="B192" s="58" t="s">
        <v>17</v>
      </c>
      <c r="C192" s="128" t="s">
        <v>14</v>
      </c>
      <c r="D192" s="74" t="s">
        <v>707</v>
      </c>
      <c r="E192" s="74" t="s">
        <v>1158</v>
      </c>
      <c r="F192" s="68"/>
      <c r="G192" s="68"/>
      <c r="H192" s="68"/>
      <c r="I192" s="68"/>
      <c r="J192" s="68"/>
      <c r="K192" s="67"/>
      <c r="L192" s="67"/>
      <c r="M192" s="68"/>
      <c r="N192" s="57"/>
      <c r="O192" s="57"/>
      <c r="P192" s="57"/>
      <c r="Q192" s="57"/>
      <c r="R192" s="57"/>
      <c r="S192" s="69" t="str">
        <f t="shared" si="1"/>
        <v>-</v>
      </c>
      <c r="T192" s="57" t="str">
        <f>'Kertas Kerja'!$I56</f>
        <v/>
      </c>
      <c r="U192" s="57" t="str">
        <f t="shared" si="2"/>
        <v/>
      </c>
      <c r="V192" s="70">
        <f t="shared" si="3"/>
        <v>0</v>
      </c>
      <c r="W192" s="70">
        <f t="shared" si="4"/>
        <v>0</v>
      </c>
      <c r="X192" s="70"/>
    </row>
    <row r="193" ht="15.75" customHeight="1">
      <c r="A193" s="43" t="s">
        <v>54</v>
      </c>
      <c r="B193" s="44" t="s">
        <v>17</v>
      </c>
      <c r="C193" s="129" t="s">
        <v>14</v>
      </c>
      <c r="D193" s="53" t="s">
        <v>707</v>
      </c>
      <c r="E193" s="53" t="s">
        <v>1163</v>
      </c>
      <c r="F193" s="48"/>
      <c r="G193" s="48"/>
      <c r="H193" s="48"/>
      <c r="I193" s="48"/>
      <c r="J193" s="48"/>
      <c r="K193" s="50"/>
      <c r="L193" s="50"/>
      <c r="M193" s="48"/>
      <c r="N193" s="43"/>
      <c r="O193" s="43"/>
      <c r="P193" s="43"/>
      <c r="Q193" s="43"/>
      <c r="R193" s="43"/>
      <c r="S193" s="54" t="str">
        <f t="shared" si="1"/>
        <v>-</v>
      </c>
      <c r="T193" s="43" t="str">
        <f>'Kertas Kerja'!$I55</f>
        <v/>
      </c>
      <c r="U193" s="43" t="str">
        <f t="shared" si="2"/>
        <v/>
      </c>
      <c r="V193" s="56">
        <f t="shared" si="3"/>
        <v>0</v>
      </c>
      <c r="W193" s="56">
        <f t="shared" si="4"/>
        <v>0</v>
      </c>
      <c r="X193" s="56"/>
    </row>
    <row r="194" ht="15.75" customHeight="1">
      <c r="A194" s="57" t="s">
        <v>54</v>
      </c>
      <c r="B194" s="58" t="s">
        <v>17</v>
      </c>
      <c r="C194" s="128" t="s">
        <v>14</v>
      </c>
      <c r="D194" s="74" t="s">
        <v>707</v>
      </c>
      <c r="E194" s="74" t="s">
        <v>1165</v>
      </c>
      <c r="F194" s="68"/>
      <c r="G194" s="68"/>
      <c r="H194" s="68"/>
      <c r="I194" s="68"/>
      <c r="J194" s="68"/>
      <c r="K194" s="67"/>
      <c r="L194" s="67"/>
      <c r="M194" s="68"/>
      <c r="N194" s="57"/>
      <c r="O194" s="57"/>
      <c r="P194" s="57"/>
      <c r="Q194" s="57"/>
      <c r="R194" s="57"/>
      <c r="S194" s="69" t="str">
        <f t="shared" si="1"/>
        <v>-</v>
      </c>
      <c r="T194" s="57" t="str">
        <f>'Kertas Kerja'!$I23</f>
        <v/>
      </c>
      <c r="U194" s="57" t="str">
        <f t="shared" si="2"/>
        <v/>
      </c>
      <c r="V194" s="70">
        <f t="shared" si="3"/>
        <v>0</v>
      </c>
      <c r="W194" s="70">
        <f t="shared" si="4"/>
        <v>0</v>
      </c>
      <c r="X194" s="70"/>
      <c r="Y194" s="5"/>
      <c r="Z194" s="5"/>
    </row>
    <row r="195" ht="15.75" customHeight="1">
      <c r="A195" s="43"/>
      <c r="B195" s="44" t="s">
        <v>17</v>
      </c>
      <c r="C195" s="129" t="s">
        <v>14</v>
      </c>
      <c r="D195" s="53" t="s">
        <v>701</v>
      </c>
      <c r="E195" s="53" t="s">
        <v>1173</v>
      </c>
      <c r="F195" s="48"/>
      <c r="G195" s="48"/>
      <c r="H195" s="48"/>
      <c r="I195" s="48"/>
      <c r="J195" s="48"/>
      <c r="K195" s="50"/>
      <c r="L195" s="50"/>
      <c r="M195" s="48"/>
      <c r="N195" s="43"/>
      <c r="O195" s="43"/>
      <c r="P195" s="43"/>
      <c r="Q195" s="43"/>
      <c r="R195" s="43"/>
      <c r="S195" s="54" t="str">
        <f t="shared" si="1"/>
        <v>-</v>
      </c>
      <c r="T195" s="43" t="str">
        <f>'Kertas Kerja'!$I96</f>
        <v/>
      </c>
      <c r="U195" s="43" t="str">
        <f t="shared" si="2"/>
        <v/>
      </c>
      <c r="V195" s="56">
        <f t="shared" si="3"/>
        <v>0</v>
      </c>
      <c r="W195" s="56">
        <f t="shared" si="4"/>
        <v>0</v>
      </c>
      <c r="X195" s="56"/>
    </row>
    <row r="196" ht="15.75" customHeight="1">
      <c r="A196" s="57" t="s">
        <v>54</v>
      </c>
      <c r="B196" s="58" t="s">
        <v>17</v>
      </c>
      <c r="C196" s="128" t="s">
        <v>14</v>
      </c>
      <c r="D196" s="74" t="s">
        <v>707</v>
      </c>
      <c r="E196" s="74" t="s">
        <v>1183</v>
      </c>
      <c r="F196" s="68"/>
      <c r="G196" s="68"/>
      <c r="H196" s="68"/>
      <c r="I196" s="68"/>
      <c r="J196" s="68"/>
      <c r="K196" s="67"/>
      <c r="L196" s="67"/>
      <c r="M196" s="68"/>
      <c r="N196" s="57"/>
      <c r="O196" s="57"/>
      <c r="P196" s="57"/>
      <c r="Q196" s="57"/>
      <c r="R196" s="57"/>
      <c r="S196" s="69" t="str">
        <f t="shared" si="1"/>
        <v>-</v>
      </c>
      <c r="T196" s="57" t="str">
        <f>'Kertas Kerja'!$I52</f>
        <v/>
      </c>
      <c r="U196" s="57" t="str">
        <f t="shared" si="2"/>
        <v/>
      </c>
      <c r="V196" s="70">
        <f t="shared" si="3"/>
        <v>0</v>
      </c>
      <c r="W196" s="70">
        <f t="shared" si="4"/>
        <v>0</v>
      </c>
      <c r="X196" s="70"/>
    </row>
    <row r="197" ht="15.75" customHeight="1">
      <c r="A197" s="43"/>
      <c r="B197" s="44" t="s">
        <v>17</v>
      </c>
      <c r="C197" s="129" t="s">
        <v>14</v>
      </c>
      <c r="D197" s="53" t="s">
        <v>712</v>
      </c>
      <c r="E197" s="53" t="s">
        <v>1187</v>
      </c>
      <c r="F197" s="48"/>
      <c r="G197" s="48"/>
      <c r="H197" s="48"/>
      <c r="I197" s="48"/>
      <c r="J197" s="48"/>
      <c r="K197" s="50"/>
      <c r="L197" s="50"/>
      <c r="M197" s="48"/>
      <c r="N197" s="43"/>
      <c r="O197" s="43"/>
      <c r="P197" s="43"/>
      <c r="Q197" s="43"/>
      <c r="R197" s="43"/>
      <c r="S197" s="54" t="str">
        <f t="shared" si="1"/>
        <v>-</v>
      </c>
      <c r="T197" s="43" t="str">
        <f>'Kertas Kerja'!$I82</f>
        <v/>
      </c>
      <c r="U197" s="43" t="str">
        <f t="shared" si="2"/>
        <v/>
      </c>
      <c r="V197" s="56">
        <f t="shared" si="3"/>
        <v>0</v>
      </c>
      <c r="W197" s="56">
        <f t="shared" si="4"/>
        <v>0</v>
      </c>
      <c r="X197" s="56"/>
    </row>
    <row r="198" ht="15.75" customHeight="1">
      <c r="A198" s="57"/>
      <c r="B198" s="58" t="s">
        <v>17</v>
      </c>
      <c r="C198" s="128" t="s">
        <v>14</v>
      </c>
      <c r="D198" s="74" t="s">
        <v>712</v>
      </c>
      <c r="E198" s="74" t="s">
        <v>1190</v>
      </c>
      <c r="F198" s="68"/>
      <c r="G198" s="68"/>
      <c r="H198" s="68"/>
      <c r="I198" s="68"/>
      <c r="J198" s="68"/>
      <c r="K198" s="67"/>
      <c r="L198" s="67"/>
      <c r="M198" s="68"/>
      <c r="N198" s="57"/>
      <c r="O198" s="57"/>
      <c r="P198" s="57"/>
      <c r="Q198" s="57"/>
      <c r="R198" s="57"/>
      <c r="S198" s="69" t="str">
        <f t="shared" si="1"/>
        <v>-</v>
      </c>
      <c r="T198" s="57" t="str">
        <f>'Kertas Kerja'!$I79</f>
        <v/>
      </c>
      <c r="U198" s="57" t="str">
        <f t="shared" si="2"/>
        <v/>
      </c>
      <c r="V198" s="70">
        <f t="shared" si="3"/>
        <v>0</v>
      </c>
      <c r="W198" s="70">
        <f t="shared" si="4"/>
        <v>0</v>
      </c>
      <c r="X198" s="70"/>
    </row>
    <row r="199" ht="15.75" customHeight="1">
      <c r="A199" s="43"/>
      <c r="B199" s="44" t="s">
        <v>17</v>
      </c>
      <c r="C199" s="129" t="s">
        <v>14</v>
      </c>
      <c r="D199" s="53" t="s">
        <v>978</v>
      </c>
      <c r="E199" s="53" t="s">
        <v>1194</v>
      </c>
      <c r="F199" s="48"/>
      <c r="G199" s="48"/>
      <c r="H199" s="48"/>
      <c r="I199" s="48"/>
      <c r="J199" s="48"/>
      <c r="K199" s="50"/>
      <c r="L199" s="50"/>
      <c r="M199" s="48"/>
      <c r="N199" s="43"/>
      <c r="O199" s="43"/>
      <c r="P199" s="43"/>
      <c r="Q199" s="43"/>
      <c r="R199" s="43"/>
      <c r="S199" s="54" t="str">
        <f t="shared" si="1"/>
        <v>-</v>
      </c>
      <c r="T199" s="43" t="str">
        <f>'Kertas Kerja'!$I12</f>
        <v/>
      </c>
      <c r="U199" s="43" t="str">
        <f t="shared" si="2"/>
        <v/>
      </c>
      <c r="V199" s="56">
        <f t="shared" si="3"/>
        <v>0</v>
      </c>
      <c r="W199" s="56">
        <f t="shared" si="4"/>
        <v>0</v>
      </c>
      <c r="X199" s="56"/>
    </row>
    <row r="200" ht="15.75" customHeight="1">
      <c r="A200" s="57"/>
      <c r="B200" s="58" t="s">
        <v>17</v>
      </c>
      <c r="C200" s="128" t="s">
        <v>14</v>
      </c>
      <c r="D200" s="74" t="s">
        <v>715</v>
      </c>
      <c r="E200" s="74" t="s">
        <v>1197</v>
      </c>
      <c r="F200" s="68"/>
      <c r="G200" s="68"/>
      <c r="H200" s="68"/>
      <c r="I200" s="68"/>
      <c r="J200" s="68"/>
      <c r="K200" s="67"/>
      <c r="L200" s="67"/>
      <c r="M200" s="68"/>
      <c r="N200" s="57"/>
      <c r="O200" s="57"/>
      <c r="P200" s="57"/>
      <c r="Q200" s="57"/>
      <c r="R200" s="57"/>
      <c r="S200" s="69" t="str">
        <f t="shared" si="1"/>
        <v>-</v>
      </c>
      <c r="T200" s="57" t="str">
        <f>'Kertas Kerja'!$I16</f>
        <v/>
      </c>
      <c r="U200" s="57" t="str">
        <f t="shared" si="2"/>
        <v/>
      </c>
      <c r="V200" s="70">
        <f t="shared" si="3"/>
        <v>0</v>
      </c>
      <c r="W200" s="70">
        <f t="shared" si="4"/>
        <v>0</v>
      </c>
      <c r="X200" s="70"/>
    </row>
    <row r="201" ht="15.75" customHeight="1">
      <c r="A201" s="43"/>
      <c r="B201" s="44" t="s">
        <v>17</v>
      </c>
      <c r="C201" s="129" t="s">
        <v>14</v>
      </c>
      <c r="D201" s="53" t="s">
        <v>940</v>
      </c>
      <c r="E201" s="53" t="s">
        <v>1204</v>
      </c>
      <c r="F201" s="48"/>
      <c r="G201" s="48"/>
      <c r="H201" s="48"/>
      <c r="I201" s="48"/>
      <c r="J201" s="48"/>
      <c r="K201" s="50"/>
      <c r="L201" s="50"/>
      <c r="M201" s="48"/>
      <c r="N201" s="43"/>
      <c r="O201" s="43"/>
      <c r="P201" s="43"/>
      <c r="Q201" s="43"/>
      <c r="R201" s="43"/>
      <c r="S201" s="54" t="str">
        <f t="shared" si="1"/>
        <v>-</v>
      </c>
      <c r="T201" s="43" t="str">
        <f>'Kertas Kerja'!$I85</f>
        <v/>
      </c>
      <c r="U201" s="43" t="str">
        <f t="shared" si="2"/>
        <v/>
      </c>
      <c r="V201" s="56">
        <f t="shared" si="3"/>
        <v>0</v>
      </c>
      <c r="W201" s="56">
        <f t="shared" si="4"/>
        <v>0</v>
      </c>
      <c r="X201" s="56"/>
    </row>
    <row r="202" ht="15.75" customHeight="1">
      <c r="A202" s="57"/>
      <c r="B202" s="58" t="s">
        <v>17</v>
      </c>
      <c r="C202" s="128" t="s">
        <v>14</v>
      </c>
      <c r="D202" s="74" t="s">
        <v>940</v>
      </c>
      <c r="E202" s="74" t="s">
        <v>1208</v>
      </c>
      <c r="F202" s="68"/>
      <c r="G202" s="68"/>
      <c r="H202" s="68"/>
      <c r="I202" s="68"/>
      <c r="J202" s="68"/>
      <c r="K202" s="67"/>
      <c r="L202" s="67"/>
      <c r="M202" s="68"/>
      <c r="N202" s="57"/>
      <c r="O202" s="57"/>
      <c r="P202" s="57"/>
      <c r="Q202" s="57"/>
      <c r="R202" s="57"/>
      <c r="S202" s="69" t="str">
        <f t="shared" si="1"/>
        <v>-</v>
      </c>
      <c r="T202" s="57" t="str">
        <f>'Kertas Kerja'!$I86</f>
        <v/>
      </c>
      <c r="U202" s="57" t="str">
        <f t="shared" si="2"/>
        <v/>
      </c>
      <c r="V202" s="70">
        <f t="shared" si="3"/>
        <v>0</v>
      </c>
      <c r="W202" s="70">
        <f t="shared" si="4"/>
        <v>0</v>
      </c>
      <c r="X202" s="70"/>
    </row>
    <row r="203" ht="15.75" customHeight="1">
      <c r="A203" s="43" t="s">
        <v>54</v>
      </c>
      <c r="B203" s="44" t="s">
        <v>17</v>
      </c>
      <c r="C203" s="129" t="s">
        <v>14</v>
      </c>
      <c r="D203" s="53" t="s">
        <v>707</v>
      </c>
      <c r="E203" s="53" t="s">
        <v>1210</v>
      </c>
      <c r="F203" s="48"/>
      <c r="G203" s="48"/>
      <c r="H203" s="48"/>
      <c r="I203" s="48"/>
      <c r="J203" s="48"/>
      <c r="K203" s="50"/>
      <c r="L203" s="50"/>
      <c r="M203" s="48"/>
      <c r="N203" s="43"/>
      <c r="O203" s="43"/>
      <c r="P203" s="43"/>
      <c r="Q203" s="43"/>
      <c r="R203" s="43"/>
      <c r="S203" s="54" t="str">
        <f t="shared" si="1"/>
        <v>-</v>
      </c>
      <c r="T203" s="43" t="str">
        <f>'Kertas Kerja'!$I48</f>
        <v/>
      </c>
      <c r="U203" s="43" t="str">
        <f t="shared" si="2"/>
        <v/>
      </c>
      <c r="V203" s="56">
        <f t="shared" si="3"/>
        <v>0</v>
      </c>
      <c r="W203" s="56">
        <f t="shared" si="4"/>
        <v>0</v>
      </c>
      <c r="X203" s="56"/>
      <c r="Y203" s="5"/>
      <c r="Z203" s="5"/>
    </row>
    <row r="204" ht="15.75" customHeight="1">
      <c r="A204" s="57"/>
      <c r="B204" s="58" t="s">
        <v>17</v>
      </c>
      <c r="C204" s="128" t="s">
        <v>14</v>
      </c>
      <c r="D204" s="74" t="s">
        <v>707</v>
      </c>
      <c r="E204" s="74" t="s">
        <v>1212</v>
      </c>
      <c r="F204" s="68"/>
      <c r="G204" s="68"/>
      <c r="H204" s="68"/>
      <c r="I204" s="68"/>
      <c r="J204" s="68"/>
      <c r="K204" s="67"/>
      <c r="L204" s="67"/>
      <c r="M204" s="68"/>
      <c r="N204" s="57"/>
      <c r="O204" s="57"/>
      <c r="P204" s="57"/>
      <c r="Q204" s="57"/>
      <c r="R204" s="57"/>
      <c r="S204" s="69" t="str">
        <f t="shared" si="1"/>
        <v>-</v>
      </c>
      <c r="T204" s="57" t="str">
        <f>'Kertas Kerja'!$I58</f>
        <v/>
      </c>
      <c r="U204" s="57" t="str">
        <f t="shared" si="2"/>
        <v/>
      </c>
      <c r="V204" s="70">
        <f t="shared" si="3"/>
        <v>0</v>
      </c>
      <c r="W204" s="70">
        <f t="shared" si="4"/>
        <v>0</v>
      </c>
      <c r="X204" s="70"/>
    </row>
    <row r="205" ht="15.75" customHeight="1">
      <c r="A205" s="43"/>
      <c r="B205" s="44" t="s">
        <v>17</v>
      </c>
      <c r="C205" s="129" t="s">
        <v>14</v>
      </c>
      <c r="D205" s="53" t="s">
        <v>940</v>
      </c>
      <c r="E205" s="53" t="s">
        <v>1221</v>
      </c>
      <c r="F205" s="48"/>
      <c r="G205" s="48"/>
      <c r="H205" s="48"/>
      <c r="I205" s="48"/>
      <c r="J205" s="48"/>
      <c r="K205" s="50"/>
      <c r="L205" s="50"/>
      <c r="M205" s="48"/>
      <c r="N205" s="43"/>
      <c r="O205" s="43"/>
      <c r="P205" s="43"/>
      <c r="Q205" s="43"/>
      <c r="R205" s="43"/>
      <c r="S205" s="54" t="str">
        <f t="shared" si="1"/>
        <v>-</v>
      </c>
      <c r="T205" s="43" t="str">
        <f>'Kertas Kerja'!$I87</f>
        <v/>
      </c>
      <c r="U205" s="43" t="str">
        <f t="shared" si="2"/>
        <v/>
      </c>
      <c r="V205" s="56">
        <f t="shared" si="3"/>
        <v>0</v>
      </c>
      <c r="W205" s="56">
        <f t="shared" si="4"/>
        <v>0</v>
      </c>
      <c r="X205" s="56"/>
    </row>
    <row r="206" ht="15.75" customHeight="1">
      <c r="A206" s="57"/>
      <c r="B206" s="58" t="s">
        <v>17</v>
      </c>
      <c r="C206" s="128" t="s">
        <v>14</v>
      </c>
      <c r="D206" s="74" t="s">
        <v>940</v>
      </c>
      <c r="E206" s="74" t="s">
        <v>1229</v>
      </c>
      <c r="F206" s="68"/>
      <c r="G206" s="68"/>
      <c r="H206" s="68"/>
      <c r="I206" s="68"/>
      <c r="J206" s="68"/>
      <c r="K206" s="67"/>
      <c r="L206" s="67"/>
      <c r="M206" s="68"/>
      <c r="N206" s="57"/>
      <c r="O206" s="57"/>
      <c r="P206" s="57"/>
      <c r="Q206" s="57"/>
      <c r="R206" s="57"/>
      <c r="S206" s="69" t="str">
        <f t="shared" si="1"/>
        <v>-</v>
      </c>
      <c r="T206" s="57" t="str">
        <f>'Kertas Kerja'!$I88</f>
        <v/>
      </c>
      <c r="U206" s="57" t="str">
        <f t="shared" si="2"/>
        <v/>
      </c>
      <c r="V206" s="70">
        <f t="shared" si="3"/>
        <v>0</v>
      </c>
      <c r="W206" s="70">
        <f t="shared" si="4"/>
        <v>0</v>
      </c>
      <c r="X206" s="70"/>
    </row>
    <row r="207" ht="15.75" customHeight="1">
      <c r="A207" s="43"/>
      <c r="B207" s="44" t="s">
        <v>17</v>
      </c>
      <c r="C207" s="129" t="s">
        <v>14</v>
      </c>
      <c r="D207" s="53" t="s">
        <v>701</v>
      </c>
      <c r="E207" s="53" t="s">
        <v>1236</v>
      </c>
      <c r="F207" s="48"/>
      <c r="G207" s="48"/>
      <c r="H207" s="48"/>
      <c r="I207" s="48"/>
      <c r="J207" s="48"/>
      <c r="K207" s="50"/>
      <c r="L207" s="50"/>
      <c r="M207" s="48"/>
      <c r="N207" s="43"/>
      <c r="O207" s="43"/>
      <c r="P207" s="43"/>
      <c r="Q207" s="43"/>
      <c r="R207" s="43"/>
      <c r="S207" s="54" t="str">
        <f t="shared" si="1"/>
        <v>-</v>
      </c>
      <c r="T207" s="43" t="str">
        <f>'Kertas Kerja'!$I108</f>
        <v/>
      </c>
      <c r="U207" s="43" t="str">
        <f t="shared" si="2"/>
        <v/>
      </c>
      <c r="V207" s="56">
        <f t="shared" si="3"/>
        <v>0</v>
      </c>
      <c r="W207" s="56">
        <f t="shared" si="4"/>
        <v>0</v>
      </c>
      <c r="X207" s="56"/>
    </row>
    <row r="208" ht="15.75" customHeight="1">
      <c r="A208" s="57"/>
      <c r="B208" s="58" t="s">
        <v>17</v>
      </c>
      <c r="C208" s="128" t="s">
        <v>14</v>
      </c>
      <c r="D208" s="74" t="s">
        <v>978</v>
      </c>
      <c r="E208" s="74" t="s">
        <v>1239</v>
      </c>
      <c r="F208" s="68"/>
      <c r="G208" s="68"/>
      <c r="H208" s="68"/>
      <c r="I208" s="68"/>
      <c r="J208" s="68"/>
      <c r="K208" s="67"/>
      <c r="L208" s="67"/>
      <c r="M208" s="68"/>
      <c r="N208" s="57"/>
      <c r="O208" s="57"/>
      <c r="P208" s="57"/>
      <c r="Q208" s="57"/>
      <c r="R208" s="57"/>
      <c r="S208" s="69" t="str">
        <f t="shared" si="1"/>
        <v>-</v>
      </c>
      <c r="T208" s="57" t="str">
        <f>'Kertas Kerja'!$I9</f>
        <v/>
      </c>
      <c r="U208" s="57" t="str">
        <f t="shared" si="2"/>
        <v/>
      </c>
      <c r="V208" s="70">
        <f t="shared" si="3"/>
        <v>0</v>
      </c>
      <c r="W208" s="70">
        <f t="shared" si="4"/>
        <v>0</v>
      </c>
      <c r="X208" s="70"/>
      <c r="Y208" s="5"/>
      <c r="Z208" s="5"/>
    </row>
    <row r="209" ht="15.75" customHeight="1">
      <c r="A209" s="43"/>
      <c r="B209" s="44" t="s">
        <v>17</v>
      </c>
      <c r="C209" s="129" t="s">
        <v>14</v>
      </c>
      <c r="D209" s="53" t="s">
        <v>701</v>
      </c>
      <c r="E209" s="53" t="s">
        <v>1240</v>
      </c>
      <c r="F209" s="48"/>
      <c r="G209" s="48"/>
      <c r="H209" s="48"/>
      <c r="I209" s="48"/>
      <c r="J209" s="48"/>
      <c r="K209" s="50"/>
      <c r="L209" s="50"/>
      <c r="M209" s="48"/>
      <c r="N209" s="43"/>
      <c r="O209" s="43"/>
      <c r="P209" s="43"/>
      <c r="Q209" s="43"/>
      <c r="R209" s="43"/>
      <c r="S209" s="54" t="str">
        <f t="shared" si="1"/>
        <v>-</v>
      </c>
      <c r="T209" s="43" t="str">
        <f>'Kertas Kerja'!$I116</f>
        <v/>
      </c>
      <c r="U209" s="43" t="str">
        <f t="shared" si="2"/>
        <v/>
      </c>
      <c r="V209" s="56">
        <f t="shared" si="3"/>
        <v>0</v>
      </c>
      <c r="W209" s="56">
        <f t="shared" si="4"/>
        <v>0</v>
      </c>
      <c r="X209" s="56"/>
    </row>
    <row r="210" ht="15.75" customHeight="1">
      <c r="A210" s="57"/>
      <c r="B210" s="58" t="s">
        <v>17</v>
      </c>
      <c r="C210" s="128" t="s">
        <v>48</v>
      </c>
      <c r="D210" s="74" t="s">
        <v>1241</v>
      </c>
      <c r="E210" s="74" t="s">
        <v>1242</v>
      </c>
      <c r="F210" s="68"/>
      <c r="G210" s="68"/>
      <c r="H210" s="68"/>
      <c r="I210" s="68"/>
      <c r="J210" s="68"/>
      <c r="K210" s="67"/>
      <c r="L210" s="67"/>
      <c r="M210" s="68"/>
      <c r="N210" s="57"/>
      <c r="O210" s="57"/>
      <c r="P210" s="57"/>
      <c r="Q210" s="57"/>
      <c r="R210" s="57"/>
      <c r="S210" s="69" t="str">
        <f t="shared" si="1"/>
        <v>-</v>
      </c>
      <c r="T210" s="57" t="str">
        <f>'Kertas Kerja'!$I162</f>
        <v/>
      </c>
      <c r="U210" s="57" t="str">
        <f t="shared" si="2"/>
        <v/>
      </c>
      <c r="V210" s="70">
        <f t="shared" si="3"/>
        <v>0</v>
      </c>
      <c r="W210" s="70">
        <f t="shared" si="4"/>
        <v>0</v>
      </c>
      <c r="X210" s="70"/>
    </row>
    <row r="211" ht="15.75" customHeight="1">
      <c r="A211" s="43" t="s">
        <v>54</v>
      </c>
      <c r="B211" s="44" t="s">
        <v>17</v>
      </c>
      <c r="C211" s="52" t="s">
        <v>48</v>
      </c>
      <c r="D211" s="53" t="s">
        <v>1243</v>
      </c>
      <c r="E211" s="53" t="s">
        <v>1244</v>
      </c>
      <c r="F211" s="48"/>
      <c r="G211" s="48"/>
      <c r="H211" s="48"/>
      <c r="I211" s="48"/>
      <c r="J211" s="48"/>
      <c r="K211" s="50"/>
      <c r="L211" s="50"/>
      <c r="M211" s="48"/>
      <c r="N211" s="43"/>
      <c r="O211" s="43"/>
      <c r="P211" s="43"/>
      <c r="Q211" s="43"/>
      <c r="R211" s="43"/>
      <c r="S211" s="54" t="str">
        <f t="shared" si="1"/>
        <v>-</v>
      </c>
      <c r="T211" s="43" t="str">
        <f>'Kertas Kerja'!$I143</f>
        <v/>
      </c>
      <c r="U211" s="43" t="str">
        <f t="shared" si="2"/>
        <v/>
      </c>
      <c r="V211" s="56">
        <f t="shared" si="3"/>
        <v>0</v>
      </c>
      <c r="W211" s="56">
        <f t="shared" si="4"/>
        <v>0</v>
      </c>
      <c r="X211" s="56"/>
      <c r="Y211" s="5"/>
      <c r="Z211" s="5"/>
    </row>
    <row r="212" ht="15.75" customHeight="1">
      <c r="A212" s="57" t="s">
        <v>54</v>
      </c>
      <c r="B212" s="58" t="s">
        <v>17</v>
      </c>
      <c r="C212" s="73" t="s">
        <v>1245</v>
      </c>
      <c r="D212" s="74" t="s">
        <v>1246</v>
      </c>
      <c r="E212" s="74" t="s">
        <v>1244</v>
      </c>
      <c r="F212" s="68"/>
      <c r="G212" s="68"/>
      <c r="H212" s="68"/>
      <c r="I212" s="68"/>
      <c r="J212" s="68"/>
      <c r="K212" s="67"/>
      <c r="L212" s="67"/>
      <c r="M212" s="68"/>
      <c r="N212" s="57"/>
      <c r="O212" s="57"/>
      <c r="P212" s="57"/>
      <c r="Q212" s="57"/>
      <c r="R212" s="57"/>
      <c r="S212" s="69" t="str">
        <f t="shared" si="1"/>
        <v>-</v>
      </c>
      <c r="T212" s="57" t="str">
        <f>'Kertas Kerja'!$I165</f>
        <v/>
      </c>
      <c r="U212" s="57" t="str">
        <f t="shared" si="2"/>
        <v/>
      </c>
      <c r="V212" s="70">
        <f t="shared" si="3"/>
        <v>0</v>
      </c>
      <c r="W212" s="70">
        <f t="shared" si="4"/>
        <v>0</v>
      </c>
      <c r="X212" s="70"/>
    </row>
    <row r="213" ht="15.75" customHeight="1">
      <c r="A213" s="43" t="s">
        <v>54</v>
      </c>
      <c r="B213" s="44" t="s">
        <v>17</v>
      </c>
      <c r="C213" s="52" t="s">
        <v>48</v>
      </c>
      <c r="D213" s="53" t="s">
        <v>1247</v>
      </c>
      <c r="E213" s="53" t="s">
        <v>1247</v>
      </c>
      <c r="F213" s="48"/>
      <c r="G213" s="48"/>
      <c r="H213" s="48"/>
      <c r="I213" s="48"/>
      <c r="J213" s="48"/>
      <c r="K213" s="50"/>
      <c r="L213" s="50"/>
      <c r="M213" s="48"/>
      <c r="N213" s="43"/>
      <c r="O213" s="43"/>
      <c r="P213" s="43"/>
      <c r="Q213" s="43"/>
      <c r="R213" s="43"/>
      <c r="S213" s="54" t="str">
        <f t="shared" si="1"/>
        <v>-</v>
      </c>
      <c r="T213" s="43" t="str">
        <f>'Kertas Kerja'!$I161</f>
        <v/>
      </c>
      <c r="U213" s="43" t="str">
        <f t="shared" si="2"/>
        <v/>
      </c>
      <c r="V213" s="56">
        <f t="shared" si="3"/>
        <v>0</v>
      </c>
      <c r="W213" s="56">
        <f t="shared" si="4"/>
        <v>0</v>
      </c>
      <c r="X213" s="56"/>
    </row>
    <row r="214" ht="15.75" customHeight="1">
      <c r="A214" s="57" t="s">
        <v>54</v>
      </c>
      <c r="B214" s="58" t="s">
        <v>17</v>
      </c>
      <c r="C214" s="73" t="s">
        <v>1245</v>
      </c>
      <c r="D214" s="74" t="s">
        <v>1241</v>
      </c>
      <c r="E214" s="74" t="s">
        <v>1248</v>
      </c>
      <c r="F214" s="68"/>
      <c r="G214" s="68"/>
      <c r="H214" s="68"/>
      <c r="I214" s="68"/>
      <c r="J214" s="68"/>
      <c r="K214" s="67"/>
      <c r="L214" s="67"/>
      <c r="M214" s="68"/>
      <c r="N214" s="57"/>
      <c r="O214" s="57"/>
      <c r="P214" s="57"/>
      <c r="Q214" s="57"/>
      <c r="R214" s="57"/>
      <c r="S214" s="69" t="str">
        <f t="shared" si="1"/>
        <v>-</v>
      </c>
      <c r="T214" s="57" t="str">
        <f>'Kertas Kerja'!$I163</f>
        <v/>
      </c>
      <c r="U214" s="57" t="str">
        <f t="shared" si="2"/>
        <v/>
      </c>
      <c r="V214" s="70">
        <f t="shared" si="3"/>
        <v>0</v>
      </c>
      <c r="W214" s="70">
        <f t="shared" si="4"/>
        <v>0</v>
      </c>
      <c r="X214" s="70"/>
    </row>
    <row r="215" ht="15.75" customHeight="1">
      <c r="A215" s="43" t="s">
        <v>54</v>
      </c>
      <c r="B215" s="44" t="s">
        <v>17</v>
      </c>
      <c r="C215" s="52" t="s">
        <v>48</v>
      </c>
      <c r="D215" s="53" t="s">
        <v>1249</v>
      </c>
      <c r="E215" s="53" t="s">
        <v>1250</v>
      </c>
      <c r="F215" s="48"/>
      <c r="G215" s="48"/>
      <c r="H215" s="48"/>
      <c r="I215" s="48"/>
      <c r="J215" s="48"/>
      <c r="K215" s="50"/>
      <c r="L215" s="50"/>
      <c r="M215" s="48"/>
      <c r="N215" s="43"/>
      <c r="O215" s="43"/>
      <c r="P215" s="43"/>
      <c r="Q215" s="43"/>
      <c r="R215" s="43"/>
      <c r="S215" s="54" t="str">
        <f t="shared" si="1"/>
        <v>-</v>
      </c>
      <c r="T215" s="43" t="str">
        <f>'Kertas Kerja'!$I154</f>
        <v/>
      </c>
      <c r="U215" s="43" t="str">
        <f t="shared" si="2"/>
        <v/>
      </c>
      <c r="V215" s="56">
        <f t="shared" si="3"/>
        <v>0</v>
      </c>
      <c r="W215" s="56">
        <f t="shared" si="4"/>
        <v>0</v>
      </c>
      <c r="X215" s="56"/>
      <c r="Y215" s="5"/>
      <c r="Z215" s="5"/>
    </row>
    <row r="216" ht="15.75" customHeight="1">
      <c r="A216" s="57" t="s">
        <v>54</v>
      </c>
      <c r="B216" s="58" t="s">
        <v>17</v>
      </c>
      <c r="C216" s="73" t="s">
        <v>48</v>
      </c>
      <c r="D216" s="74" t="s">
        <v>1249</v>
      </c>
      <c r="E216" s="74" t="s">
        <v>1251</v>
      </c>
      <c r="F216" s="68"/>
      <c r="G216" s="68"/>
      <c r="H216" s="68"/>
      <c r="I216" s="68"/>
      <c r="J216" s="68"/>
      <c r="K216" s="67"/>
      <c r="L216" s="67"/>
      <c r="M216" s="68"/>
      <c r="N216" s="57"/>
      <c r="O216" s="57"/>
      <c r="P216" s="57"/>
      <c r="Q216" s="57"/>
      <c r="R216" s="57"/>
      <c r="S216" s="69" t="str">
        <f t="shared" si="1"/>
        <v>-</v>
      </c>
      <c r="T216" s="57" t="str">
        <f>'Kertas Kerja'!$I155</f>
        <v/>
      </c>
      <c r="U216" s="57" t="str">
        <f t="shared" si="2"/>
        <v/>
      </c>
      <c r="V216" s="70">
        <f t="shared" si="3"/>
        <v>0</v>
      </c>
      <c r="W216" s="70">
        <f t="shared" si="4"/>
        <v>0</v>
      </c>
      <c r="X216" s="70"/>
    </row>
    <row r="217" ht="15.75" customHeight="1">
      <c r="A217" s="43" t="s">
        <v>54</v>
      </c>
      <c r="B217" s="44" t="s">
        <v>17</v>
      </c>
      <c r="C217" s="52" t="s">
        <v>48</v>
      </c>
      <c r="D217" s="53" t="s">
        <v>1252</v>
      </c>
      <c r="E217" s="53" t="s">
        <v>1253</v>
      </c>
      <c r="F217" s="48"/>
      <c r="G217" s="48"/>
      <c r="H217" s="48"/>
      <c r="I217" s="48"/>
      <c r="J217" s="48"/>
      <c r="K217" s="50"/>
      <c r="L217" s="50"/>
      <c r="M217" s="48"/>
      <c r="N217" s="43"/>
      <c r="O217" s="43"/>
      <c r="P217" s="43"/>
      <c r="Q217" s="43"/>
      <c r="R217" s="43"/>
      <c r="S217" s="54" t="str">
        <f t="shared" si="1"/>
        <v>-</v>
      </c>
      <c r="T217" s="43" t="str">
        <f>'Kertas Kerja'!$I147</f>
        <v/>
      </c>
      <c r="U217" s="43" t="str">
        <f t="shared" si="2"/>
        <v/>
      </c>
      <c r="V217" s="56">
        <f t="shared" si="3"/>
        <v>0</v>
      </c>
      <c r="W217" s="56">
        <f t="shared" si="4"/>
        <v>0</v>
      </c>
      <c r="X217" s="56"/>
    </row>
    <row r="218" ht="15.75" customHeight="1">
      <c r="A218" s="57" t="s">
        <v>54</v>
      </c>
      <c r="B218" s="58" t="s">
        <v>17</v>
      </c>
      <c r="C218" s="73" t="s">
        <v>48</v>
      </c>
      <c r="D218" s="74" t="s">
        <v>1252</v>
      </c>
      <c r="E218" s="74" t="s">
        <v>1254</v>
      </c>
      <c r="F218" s="68"/>
      <c r="G218" s="68"/>
      <c r="H218" s="68"/>
      <c r="I218" s="68"/>
      <c r="J218" s="68"/>
      <c r="K218" s="67"/>
      <c r="L218" s="67"/>
      <c r="M218" s="68"/>
      <c r="N218" s="57"/>
      <c r="O218" s="57"/>
      <c r="P218" s="57"/>
      <c r="Q218" s="57"/>
      <c r="R218" s="57"/>
      <c r="S218" s="69" t="str">
        <f t="shared" si="1"/>
        <v>-</v>
      </c>
      <c r="T218" s="57" t="str">
        <f>'Kertas Kerja'!$I148</f>
        <v/>
      </c>
      <c r="U218" s="57" t="str">
        <f t="shared" si="2"/>
        <v/>
      </c>
      <c r="V218" s="70">
        <f t="shared" si="3"/>
        <v>0</v>
      </c>
      <c r="W218" s="70">
        <f t="shared" si="4"/>
        <v>0</v>
      </c>
      <c r="X218" s="70"/>
    </row>
    <row r="219" ht="15.75" customHeight="1">
      <c r="A219" s="43" t="s">
        <v>54</v>
      </c>
      <c r="B219" s="44" t="s">
        <v>17</v>
      </c>
      <c r="C219" s="52" t="s">
        <v>1245</v>
      </c>
      <c r="D219" s="53" t="s">
        <v>553</v>
      </c>
      <c r="E219" s="53" t="s">
        <v>553</v>
      </c>
      <c r="F219" s="48"/>
      <c r="G219" s="48"/>
      <c r="H219" s="48"/>
      <c r="I219" s="48"/>
      <c r="J219" s="48"/>
      <c r="K219" s="50"/>
      <c r="L219" s="50"/>
      <c r="M219" s="48"/>
      <c r="N219" s="43"/>
      <c r="O219" s="43"/>
      <c r="P219" s="43"/>
      <c r="Q219" s="43"/>
      <c r="R219" s="43"/>
      <c r="S219" s="54" t="str">
        <f t="shared" si="1"/>
        <v>-</v>
      </c>
      <c r="T219" s="43" t="str">
        <f>'Kertas Kerja'!$I164</f>
        <v/>
      </c>
      <c r="U219" s="43" t="str">
        <f t="shared" si="2"/>
        <v/>
      </c>
      <c r="V219" s="56">
        <f t="shared" si="3"/>
        <v>0</v>
      </c>
      <c r="W219" s="56">
        <f t="shared" si="4"/>
        <v>0</v>
      </c>
      <c r="X219" s="56"/>
    </row>
    <row r="220" ht="15.75" customHeight="1">
      <c r="A220" s="57" t="s">
        <v>54</v>
      </c>
      <c r="B220" s="58" t="s">
        <v>17</v>
      </c>
      <c r="C220" s="73" t="s">
        <v>48</v>
      </c>
      <c r="D220" s="74" t="s">
        <v>1243</v>
      </c>
      <c r="E220" s="74" t="s">
        <v>1255</v>
      </c>
      <c r="F220" s="68"/>
      <c r="G220" s="68"/>
      <c r="H220" s="68"/>
      <c r="I220" s="68"/>
      <c r="J220" s="68"/>
      <c r="K220" s="67"/>
      <c r="L220" s="67"/>
      <c r="M220" s="68"/>
      <c r="N220" s="57"/>
      <c r="O220" s="57"/>
      <c r="P220" s="57"/>
      <c r="Q220" s="57"/>
      <c r="R220" s="57"/>
      <c r="S220" s="69" t="str">
        <f t="shared" si="1"/>
        <v>-</v>
      </c>
      <c r="T220" s="57" t="str">
        <f>'Kertas Kerja'!$I144</f>
        <v/>
      </c>
      <c r="U220" s="57" t="str">
        <f t="shared" si="2"/>
        <v/>
      </c>
      <c r="V220" s="70">
        <f t="shared" si="3"/>
        <v>0</v>
      </c>
      <c r="W220" s="70">
        <f t="shared" si="4"/>
        <v>0</v>
      </c>
      <c r="X220" s="70"/>
      <c r="Y220" s="5"/>
      <c r="Z220" s="5"/>
    </row>
    <row r="221" ht="15.75" customHeight="1">
      <c r="A221" s="43" t="s">
        <v>54</v>
      </c>
      <c r="B221" s="44" t="s">
        <v>17</v>
      </c>
      <c r="C221" s="52" t="s">
        <v>1245</v>
      </c>
      <c r="D221" s="53" t="s">
        <v>1246</v>
      </c>
      <c r="E221" s="53" t="s">
        <v>1255</v>
      </c>
      <c r="F221" s="48"/>
      <c r="G221" s="48"/>
      <c r="H221" s="48"/>
      <c r="I221" s="48"/>
      <c r="J221" s="48"/>
      <c r="K221" s="50"/>
      <c r="L221" s="50"/>
      <c r="M221" s="48"/>
      <c r="N221" s="43"/>
      <c r="O221" s="43"/>
      <c r="P221" s="43"/>
      <c r="Q221" s="43"/>
      <c r="R221" s="43"/>
      <c r="S221" s="54" t="str">
        <f t="shared" si="1"/>
        <v>-</v>
      </c>
      <c r="T221" s="43" t="str">
        <f>'Kertas Kerja'!$I166</f>
        <v/>
      </c>
      <c r="U221" s="43" t="str">
        <f t="shared" si="2"/>
        <v/>
      </c>
      <c r="V221" s="56">
        <f t="shared" si="3"/>
        <v>0</v>
      </c>
      <c r="W221" s="56">
        <f t="shared" si="4"/>
        <v>0</v>
      </c>
      <c r="X221" s="56"/>
    </row>
    <row r="222" ht="15.75" customHeight="1">
      <c r="A222" s="57" t="s">
        <v>54</v>
      </c>
      <c r="B222" s="58" t="s">
        <v>17</v>
      </c>
      <c r="C222" s="73" t="s">
        <v>48</v>
      </c>
      <c r="D222" s="74" t="s">
        <v>1243</v>
      </c>
      <c r="E222" s="74" t="s">
        <v>1256</v>
      </c>
      <c r="F222" s="68"/>
      <c r="G222" s="68"/>
      <c r="H222" s="68"/>
      <c r="I222" s="68"/>
      <c r="J222" s="68"/>
      <c r="K222" s="67"/>
      <c r="L222" s="67"/>
      <c r="M222" s="68"/>
      <c r="N222" s="57"/>
      <c r="O222" s="57"/>
      <c r="P222" s="57"/>
      <c r="Q222" s="57"/>
      <c r="R222" s="57"/>
      <c r="S222" s="69" t="str">
        <f t="shared" si="1"/>
        <v>-</v>
      </c>
      <c r="T222" s="57" t="str">
        <f>'Kertas Kerja'!$I145</f>
        <v/>
      </c>
      <c r="U222" s="57" t="str">
        <f t="shared" si="2"/>
        <v/>
      </c>
      <c r="V222" s="70">
        <f t="shared" si="3"/>
        <v>0</v>
      </c>
      <c r="W222" s="70">
        <f t="shared" si="4"/>
        <v>0</v>
      </c>
      <c r="X222" s="70"/>
    </row>
    <row r="223" ht="15.75" customHeight="1">
      <c r="A223" s="43" t="s">
        <v>54</v>
      </c>
      <c r="B223" s="44" t="s">
        <v>17</v>
      </c>
      <c r="C223" s="52" t="s">
        <v>1245</v>
      </c>
      <c r="D223" s="53" t="s">
        <v>1246</v>
      </c>
      <c r="E223" s="53" t="s">
        <v>1256</v>
      </c>
      <c r="F223" s="48"/>
      <c r="G223" s="48"/>
      <c r="H223" s="48"/>
      <c r="I223" s="48"/>
      <c r="J223" s="48"/>
      <c r="K223" s="50"/>
      <c r="L223" s="50"/>
      <c r="M223" s="48"/>
      <c r="N223" s="43"/>
      <c r="O223" s="43"/>
      <c r="P223" s="43"/>
      <c r="Q223" s="43"/>
      <c r="R223" s="43"/>
      <c r="S223" s="54" t="str">
        <f t="shared" si="1"/>
        <v>-</v>
      </c>
      <c r="T223" s="43" t="str">
        <f>'Kertas Kerja'!$I167</f>
        <v/>
      </c>
      <c r="U223" s="43" t="str">
        <f t="shared" si="2"/>
        <v/>
      </c>
      <c r="V223" s="56">
        <f t="shared" si="3"/>
        <v>0</v>
      </c>
      <c r="W223" s="56">
        <f t="shared" si="4"/>
        <v>0</v>
      </c>
      <c r="X223" s="56"/>
    </row>
    <row r="224" ht="15.75" customHeight="1">
      <c r="A224" s="57" t="s">
        <v>54</v>
      </c>
      <c r="B224" s="58" t="s">
        <v>17</v>
      </c>
      <c r="C224" s="73" t="s">
        <v>48</v>
      </c>
      <c r="D224" s="74" t="s">
        <v>1243</v>
      </c>
      <c r="E224" s="74" t="s">
        <v>1257</v>
      </c>
      <c r="F224" s="68"/>
      <c r="G224" s="68"/>
      <c r="H224" s="68"/>
      <c r="I224" s="68"/>
      <c r="J224" s="68"/>
      <c r="K224" s="67"/>
      <c r="L224" s="67"/>
      <c r="M224" s="68"/>
      <c r="N224" s="57"/>
      <c r="O224" s="57"/>
      <c r="P224" s="57"/>
      <c r="Q224" s="57"/>
      <c r="R224" s="57"/>
      <c r="S224" s="69" t="str">
        <f t="shared" si="1"/>
        <v>-</v>
      </c>
      <c r="T224" s="57" t="str">
        <f>'Kertas Kerja'!$I146</f>
        <v/>
      </c>
      <c r="U224" s="57" t="str">
        <f t="shared" si="2"/>
        <v/>
      </c>
      <c r="V224" s="70">
        <f t="shared" si="3"/>
        <v>0</v>
      </c>
      <c r="W224" s="70">
        <f t="shared" si="4"/>
        <v>0</v>
      </c>
      <c r="X224" s="70"/>
    </row>
    <row r="225" ht="15.75" customHeight="1">
      <c r="A225" s="43" t="s">
        <v>54</v>
      </c>
      <c r="B225" s="44" t="s">
        <v>17</v>
      </c>
      <c r="C225" s="52" t="s">
        <v>1245</v>
      </c>
      <c r="D225" s="53" t="s">
        <v>1246</v>
      </c>
      <c r="E225" s="53" t="s">
        <v>1257</v>
      </c>
      <c r="F225" s="48"/>
      <c r="G225" s="48"/>
      <c r="H225" s="48"/>
      <c r="I225" s="48"/>
      <c r="J225" s="48"/>
      <c r="K225" s="50"/>
      <c r="L225" s="50"/>
      <c r="M225" s="48"/>
      <c r="N225" s="43"/>
      <c r="O225" s="43"/>
      <c r="P225" s="43"/>
      <c r="Q225" s="43"/>
      <c r="R225" s="43"/>
      <c r="S225" s="54" t="str">
        <f t="shared" si="1"/>
        <v>-</v>
      </c>
      <c r="T225" s="43" t="str">
        <f>'Kertas Kerja'!$I168</f>
        <v/>
      </c>
      <c r="U225" s="43" t="str">
        <f t="shared" si="2"/>
        <v/>
      </c>
      <c r="V225" s="56">
        <f t="shared" si="3"/>
        <v>0</v>
      </c>
      <c r="W225" s="56">
        <f t="shared" si="4"/>
        <v>0</v>
      </c>
      <c r="X225" s="56"/>
    </row>
    <row r="226" ht="15.75" customHeight="1">
      <c r="A226" s="57" t="s">
        <v>54</v>
      </c>
      <c r="B226" s="58" t="s">
        <v>17</v>
      </c>
      <c r="C226" s="73" t="s">
        <v>48</v>
      </c>
      <c r="D226" s="74" t="s">
        <v>1258</v>
      </c>
      <c r="E226" s="74" t="s">
        <v>1259</v>
      </c>
      <c r="F226" s="68"/>
      <c r="G226" s="68"/>
      <c r="H226" s="68"/>
      <c r="I226" s="68"/>
      <c r="J226" s="68"/>
      <c r="K226" s="67"/>
      <c r="L226" s="67"/>
      <c r="M226" s="68"/>
      <c r="N226" s="57"/>
      <c r="O226" s="57"/>
      <c r="P226" s="57"/>
      <c r="Q226" s="57"/>
      <c r="R226" s="57"/>
      <c r="S226" s="69" t="str">
        <f t="shared" si="1"/>
        <v>-</v>
      </c>
      <c r="T226" s="57" t="str">
        <f>'Kertas Kerja'!$I151</f>
        <v/>
      </c>
      <c r="U226" s="57" t="str">
        <f t="shared" si="2"/>
        <v/>
      </c>
      <c r="V226" s="70">
        <f t="shared" si="3"/>
        <v>0</v>
      </c>
      <c r="W226" s="70">
        <f t="shared" si="4"/>
        <v>0</v>
      </c>
      <c r="X226" s="70"/>
    </row>
    <row r="227" ht="15.75" customHeight="1">
      <c r="A227" s="43" t="s">
        <v>54</v>
      </c>
      <c r="B227" s="44" t="s">
        <v>17</v>
      </c>
      <c r="C227" s="52" t="s">
        <v>48</v>
      </c>
      <c r="D227" s="53" t="s">
        <v>1260</v>
      </c>
      <c r="E227" s="53" t="s">
        <v>1261</v>
      </c>
      <c r="F227" s="48"/>
      <c r="G227" s="48"/>
      <c r="H227" s="48"/>
      <c r="I227" s="48"/>
      <c r="J227" s="48"/>
      <c r="K227" s="50"/>
      <c r="L227" s="50"/>
      <c r="M227" s="48"/>
      <c r="N227" s="43"/>
      <c r="O227" s="43"/>
      <c r="P227" s="43"/>
      <c r="Q227" s="43"/>
      <c r="R227" s="43"/>
      <c r="S227" s="54" t="str">
        <f t="shared" si="1"/>
        <v>-</v>
      </c>
      <c r="T227" s="43" t="str">
        <f>'Kertas Kerja'!$I160</f>
        <v/>
      </c>
      <c r="U227" s="43" t="str">
        <f t="shared" si="2"/>
        <v/>
      </c>
      <c r="V227" s="56">
        <f t="shared" si="3"/>
        <v>0</v>
      </c>
      <c r="W227" s="56">
        <f t="shared" si="4"/>
        <v>0</v>
      </c>
      <c r="X227" s="56"/>
    </row>
    <row r="228" ht="15.75" customHeight="1">
      <c r="A228" s="57" t="s">
        <v>54</v>
      </c>
      <c r="B228" s="58" t="s">
        <v>17</v>
      </c>
      <c r="C228" s="73" t="s">
        <v>48</v>
      </c>
      <c r="D228" s="74" t="s">
        <v>1249</v>
      </c>
      <c r="E228" s="74" t="s">
        <v>1262</v>
      </c>
      <c r="F228" s="68"/>
      <c r="G228" s="68"/>
      <c r="H228" s="68"/>
      <c r="I228" s="68"/>
      <c r="J228" s="68"/>
      <c r="K228" s="67"/>
      <c r="L228" s="67"/>
      <c r="M228" s="68"/>
      <c r="N228" s="57"/>
      <c r="O228" s="57"/>
      <c r="P228" s="57"/>
      <c r="Q228" s="57"/>
      <c r="R228" s="57"/>
      <c r="S228" s="69" t="str">
        <f t="shared" si="1"/>
        <v>-</v>
      </c>
      <c r="T228" s="57" t="str">
        <f>'Kertas Kerja'!$I156</f>
        <v/>
      </c>
      <c r="U228" s="57" t="str">
        <f t="shared" si="2"/>
        <v/>
      </c>
      <c r="V228" s="70">
        <f t="shared" si="3"/>
        <v>0</v>
      </c>
      <c r="W228" s="70">
        <f t="shared" si="4"/>
        <v>0</v>
      </c>
      <c r="X228" s="70"/>
    </row>
    <row r="229" ht="15.75" customHeight="1">
      <c r="A229" s="43" t="s">
        <v>54</v>
      </c>
      <c r="B229" s="44" t="s">
        <v>17</v>
      </c>
      <c r="C229" s="52" t="s">
        <v>48</v>
      </c>
      <c r="D229" s="53" t="s">
        <v>1249</v>
      </c>
      <c r="E229" s="53" t="s">
        <v>1263</v>
      </c>
      <c r="F229" s="48"/>
      <c r="G229" s="48"/>
      <c r="H229" s="48"/>
      <c r="I229" s="48"/>
      <c r="J229" s="48"/>
      <c r="K229" s="50"/>
      <c r="L229" s="50"/>
      <c r="M229" s="48"/>
      <c r="N229" s="43"/>
      <c r="O229" s="43"/>
      <c r="P229" s="43"/>
      <c r="Q229" s="43"/>
      <c r="R229" s="43"/>
      <c r="S229" s="54" t="str">
        <f t="shared" si="1"/>
        <v>-</v>
      </c>
      <c r="T229" s="43" t="str">
        <f>'Kertas Kerja'!$I157</f>
        <v/>
      </c>
      <c r="U229" s="43" t="str">
        <f t="shared" si="2"/>
        <v/>
      </c>
      <c r="V229" s="56">
        <f t="shared" si="3"/>
        <v>0</v>
      </c>
      <c r="W229" s="56">
        <f t="shared" si="4"/>
        <v>0</v>
      </c>
      <c r="X229" s="56"/>
    </row>
    <row r="230" ht="15.75" customHeight="1">
      <c r="A230" s="57" t="s">
        <v>54</v>
      </c>
      <c r="B230" s="58" t="s">
        <v>17</v>
      </c>
      <c r="C230" s="73" t="s">
        <v>48</v>
      </c>
      <c r="D230" s="74" t="s">
        <v>1249</v>
      </c>
      <c r="E230" s="74" t="s">
        <v>1264</v>
      </c>
      <c r="F230" s="68"/>
      <c r="G230" s="68"/>
      <c r="H230" s="68"/>
      <c r="I230" s="68"/>
      <c r="J230" s="68"/>
      <c r="K230" s="67"/>
      <c r="L230" s="67"/>
      <c r="M230" s="68"/>
      <c r="N230" s="57"/>
      <c r="O230" s="57"/>
      <c r="P230" s="57"/>
      <c r="Q230" s="57"/>
      <c r="R230" s="57"/>
      <c r="S230" s="69" t="str">
        <f t="shared" si="1"/>
        <v>-</v>
      </c>
      <c r="T230" s="57" t="str">
        <f>'Kertas Kerja'!$I158</f>
        <v/>
      </c>
      <c r="U230" s="57" t="str">
        <f t="shared" si="2"/>
        <v/>
      </c>
      <c r="V230" s="70">
        <f t="shared" si="3"/>
        <v>0</v>
      </c>
      <c r="W230" s="70">
        <f t="shared" si="4"/>
        <v>0</v>
      </c>
      <c r="X230" s="70"/>
    </row>
    <row r="231" ht="15.75" customHeight="1">
      <c r="A231" s="43" t="s">
        <v>54</v>
      </c>
      <c r="B231" s="44" t="s">
        <v>17</v>
      </c>
      <c r="C231" s="45" t="s">
        <v>48</v>
      </c>
      <c r="D231" s="46" t="s">
        <v>1258</v>
      </c>
      <c r="E231" s="46" t="s">
        <v>1265</v>
      </c>
      <c r="F231" s="48"/>
      <c r="G231" s="48"/>
      <c r="H231" s="48"/>
      <c r="I231" s="48"/>
      <c r="J231" s="48"/>
      <c r="K231" s="50"/>
      <c r="L231" s="50"/>
      <c r="M231" s="48"/>
      <c r="N231" s="43"/>
      <c r="O231" s="43"/>
      <c r="P231" s="43"/>
      <c r="Q231" s="43"/>
      <c r="R231" s="43"/>
      <c r="S231" s="54" t="str">
        <f t="shared" si="1"/>
        <v>-</v>
      </c>
      <c r="T231" s="43" t="str">
        <f>'Kertas Kerja'!$I152</f>
        <v/>
      </c>
      <c r="U231" s="43" t="str">
        <f t="shared" si="2"/>
        <v/>
      </c>
      <c r="V231" s="56">
        <f t="shared" si="3"/>
        <v>0</v>
      </c>
      <c r="W231" s="56">
        <f t="shared" si="4"/>
        <v>0</v>
      </c>
      <c r="X231" s="56"/>
    </row>
    <row r="232" ht="15.75" customHeight="1">
      <c r="A232" s="57" t="s">
        <v>54</v>
      </c>
      <c r="B232" s="58" t="s">
        <v>17</v>
      </c>
      <c r="C232" s="59" t="s">
        <v>48</v>
      </c>
      <c r="D232" s="60" t="s">
        <v>1258</v>
      </c>
      <c r="E232" s="60" t="s">
        <v>1266</v>
      </c>
      <c r="F232" s="68"/>
      <c r="G232" s="68"/>
      <c r="H232" s="68"/>
      <c r="I232" s="68"/>
      <c r="J232" s="68"/>
      <c r="K232" s="67"/>
      <c r="L232" s="67"/>
      <c r="M232" s="68"/>
      <c r="N232" s="57"/>
      <c r="O232" s="57"/>
      <c r="P232" s="57"/>
      <c r="Q232" s="57"/>
      <c r="R232" s="57"/>
      <c r="S232" s="69" t="str">
        <f t="shared" si="1"/>
        <v>-</v>
      </c>
      <c r="T232" s="57" t="str">
        <f>'Kertas Kerja'!$I153</f>
        <v/>
      </c>
      <c r="U232" s="57" t="str">
        <f t="shared" si="2"/>
        <v/>
      </c>
      <c r="V232" s="70">
        <f t="shared" si="3"/>
        <v>0</v>
      </c>
      <c r="W232" s="70">
        <f t="shared" si="4"/>
        <v>0</v>
      </c>
      <c r="X232" s="70"/>
    </row>
    <row r="233" ht="15.75" customHeight="1">
      <c r="A233" s="43" t="s">
        <v>54</v>
      </c>
      <c r="B233" s="44" t="s">
        <v>17</v>
      </c>
      <c r="C233" s="45" t="s">
        <v>48</v>
      </c>
      <c r="D233" s="46" t="s">
        <v>1252</v>
      </c>
      <c r="E233" s="46" t="s">
        <v>1267</v>
      </c>
      <c r="F233" s="48"/>
      <c r="G233" s="48"/>
      <c r="H233" s="48"/>
      <c r="I233" s="48"/>
      <c r="J233" s="48"/>
      <c r="K233" s="50"/>
      <c r="L233" s="50"/>
      <c r="M233" s="48"/>
      <c r="N233" s="43"/>
      <c r="O233" s="43"/>
      <c r="P233" s="43"/>
      <c r="Q233" s="43"/>
      <c r="R233" s="43"/>
      <c r="S233" s="54" t="str">
        <f t="shared" si="1"/>
        <v>-</v>
      </c>
      <c r="T233" s="43" t="str">
        <f>'Kertas Kerja'!$I149</f>
        <v/>
      </c>
      <c r="U233" s="43" t="str">
        <f t="shared" si="2"/>
        <v/>
      </c>
      <c r="V233" s="56">
        <f t="shared" si="3"/>
        <v>0</v>
      </c>
      <c r="W233" s="56">
        <f t="shared" si="4"/>
        <v>0</v>
      </c>
      <c r="X233" s="56"/>
    </row>
    <row r="234" ht="15.75" customHeight="1">
      <c r="A234" s="57" t="s">
        <v>54</v>
      </c>
      <c r="B234" s="58" t="s">
        <v>17</v>
      </c>
      <c r="C234" s="59" t="s">
        <v>48</v>
      </c>
      <c r="D234" s="60" t="s">
        <v>1268</v>
      </c>
      <c r="E234" s="60" t="s">
        <v>1269</v>
      </c>
      <c r="F234" s="68"/>
      <c r="G234" s="68"/>
      <c r="H234" s="68"/>
      <c r="I234" s="68"/>
      <c r="J234" s="68"/>
      <c r="K234" s="67"/>
      <c r="L234" s="67"/>
      <c r="M234" s="68"/>
      <c r="N234" s="57"/>
      <c r="O234" s="57"/>
      <c r="P234" s="57"/>
      <c r="Q234" s="57"/>
      <c r="R234" s="57"/>
      <c r="S234" s="69" t="str">
        <f t="shared" si="1"/>
        <v>-</v>
      </c>
      <c r="T234" s="57" t="str">
        <f>#REF!</f>
        <v>#REF!</v>
      </c>
      <c r="U234" s="57" t="str">
        <f t="shared" si="2"/>
        <v/>
      </c>
      <c r="V234" s="70">
        <f t="shared" si="3"/>
        <v>0</v>
      </c>
      <c r="W234" s="70">
        <f t="shared" si="4"/>
        <v>0</v>
      </c>
      <c r="X234" s="70"/>
    </row>
    <row r="235" ht="15.75" customHeight="1">
      <c r="A235" s="43" t="s">
        <v>54</v>
      </c>
      <c r="B235" s="44" t="s">
        <v>17</v>
      </c>
      <c r="C235" s="45" t="s">
        <v>1245</v>
      </c>
      <c r="D235" s="46" t="s">
        <v>1270</v>
      </c>
      <c r="E235" s="46" t="s">
        <v>1270</v>
      </c>
      <c r="F235" s="48"/>
      <c r="G235" s="48"/>
      <c r="H235" s="48"/>
      <c r="I235" s="48"/>
      <c r="J235" s="48"/>
      <c r="K235" s="50"/>
      <c r="L235" s="50"/>
      <c r="M235" s="48"/>
      <c r="N235" s="43"/>
      <c r="O235" s="43"/>
      <c r="P235" s="43"/>
      <c r="Q235" s="43"/>
      <c r="R235" s="43"/>
      <c r="S235" s="54" t="str">
        <f t="shared" si="1"/>
        <v>-</v>
      </c>
      <c r="T235" s="43" t="str">
        <f>'Kertas Kerja'!$I169</f>
        <v/>
      </c>
      <c r="U235" s="43" t="str">
        <f t="shared" si="2"/>
        <v/>
      </c>
      <c r="V235" s="56">
        <f t="shared" si="3"/>
        <v>0</v>
      </c>
      <c r="W235" s="56">
        <f t="shared" si="4"/>
        <v>0</v>
      </c>
      <c r="X235" s="56"/>
    </row>
    <row r="236" ht="15.75" customHeight="1">
      <c r="A236" s="57" t="s">
        <v>54</v>
      </c>
      <c r="B236" s="58" t="s">
        <v>17</v>
      </c>
      <c r="C236" s="59" t="s">
        <v>48</v>
      </c>
      <c r="D236" s="60" t="s">
        <v>1249</v>
      </c>
      <c r="E236" s="60" t="s">
        <v>1271</v>
      </c>
      <c r="F236" s="68"/>
      <c r="G236" s="68"/>
      <c r="H236" s="68"/>
      <c r="I236" s="68"/>
      <c r="J236" s="68"/>
      <c r="K236" s="67"/>
      <c r="L236" s="67"/>
      <c r="M236" s="68"/>
      <c r="N236" s="57"/>
      <c r="O236" s="57"/>
      <c r="P236" s="57"/>
      <c r="Q236" s="57"/>
      <c r="R236" s="57"/>
      <c r="S236" s="69" t="str">
        <f t="shared" si="1"/>
        <v>-</v>
      </c>
      <c r="T236" s="57" t="str">
        <f>'Kertas Kerja'!$I159</f>
        <v/>
      </c>
      <c r="U236" s="57" t="str">
        <f t="shared" si="2"/>
        <v/>
      </c>
      <c r="V236" s="70">
        <f t="shared" si="3"/>
        <v>0</v>
      </c>
      <c r="W236" s="70">
        <f t="shared" si="4"/>
        <v>0</v>
      </c>
      <c r="X236" s="70"/>
    </row>
    <row r="237" ht="15.75" customHeight="1">
      <c r="A237" s="43" t="s">
        <v>54</v>
      </c>
      <c r="B237" s="44" t="s">
        <v>17</v>
      </c>
      <c r="C237" s="45" t="s">
        <v>1245</v>
      </c>
      <c r="D237" s="46" t="s">
        <v>1270</v>
      </c>
      <c r="E237" s="46" t="s">
        <v>1274</v>
      </c>
      <c r="F237" s="48"/>
      <c r="G237" s="48"/>
      <c r="H237" s="48"/>
      <c r="I237" s="48"/>
      <c r="J237" s="48"/>
      <c r="K237" s="50"/>
      <c r="L237" s="50"/>
      <c r="M237" s="48"/>
      <c r="N237" s="43"/>
      <c r="O237" s="43"/>
      <c r="P237" s="43"/>
      <c r="Q237" s="43"/>
      <c r="R237" s="43"/>
      <c r="S237" s="54" t="str">
        <f t="shared" si="1"/>
        <v>-</v>
      </c>
      <c r="T237" s="43" t="str">
        <f>'Kertas Kerja'!$I170</f>
        <v/>
      </c>
      <c r="U237" s="43" t="str">
        <f t="shared" si="2"/>
        <v/>
      </c>
      <c r="V237" s="56">
        <f t="shared" si="3"/>
        <v>0</v>
      </c>
      <c r="W237" s="56">
        <f t="shared" si="4"/>
        <v>0</v>
      </c>
      <c r="X237" s="56"/>
    </row>
    <row r="238" ht="15.75" customHeight="1">
      <c r="A238" s="57" t="s">
        <v>54</v>
      </c>
      <c r="B238" s="58" t="s">
        <v>17</v>
      </c>
      <c r="C238" s="59" t="s">
        <v>65</v>
      </c>
      <c r="D238" s="60" t="s">
        <v>1281</v>
      </c>
      <c r="E238" s="60" t="s">
        <v>1282</v>
      </c>
      <c r="F238" s="68"/>
      <c r="G238" s="68"/>
      <c r="H238" s="68"/>
      <c r="I238" s="68"/>
      <c r="J238" s="68"/>
      <c r="K238" s="67"/>
      <c r="L238" s="67"/>
      <c r="M238" s="68"/>
      <c r="N238" s="57"/>
      <c r="O238" s="57"/>
      <c r="P238" s="57"/>
      <c r="Q238" s="57"/>
      <c r="R238" s="57"/>
      <c r="S238" s="69" t="str">
        <f t="shared" si="1"/>
        <v>-</v>
      </c>
      <c r="T238" s="57" t="str">
        <f>'Kertas Kerja'!$I314</f>
        <v/>
      </c>
      <c r="U238" s="57" t="str">
        <f t="shared" si="2"/>
        <v/>
      </c>
      <c r="V238" s="70">
        <f t="shared" si="3"/>
        <v>0</v>
      </c>
      <c r="W238" s="70">
        <f t="shared" si="4"/>
        <v>0</v>
      </c>
      <c r="X238" s="70"/>
    </row>
    <row r="239" ht="15.75" customHeight="1">
      <c r="A239" s="43" t="s">
        <v>54</v>
      </c>
      <c r="B239" s="44" t="s">
        <v>17</v>
      </c>
      <c r="C239" s="45" t="s">
        <v>65</v>
      </c>
      <c r="D239" s="46" t="s">
        <v>1281</v>
      </c>
      <c r="E239" s="46" t="s">
        <v>1284</v>
      </c>
      <c r="F239" s="48"/>
      <c r="G239" s="48"/>
      <c r="H239" s="48"/>
      <c r="I239" s="48"/>
      <c r="J239" s="48"/>
      <c r="K239" s="50"/>
      <c r="L239" s="50"/>
      <c r="M239" s="48"/>
      <c r="N239" s="43"/>
      <c r="O239" s="43"/>
      <c r="P239" s="43"/>
      <c r="Q239" s="43"/>
      <c r="R239" s="43"/>
      <c r="S239" s="54" t="str">
        <f t="shared" si="1"/>
        <v>-</v>
      </c>
      <c r="T239" s="43" t="str">
        <f>'Kertas Kerja'!$I315</f>
        <v/>
      </c>
      <c r="U239" s="43" t="str">
        <f t="shared" si="2"/>
        <v/>
      </c>
      <c r="V239" s="56">
        <f t="shared" si="3"/>
        <v>0</v>
      </c>
      <c r="W239" s="56">
        <f t="shared" si="4"/>
        <v>0</v>
      </c>
      <c r="X239" s="56"/>
    </row>
    <row r="240" ht="15.75" customHeight="1">
      <c r="A240" s="57" t="s">
        <v>54</v>
      </c>
      <c r="B240" s="58" t="s">
        <v>17</v>
      </c>
      <c r="C240" s="59" t="s">
        <v>65</v>
      </c>
      <c r="D240" s="60" t="s">
        <v>125</v>
      </c>
      <c r="E240" s="60" t="s">
        <v>174</v>
      </c>
      <c r="F240" s="68"/>
      <c r="G240" s="68"/>
      <c r="H240" s="68"/>
      <c r="I240" s="68"/>
      <c r="J240" s="68"/>
      <c r="K240" s="67"/>
      <c r="L240" s="67"/>
      <c r="M240" s="68"/>
      <c r="N240" s="57"/>
      <c r="O240" s="57"/>
      <c r="P240" s="57"/>
      <c r="Q240" s="57"/>
      <c r="R240" s="57"/>
      <c r="S240" s="69" t="str">
        <f t="shared" si="1"/>
        <v>-</v>
      </c>
      <c r="T240" s="57" t="str">
        <f>'Kertas Kerja'!$I341</f>
        <v/>
      </c>
      <c r="U240" s="57" t="str">
        <f t="shared" si="2"/>
        <v/>
      </c>
      <c r="V240" s="70">
        <f t="shared" si="3"/>
        <v>0</v>
      </c>
      <c r="W240" s="70">
        <f t="shared" si="4"/>
        <v>0</v>
      </c>
      <c r="X240" s="70"/>
    </row>
    <row r="241" ht="15.75" customHeight="1">
      <c r="A241" s="43" t="s">
        <v>54</v>
      </c>
      <c r="B241" s="44" t="s">
        <v>17</v>
      </c>
      <c r="C241" s="45" t="s">
        <v>65</v>
      </c>
      <c r="D241" s="46" t="s">
        <v>1281</v>
      </c>
      <c r="E241" s="46" t="s">
        <v>1285</v>
      </c>
      <c r="F241" s="48"/>
      <c r="G241" s="48"/>
      <c r="H241" s="48"/>
      <c r="I241" s="48"/>
      <c r="J241" s="48"/>
      <c r="K241" s="50"/>
      <c r="L241" s="50"/>
      <c r="M241" s="48"/>
      <c r="N241" s="43"/>
      <c r="O241" s="43"/>
      <c r="P241" s="43"/>
      <c r="Q241" s="43"/>
      <c r="R241" s="43"/>
      <c r="S241" s="54" t="str">
        <f t="shared" si="1"/>
        <v>-</v>
      </c>
      <c r="T241" s="43" t="str">
        <f>'Kertas Kerja'!$I316</f>
        <v/>
      </c>
      <c r="U241" s="43" t="str">
        <f t="shared" si="2"/>
        <v/>
      </c>
      <c r="V241" s="56">
        <f t="shared" si="3"/>
        <v>0</v>
      </c>
      <c r="W241" s="56">
        <f t="shared" si="4"/>
        <v>0</v>
      </c>
      <c r="X241" s="56"/>
    </row>
    <row r="242" ht="15.75" customHeight="1">
      <c r="A242" s="57" t="s">
        <v>54</v>
      </c>
      <c r="B242" s="58" t="s">
        <v>17</v>
      </c>
      <c r="C242" s="59" t="s">
        <v>65</v>
      </c>
      <c r="D242" s="60" t="s">
        <v>1289</v>
      </c>
      <c r="E242" s="60" t="s">
        <v>1290</v>
      </c>
      <c r="F242" s="68"/>
      <c r="G242" s="68"/>
      <c r="H242" s="68"/>
      <c r="I242" s="68"/>
      <c r="J242" s="68"/>
      <c r="K242" s="67"/>
      <c r="L242" s="67"/>
      <c r="M242" s="68"/>
      <c r="N242" s="57"/>
      <c r="O242" s="57"/>
      <c r="P242" s="57"/>
      <c r="Q242" s="57"/>
      <c r="R242" s="57"/>
      <c r="S242" s="69" t="str">
        <f t="shared" si="1"/>
        <v>-</v>
      </c>
      <c r="T242" s="57" t="str">
        <f>'Kertas Kerja'!$I326</f>
        <v/>
      </c>
      <c r="U242" s="57" t="str">
        <f t="shared" si="2"/>
        <v/>
      </c>
      <c r="V242" s="70">
        <f t="shared" si="3"/>
        <v>0</v>
      </c>
      <c r="W242" s="70">
        <f t="shared" si="4"/>
        <v>0</v>
      </c>
      <c r="X242" s="70"/>
    </row>
    <row r="243" ht="15.75" customHeight="1">
      <c r="A243" s="43" t="s">
        <v>54</v>
      </c>
      <c r="B243" s="44" t="s">
        <v>17</v>
      </c>
      <c r="C243" s="45" t="s">
        <v>65</v>
      </c>
      <c r="D243" s="46" t="s">
        <v>1292</v>
      </c>
      <c r="E243" s="46" t="s">
        <v>1293</v>
      </c>
      <c r="F243" s="48"/>
      <c r="G243" s="48"/>
      <c r="H243" s="48"/>
      <c r="I243" s="48"/>
      <c r="J243" s="48"/>
      <c r="K243" s="50"/>
      <c r="L243" s="50"/>
      <c r="M243" s="48"/>
      <c r="N243" s="43"/>
      <c r="O243" s="43"/>
      <c r="P243" s="43"/>
      <c r="Q243" s="43"/>
      <c r="R243" s="43"/>
      <c r="S243" s="54" t="str">
        <f t="shared" si="1"/>
        <v>-</v>
      </c>
      <c r="T243" s="43" t="str">
        <f>'Kertas Kerja'!$I306</f>
        <v/>
      </c>
      <c r="U243" s="43" t="str">
        <f t="shared" si="2"/>
        <v/>
      </c>
      <c r="V243" s="56">
        <f t="shared" si="3"/>
        <v>0</v>
      </c>
      <c r="W243" s="56">
        <f t="shared" si="4"/>
        <v>0</v>
      </c>
      <c r="X243" s="56"/>
    </row>
    <row r="244" ht="15.75" customHeight="1">
      <c r="A244" s="57" t="s">
        <v>54</v>
      </c>
      <c r="B244" s="58" t="s">
        <v>17</v>
      </c>
      <c r="C244" s="59" t="s">
        <v>65</v>
      </c>
      <c r="D244" s="60" t="s">
        <v>1281</v>
      </c>
      <c r="E244" s="60" t="s">
        <v>1294</v>
      </c>
      <c r="F244" s="68"/>
      <c r="G244" s="68"/>
      <c r="H244" s="68"/>
      <c r="I244" s="68"/>
      <c r="J244" s="68"/>
      <c r="K244" s="67"/>
      <c r="L244" s="67"/>
      <c r="M244" s="68"/>
      <c r="N244" s="57"/>
      <c r="O244" s="57"/>
      <c r="P244" s="57"/>
      <c r="Q244" s="57"/>
      <c r="R244" s="57"/>
      <c r="S244" s="69" t="str">
        <f t="shared" si="1"/>
        <v>-</v>
      </c>
      <c r="T244" s="57" t="str">
        <f>'Kertas Kerja'!$I317</f>
        <v/>
      </c>
      <c r="U244" s="57" t="str">
        <f t="shared" si="2"/>
        <v/>
      </c>
      <c r="V244" s="70">
        <f t="shared" si="3"/>
        <v>0</v>
      </c>
      <c r="W244" s="70">
        <f t="shared" si="4"/>
        <v>0</v>
      </c>
      <c r="X244" s="70"/>
    </row>
    <row r="245" ht="15.75" customHeight="1">
      <c r="A245" s="43" t="s">
        <v>54</v>
      </c>
      <c r="B245" s="44" t="s">
        <v>17</v>
      </c>
      <c r="C245" s="45" t="s">
        <v>65</v>
      </c>
      <c r="D245" s="46" t="s">
        <v>1298</v>
      </c>
      <c r="E245" s="46" t="s">
        <v>1299</v>
      </c>
      <c r="F245" s="48"/>
      <c r="G245" s="48"/>
      <c r="H245" s="48"/>
      <c r="I245" s="48"/>
      <c r="J245" s="48"/>
      <c r="K245" s="50"/>
      <c r="L245" s="50"/>
      <c r="M245" s="48"/>
      <c r="N245" s="43"/>
      <c r="O245" s="43"/>
      <c r="P245" s="43"/>
      <c r="Q245" s="43"/>
      <c r="R245" s="43"/>
      <c r="S245" s="54" t="str">
        <f t="shared" si="1"/>
        <v>-</v>
      </c>
      <c r="T245" s="43" t="str">
        <f>'Kertas Kerja'!$I342</f>
        <v/>
      </c>
      <c r="U245" s="43" t="str">
        <f t="shared" si="2"/>
        <v/>
      </c>
      <c r="V245" s="56">
        <f t="shared" si="3"/>
        <v>0</v>
      </c>
      <c r="W245" s="56">
        <f t="shared" si="4"/>
        <v>0</v>
      </c>
      <c r="X245" s="56"/>
    </row>
    <row r="246" ht="15.75" customHeight="1">
      <c r="A246" s="57" t="s">
        <v>54</v>
      </c>
      <c r="B246" s="58" t="s">
        <v>17</v>
      </c>
      <c r="C246" s="59" t="s">
        <v>65</v>
      </c>
      <c r="D246" s="60" t="s">
        <v>1281</v>
      </c>
      <c r="E246" s="60" t="s">
        <v>1304</v>
      </c>
      <c r="F246" s="68"/>
      <c r="G246" s="68"/>
      <c r="H246" s="68"/>
      <c r="I246" s="68"/>
      <c r="J246" s="68"/>
      <c r="K246" s="67"/>
      <c r="L246" s="67"/>
      <c r="M246" s="68"/>
      <c r="N246" s="57"/>
      <c r="O246" s="57"/>
      <c r="P246" s="57"/>
      <c r="Q246" s="57"/>
      <c r="R246" s="57"/>
      <c r="S246" s="69" t="str">
        <f t="shared" si="1"/>
        <v>-</v>
      </c>
      <c r="T246" s="57" t="str">
        <f>'Kertas Kerja'!$I318</f>
        <v/>
      </c>
      <c r="U246" s="57" t="str">
        <f t="shared" si="2"/>
        <v/>
      </c>
      <c r="V246" s="70">
        <f t="shared" si="3"/>
        <v>0</v>
      </c>
      <c r="W246" s="70">
        <f t="shared" si="4"/>
        <v>0</v>
      </c>
      <c r="X246" s="70"/>
    </row>
    <row r="247" ht="15.75" customHeight="1">
      <c r="A247" s="43" t="s">
        <v>54</v>
      </c>
      <c r="B247" s="44" t="s">
        <v>17</v>
      </c>
      <c r="C247" s="45" t="s">
        <v>65</v>
      </c>
      <c r="D247" s="46" t="s">
        <v>1305</v>
      </c>
      <c r="E247" s="46" t="s">
        <v>1306</v>
      </c>
      <c r="F247" s="48"/>
      <c r="G247" s="48"/>
      <c r="H247" s="48"/>
      <c r="I247" s="48"/>
      <c r="J247" s="48"/>
      <c r="K247" s="50"/>
      <c r="L247" s="50"/>
      <c r="M247" s="48"/>
      <c r="N247" s="43"/>
      <c r="O247" s="43"/>
      <c r="P247" s="43"/>
      <c r="Q247" s="43"/>
      <c r="R247" s="43"/>
      <c r="S247" s="54" t="str">
        <f t="shared" si="1"/>
        <v>-</v>
      </c>
      <c r="T247" s="43" t="str">
        <f>'Kertas Kerja'!$I325</f>
        <v/>
      </c>
      <c r="U247" s="43" t="str">
        <f t="shared" si="2"/>
        <v/>
      </c>
      <c r="V247" s="56">
        <f t="shared" si="3"/>
        <v>0</v>
      </c>
      <c r="W247" s="56">
        <f t="shared" si="4"/>
        <v>0</v>
      </c>
      <c r="X247" s="56"/>
    </row>
    <row r="248" ht="15.75" customHeight="1">
      <c r="A248" s="57" t="s">
        <v>54</v>
      </c>
      <c r="B248" s="58" t="s">
        <v>17</v>
      </c>
      <c r="C248" s="59" t="s">
        <v>65</v>
      </c>
      <c r="D248" s="60" t="s">
        <v>1307</v>
      </c>
      <c r="E248" s="60" t="s">
        <v>1307</v>
      </c>
      <c r="F248" s="68"/>
      <c r="G248" s="68"/>
      <c r="H248" s="68"/>
      <c r="I248" s="68"/>
      <c r="J248" s="68"/>
      <c r="K248" s="67"/>
      <c r="L248" s="67"/>
      <c r="M248" s="68"/>
      <c r="N248" s="57"/>
      <c r="O248" s="57"/>
      <c r="P248" s="57"/>
      <c r="Q248" s="57"/>
      <c r="R248" s="57"/>
      <c r="S248" s="69" t="str">
        <f t="shared" si="1"/>
        <v>-</v>
      </c>
      <c r="T248" s="57" t="str">
        <f>'Kertas Kerja'!$I310</f>
        <v/>
      </c>
      <c r="U248" s="57" t="str">
        <f t="shared" si="2"/>
        <v/>
      </c>
      <c r="V248" s="70">
        <f t="shared" si="3"/>
        <v>0</v>
      </c>
      <c r="W248" s="70">
        <f t="shared" si="4"/>
        <v>0</v>
      </c>
      <c r="X248" s="70"/>
    </row>
    <row r="249" ht="15.75" customHeight="1">
      <c r="A249" s="43" t="s">
        <v>54</v>
      </c>
      <c r="B249" s="44" t="s">
        <v>17</v>
      </c>
      <c r="C249" s="45" t="s">
        <v>65</v>
      </c>
      <c r="D249" s="46" t="s">
        <v>1315</v>
      </c>
      <c r="E249" s="46" t="s">
        <v>1316</v>
      </c>
      <c r="F249" s="48"/>
      <c r="G249" s="48"/>
      <c r="H249" s="48"/>
      <c r="I249" s="48"/>
      <c r="J249" s="48"/>
      <c r="K249" s="50"/>
      <c r="L249" s="50"/>
      <c r="M249" s="48"/>
      <c r="N249" s="43"/>
      <c r="O249" s="43"/>
      <c r="P249" s="43"/>
      <c r="Q249" s="43"/>
      <c r="R249" s="43"/>
      <c r="S249" s="54" t="str">
        <f t="shared" si="1"/>
        <v>-</v>
      </c>
      <c r="T249" s="43" t="str">
        <f>'Kertas Kerja'!$I312</f>
        <v/>
      </c>
      <c r="U249" s="43" t="str">
        <f t="shared" si="2"/>
        <v/>
      </c>
      <c r="V249" s="56">
        <f t="shared" si="3"/>
        <v>0</v>
      </c>
      <c r="W249" s="56">
        <f t="shared" si="4"/>
        <v>0</v>
      </c>
      <c r="X249" s="56"/>
    </row>
    <row r="250" ht="15.75" customHeight="1">
      <c r="A250" s="57" t="s">
        <v>54</v>
      </c>
      <c r="B250" s="58" t="s">
        <v>17</v>
      </c>
      <c r="C250" s="59" t="s">
        <v>65</v>
      </c>
      <c r="D250" s="60" t="s">
        <v>1324</v>
      </c>
      <c r="E250" s="60" t="s">
        <v>1324</v>
      </c>
      <c r="F250" s="68"/>
      <c r="G250" s="68"/>
      <c r="H250" s="68"/>
      <c r="I250" s="68"/>
      <c r="J250" s="68"/>
      <c r="K250" s="67"/>
      <c r="L250" s="67"/>
      <c r="M250" s="68"/>
      <c r="N250" s="57"/>
      <c r="O250" s="57"/>
      <c r="P250" s="57"/>
      <c r="Q250" s="57"/>
      <c r="R250" s="57"/>
      <c r="S250" s="69" t="str">
        <f t="shared" si="1"/>
        <v>-</v>
      </c>
      <c r="T250" s="57" t="str">
        <f>'Kertas Kerja'!$I313</f>
        <v/>
      </c>
      <c r="U250" s="57" t="str">
        <f t="shared" si="2"/>
        <v/>
      </c>
      <c r="V250" s="70">
        <f t="shared" si="3"/>
        <v>0</v>
      </c>
      <c r="W250" s="70">
        <f t="shared" si="4"/>
        <v>0</v>
      </c>
      <c r="X250" s="70"/>
    </row>
    <row r="251" ht="15.75" customHeight="1">
      <c r="A251" s="43" t="s">
        <v>54</v>
      </c>
      <c r="B251" s="44" t="s">
        <v>17</v>
      </c>
      <c r="C251" s="45" t="s">
        <v>65</v>
      </c>
      <c r="D251" s="46" t="s">
        <v>1281</v>
      </c>
      <c r="E251" s="46" t="s">
        <v>1327</v>
      </c>
      <c r="F251" s="48"/>
      <c r="G251" s="48"/>
      <c r="H251" s="48"/>
      <c r="I251" s="48"/>
      <c r="J251" s="48"/>
      <c r="K251" s="50"/>
      <c r="L251" s="50"/>
      <c r="M251" s="48"/>
      <c r="N251" s="43"/>
      <c r="O251" s="43"/>
      <c r="P251" s="43"/>
      <c r="Q251" s="43"/>
      <c r="R251" s="43"/>
      <c r="S251" s="54" t="str">
        <f t="shared" si="1"/>
        <v>-</v>
      </c>
      <c r="T251" s="43" t="str">
        <f>'Kertas Kerja'!$I319</f>
        <v/>
      </c>
      <c r="U251" s="43" t="str">
        <f t="shared" si="2"/>
        <v/>
      </c>
      <c r="V251" s="56">
        <f t="shared" si="3"/>
        <v>0</v>
      </c>
      <c r="W251" s="56">
        <f t="shared" si="4"/>
        <v>0</v>
      </c>
      <c r="X251" s="56"/>
    </row>
    <row r="252" ht="15.75" customHeight="1">
      <c r="A252" s="57" t="s">
        <v>54</v>
      </c>
      <c r="B252" s="58" t="s">
        <v>17</v>
      </c>
      <c r="C252" s="59" t="s">
        <v>65</v>
      </c>
      <c r="D252" s="60" t="s">
        <v>1281</v>
      </c>
      <c r="E252" s="60" t="s">
        <v>1328</v>
      </c>
      <c r="F252" s="68"/>
      <c r="G252" s="68"/>
      <c r="H252" s="68"/>
      <c r="I252" s="68"/>
      <c r="J252" s="68"/>
      <c r="K252" s="67"/>
      <c r="L252" s="67"/>
      <c r="M252" s="68"/>
      <c r="N252" s="57"/>
      <c r="O252" s="57"/>
      <c r="P252" s="57"/>
      <c r="Q252" s="57"/>
      <c r="R252" s="57"/>
      <c r="S252" s="69" t="str">
        <f t="shared" si="1"/>
        <v>-</v>
      </c>
      <c r="T252" s="57" t="str">
        <f>'Kertas Kerja'!$I320</f>
        <v/>
      </c>
      <c r="U252" s="57" t="str">
        <f t="shared" si="2"/>
        <v/>
      </c>
      <c r="V252" s="70">
        <f t="shared" si="3"/>
        <v>0</v>
      </c>
      <c r="W252" s="70">
        <f t="shared" si="4"/>
        <v>0</v>
      </c>
      <c r="X252" s="70"/>
    </row>
    <row r="253" ht="15.75" customHeight="1">
      <c r="A253" s="43" t="s">
        <v>54</v>
      </c>
      <c r="B253" s="44" t="s">
        <v>17</v>
      </c>
      <c r="C253" s="45" t="s">
        <v>65</v>
      </c>
      <c r="D253" s="46" t="s">
        <v>1281</v>
      </c>
      <c r="E253" s="46" t="s">
        <v>1330</v>
      </c>
      <c r="F253" s="48"/>
      <c r="G253" s="48"/>
      <c r="H253" s="48"/>
      <c r="I253" s="48"/>
      <c r="J253" s="48"/>
      <c r="K253" s="50"/>
      <c r="L253" s="50"/>
      <c r="M253" s="48"/>
      <c r="N253" s="43"/>
      <c r="O253" s="43"/>
      <c r="P253" s="43"/>
      <c r="Q253" s="43"/>
      <c r="R253" s="43"/>
      <c r="S253" s="54" t="str">
        <f t="shared" si="1"/>
        <v>-</v>
      </c>
      <c r="T253" s="43" t="str">
        <f>'Kertas Kerja'!$I321</f>
        <v/>
      </c>
      <c r="U253" s="43" t="str">
        <f t="shared" si="2"/>
        <v/>
      </c>
      <c r="V253" s="56">
        <f t="shared" si="3"/>
        <v>0</v>
      </c>
      <c r="W253" s="56">
        <f t="shared" si="4"/>
        <v>0</v>
      </c>
      <c r="X253" s="56"/>
    </row>
    <row r="254" ht="15.75" customHeight="1">
      <c r="A254" s="57" t="s">
        <v>54</v>
      </c>
      <c r="B254" s="58" t="s">
        <v>17</v>
      </c>
      <c r="C254" s="59" t="s">
        <v>65</v>
      </c>
      <c r="D254" s="60" t="s">
        <v>1289</v>
      </c>
      <c r="E254" s="60" t="s">
        <v>1333</v>
      </c>
      <c r="F254" s="68"/>
      <c r="G254" s="68"/>
      <c r="H254" s="68"/>
      <c r="I254" s="68"/>
      <c r="J254" s="68"/>
      <c r="K254" s="67"/>
      <c r="L254" s="67"/>
      <c r="M254" s="68"/>
      <c r="N254" s="57"/>
      <c r="O254" s="57"/>
      <c r="P254" s="57"/>
      <c r="Q254" s="57"/>
      <c r="R254" s="57"/>
      <c r="S254" s="69" t="str">
        <f t="shared" si="1"/>
        <v>-</v>
      </c>
      <c r="T254" s="57" t="str">
        <f>'Kertas Kerja'!$I327</f>
        <v/>
      </c>
      <c r="U254" s="57" t="str">
        <f t="shared" si="2"/>
        <v/>
      </c>
      <c r="V254" s="70">
        <f t="shared" si="3"/>
        <v>0</v>
      </c>
      <c r="W254" s="70">
        <f t="shared" si="4"/>
        <v>0</v>
      </c>
      <c r="X254" s="70"/>
    </row>
    <row r="255" ht="15.75" customHeight="1">
      <c r="A255" s="43" t="s">
        <v>54</v>
      </c>
      <c r="B255" s="44" t="s">
        <v>17</v>
      </c>
      <c r="C255" s="45" t="s">
        <v>65</v>
      </c>
      <c r="D255" s="46" t="s">
        <v>1289</v>
      </c>
      <c r="E255" s="46" t="s">
        <v>1334</v>
      </c>
      <c r="F255" s="48"/>
      <c r="G255" s="48"/>
      <c r="H255" s="48"/>
      <c r="I255" s="48"/>
      <c r="J255" s="48"/>
      <c r="K255" s="50"/>
      <c r="L255" s="50"/>
      <c r="M255" s="48"/>
      <c r="N255" s="43"/>
      <c r="O255" s="43"/>
      <c r="P255" s="43"/>
      <c r="Q255" s="43"/>
      <c r="R255" s="43"/>
      <c r="S255" s="54" t="str">
        <f t="shared" si="1"/>
        <v>-</v>
      </c>
      <c r="T255" s="57" t="str">
        <f>'Kertas Kerja'!$I328</f>
        <v/>
      </c>
      <c r="U255" s="43" t="str">
        <f t="shared" si="2"/>
        <v/>
      </c>
      <c r="V255" s="56">
        <f t="shared" si="3"/>
        <v>0</v>
      </c>
      <c r="W255" s="56">
        <f t="shared" si="4"/>
        <v>0</v>
      </c>
      <c r="X255" s="56"/>
    </row>
    <row r="256" ht="15.75" customHeight="1">
      <c r="A256" s="57" t="s">
        <v>54</v>
      </c>
      <c r="B256" s="58" t="s">
        <v>17</v>
      </c>
      <c r="C256" s="59" t="s">
        <v>65</v>
      </c>
      <c r="D256" s="60" t="s">
        <v>1289</v>
      </c>
      <c r="E256" s="60" t="s">
        <v>1335</v>
      </c>
      <c r="F256" s="68"/>
      <c r="G256" s="68"/>
      <c r="H256" s="68"/>
      <c r="I256" s="68"/>
      <c r="J256" s="68"/>
      <c r="K256" s="67"/>
      <c r="L256" s="67"/>
      <c r="M256" s="68"/>
      <c r="N256" s="57"/>
      <c r="O256" s="57"/>
      <c r="P256" s="57"/>
      <c r="Q256" s="57"/>
      <c r="R256" s="57"/>
      <c r="S256" s="69" t="str">
        <f t="shared" si="1"/>
        <v>-</v>
      </c>
      <c r="T256" s="57" t="str">
        <f>'Kertas Kerja'!$I328</f>
        <v/>
      </c>
      <c r="U256" s="57" t="str">
        <f t="shared" si="2"/>
        <v/>
      </c>
      <c r="V256" s="70">
        <f t="shared" si="3"/>
        <v>0</v>
      </c>
      <c r="W256" s="70">
        <f t="shared" si="4"/>
        <v>0</v>
      </c>
      <c r="X256" s="70"/>
    </row>
    <row r="257" ht="15.75" customHeight="1">
      <c r="A257" s="43" t="s">
        <v>54</v>
      </c>
      <c r="B257" s="44" t="s">
        <v>17</v>
      </c>
      <c r="C257" s="45" t="s">
        <v>65</v>
      </c>
      <c r="D257" s="46" t="s">
        <v>1336</v>
      </c>
      <c r="E257" s="46" t="s">
        <v>1337</v>
      </c>
      <c r="F257" s="48"/>
      <c r="G257" s="48"/>
      <c r="H257" s="48"/>
      <c r="I257" s="48"/>
      <c r="J257" s="48"/>
      <c r="K257" s="50"/>
      <c r="L257" s="50"/>
      <c r="M257" s="48"/>
      <c r="N257" s="43"/>
      <c r="O257" s="43"/>
      <c r="P257" s="43"/>
      <c r="Q257" s="43"/>
      <c r="R257" s="43"/>
      <c r="S257" s="54" t="str">
        <f t="shared" si="1"/>
        <v>-</v>
      </c>
      <c r="T257" s="43" t="str">
        <f>'Kertas Kerja'!$I340</f>
        <v/>
      </c>
      <c r="U257" s="43" t="str">
        <f t="shared" si="2"/>
        <v/>
      </c>
      <c r="V257" s="56">
        <f t="shared" si="3"/>
        <v>0</v>
      </c>
      <c r="W257" s="56">
        <f t="shared" si="4"/>
        <v>0</v>
      </c>
      <c r="X257" s="56"/>
    </row>
    <row r="258" ht="15.75" customHeight="1">
      <c r="A258" s="57" t="s">
        <v>54</v>
      </c>
      <c r="B258" s="58" t="s">
        <v>17</v>
      </c>
      <c r="C258" s="59" t="s">
        <v>65</v>
      </c>
      <c r="D258" s="60" t="s">
        <v>1281</v>
      </c>
      <c r="E258" s="60" t="s">
        <v>1338</v>
      </c>
      <c r="F258" s="68"/>
      <c r="G258" s="68"/>
      <c r="H258" s="68"/>
      <c r="I258" s="68"/>
      <c r="J258" s="68"/>
      <c r="K258" s="67"/>
      <c r="L258" s="67"/>
      <c r="M258" s="68"/>
      <c r="N258" s="57"/>
      <c r="O258" s="57"/>
      <c r="P258" s="57"/>
      <c r="Q258" s="57"/>
      <c r="R258" s="57"/>
      <c r="S258" s="69" t="str">
        <f t="shared" si="1"/>
        <v>-</v>
      </c>
      <c r="T258" s="57" t="str">
        <f>'Kertas Kerja'!$I322</f>
        <v/>
      </c>
      <c r="U258" s="57" t="str">
        <f t="shared" si="2"/>
        <v/>
      </c>
      <c r="V258" s="70">
        <f t="shared" si="3"/>
        <v>0</v>
      </c>
      <c r="W258" s="70">
        <f t="shared" si="4"/>
        <v>0</v>
      </c>
      <c r="X258" s="70"/>
    </row>
    <row r="259" ht="15.75" customHeight="1">
      <c r="A259" s="43" t="s">
        <v>54</v>
      </c>
      <c r="B259" s="44" t="s">
        <v>17</v>
      </c>
      <c r="C259" s="45" t="s">
        <v>65</v>
      </c>
      <c r="D259" s="46" t="s">
        <v>1281</v>
      </c>
      <c r="E259" s="46" t="s">
        <v>1339</v>
      </c>
      <c r="F259" s="48"/>
      <c r="G259" s="48"/>
      <c r="H259" s="48"/>
      <c r="I259" s="48"/>
      <c r="J259" s="48"/>
      <c r="K259" s="50"/>
      <c r="L259" s="50"/>
      <c r="M259" s="48"/>
      <c r="N259" s="43"/>
      <c r="O259" s="43"/>
      <c r="P259" s="43"/>
      <c r="Q259" s="43"/>
      <c r="R259" s="43"/>
      <c r="S259" s="54" t="str">
        <f t="shared" si="1"/>
        <v>-</v>
      </c>
      <c r="T259" s="43" t="str">
        <f>'Kertas Kerja'!$I323</f>
        <v/>
      </c>
      <c r="U259" s="43" t="str">
        <f t="shared" si="2"/>
        <v/>
      </c>
      <c r="V259" s="56">
        <f t="shared" si="3"/>
        <v>0</v>
      </c>
      <c r="W259" s="56">
        <f t="shared" si="4"/>
        <v>0</v>
      </c>
      <c r="X259" s="56"/>
    </row>
    <row r="260" ht="15.75" customHeight="1">
      <c r="A260" s="57" t="s">
        <v>54</v>
      </c>
      <c r="B260" s="58" t="s">
        <v>17</v>
      </c>
      <c r="C260" s="59" t="s">
        <v>65</v>
      </c>
      <c r="D260" s="60" t="s">
        <v>1298</v>
      </c>
      <c r="E260" s="60" t="s">
        <v>1340</v>
      </c>
      <c r="F260" s="68"/>
      <c r="G260" s="68"/>
      <c r="H260" s="68"/>
      <c r="I260" s="68"/>
      <c r="J260" s="68"/>
      <c r="K260" s="67"/>
      <c r="L260" s="67"/>
      <c r="M260" s="68"/>
      <c r="N260" s="57"/>
      <c r="O260" s="57"/>
      <c r="P260" s="57"/>
      <c r="Q260" s="57"/>
      <c r="R260" s="57"/>
      <c r="S260" s="69" t="str">
        <f t="shared" si="1"/>
        <v>-</v>
      </c>
      <c r="T260" s="57" t="str">
        <f>'Kertas Kerja'!$I343</f>
        <v/>
      </c>
      <c r="U260" s="57" t="str">
        <f t="shared" si="2"/>
        <v/>
      </c>
      <c r="V260" s="70">
        <f t="shared" si="3"/>
        <v>0</v>
      </c>
      <c r="W260" s="70">
        <f t="shared" si="4"/>
        <v>0</v>
      </c>
      <c r="X260" s="70"/>
    </row>
    <row r="261" ht="15.75" customHeight="1">
      <c r="A261" s="43" t="s">
        <v>54</v>
      </c>
      <c r="B261" s="44" t="s">
        <v>17</v>
      </c>
      <c r="C261" s="45" t="s">
        <v>65</v>
      </c>
      <c r="D261" s="46" t="s">
        <v>1298</v>
      </c>
      <c r="E261" s="46" t="s">
        <v>1341</v>
      </c>
      <c r="F261" s="48"/>
      <c r="G261" s="48"/>
      <c r="H261" s="48"/>
      <c r="I261" s="48"/>
      <c r="J261" s="48"/>
      <c r="K261" s="50"/>
      <c r="L261" s="50"/>
      <c r="M261" s="48"/>
      <c r="N261" s="43"/>
      <c r="O261" s="43"/>
      <c r="P261" s="43"/>
      <c r="Q261" s="43"/>
      <c r="R261" s="43"/>
      <c r="S261" s="54" t="str">
        <f t="shared" si="1"/>
        <v>-</v>
      </c>
      <c r="T261" s="43" t="str">
        <f>'Kertas Kerja'!$I344</f>
        <v/>
      </c>
      <c r="U261" s="43" t="str">
        <f t="shared" si="2"/>
        <v/>
      </c>
      <c r="V261" s="56">
        <f t="shared" si="3"/>
        <v>0</v>
      </c>
      <c r="W261" s="56">
        <f t="shared" si="4"/>
        <v>0</v>
      </c>
      <c r="X261" s="56"/>
    </row>
    <row r="262" ht="15.75" customHeight="1">
      <c r="A262" s="57" t="s">
        <v>54</v>
      </c>
      <c r="B262" s="58" t="s">
        <v>17</v>
      </c>
      <c r="C262" s="59" t="s">
        <v>65</v>
      </c>
      <c r="D262" s="60" t="s">
        <v>1298</v>
      </c>
      <c r="E262" s="60" t="s">
        <v>1342</v>
      </c>
      <c r="F262" s="68"/>
      <c r="G262" s="68"/>
      <c r="H262" s="68"/>
      <c r="I262" s="68"/>
      <c r="J262" s="68"/>
      <c r="K262" s="67"/>
      <c r="L262" s="67"/>
      <c r="M262" s="68"/>
      <c r="N262" s="57"/>
      <c r="O262" s="57"/>
      <c r="P262" s="57"/>
      <c r="Q262" s="57"/>
      <c r="R262" s="57"/>
      <c r="S262" s="69" t="str">
        <f t="shared" si="1"/>
        <v>-</v>
      </c>
      <c r="T262" s="57" t="str">
        <f>'Kertas Kerja'!$I345</f>
        <v/>
      </c>
      <c r="U262" s="57" t="str">
        <f t="shared" si="2"/>
        <v/>
      </c>
      <c r="V262" s="70">
        <f t="shared" si="3"/>
        <v>0</v>
      </c>
      <c r="W262" s="70">
        <f t="shared" si="4"/>
        <v>0</v>
      </c>
      <c r="X262" s="70"/>
    </row>
    <row r="263" ht="15.75" customHeight="1">
      <c r="A263" s="43" t="s">
        <v>54</v>
      </c>
      <c r="B263" s="44" t="s">
        <v>17</v>
      </c>
      <c r="C263" s="45" t="s">
        <v>65</v>
      </c>
      <c r="D263" s="46" t="s">
        <v>1298</v>
      </c>
      <c r="E263" s="46" t="s">
        <v>1343</v>
      </c>
      <c r="F263" s="48"/>
      <c r="G263" s="48"/>
      <c r="H263" s="48"/>
      <c r="I263" s="48"/>
      <c r="J263" s="48"/>
      <c r="K263" s="50"/>
      <c r="L263" s="50"/>
      <c r="M263" s="48"/>
      <c r="N263" s="43"/>
      <c r="O263" s="43"/>
      <c r="P263" s="43"/>
      <c r="Q263" s="43"/>
      <c r="R263" s="43"/>
      <c r="S263" s="54" t="str">
        <f t="shared" si="1"/>
        <v>-</v>
      </c>
      <c r="T263" s="43" t="str">
        <f>'Kertas Kerja'!$I346</f>
        <v/>
      </c>
      <c r="U263" s="43" t="str">
        <f t="shared" si="2"/>
        <v/>
      </c>
      <c r="V263" s="56">
        <f t="shared" si="3"/>
        <v>0</v>
      </c>
      <c r="W263" s="56">
        <f t="shared" si="4"/>
        <v>0</v>
      </c>
      <c r="X263" s="56"/>
    </row>
    <row r="264" ht="15.75" customHeight="1">
      <c r="A264" s="57" t="s">
        <v>54</v>
      </c>
      <c r="B264" s="58" t="s">
        <v>17</v>
      </c>
      <c r="C264" s="59" t="s">
        <v>65</v>
      </c>
      <c r="D264" s="60" t="s">
        <v>1298</v>
      </c>
      <c r="E264" s="60" t="s">
        <v>1344</v>
      </c>
      <c r="F264" s="68"/>
      <c r="G264" s="68"/>
      <c r="H264" s="68"/>
      <c r="I264" s="68"/>
      <c r="J264" s="68"/>
      <c r="K264" s="67"/>
      <c r="L264" s="67"/>
      <c r="M264" s="68"/>
      <c r="N264" s="57"/>
      <c r="O264" s="57"/>
      <c r="P264" s="57"/>
      <c r="Q264" s="57"/>
      <c r="R264" s="57"/>
      <c r="S264" s="69" t="str">
        <f t="shared" si="1"/>
        <v>-</v>
      </c>
      <c r="T264" s="57" t="str">
        <f>'Kertas Kerja'!$I347</f>
        <v/>
      </c>
      <c r="U264" s="57" t="str">
        <f t="shared" si="2"/>
        <v/>
      </c>
      <c r="V264" s="70">
        <f t="shared" si="3"/>
        <v>0</v>
      </c>
      <c r="W264" s="70">
        <f t="shared" si="4"/>
        <v>0</v>
      </c>
      <c r="X264" s="70"/>
    </row>
    <row r="265" ht="15.75" customHeight="1">
      <c r="A265" s="43" t="s">
        <v>54</v>
      </c>
      <c r="B265" s="44" t="s">
        <v>17</v>
      </c>
      <c r="C265" s="45" t="s">
        <v>65</v>
      </c>
      <c r="D265" s="46" t="s">
        <v>1298</v>
      </c>
      <c r="E265" s="46" t="s">
        <v>1345</v>
      </c>
      <c r="F265" s="48"/>
      <c r="G265" s="48"/>
      <c r="H265" s="48"/>
      <c r="I265" s="48"/>
      <c r="J265" s="48"/>
      <c r="K265" s="50"/>
      <c r="L265" s="50"/>
      <c r="M265" s="48"/>
      <c r="N265" s="43"/>
      <c r="O265" s="43"/>
      <c r="P265" s="43"/>
      <c r="Q265" s="43"/>
      <c r="R265" s="43"/>
      <c r="S265" s="54" t="str">
        <f t="shared" si="1"/>
        <v>-</v>
      </c>
      <c r="T265" s="43" t="str">
        <f>'Kertas Kerja'!$I348</f>
        <v/>
      </c>
      <c r="U265" s="43" t="str">
        <f t="shared" si="2"/>
        <v/>
      </c>
      <c r="V265" s="56">
        <f t="shared" si="3"/>
        <v>0</v>
      </c>
      <c r="W265" s="56">
        <f t="shared" si="4"/>
        <v>0</v>
      </c>
      <c r="X265" s="56"/>
    </row>
    <row r="266" ht="15.75" customHeight="1">
      <c r="A266" s="57" t="s">
        <v>54</v>
      </c>
      <c r="B266" s="58" t="s">
        <v>17</v>
      </c>
      <c r="C266" s="59" t="s">
        <v>65</v>
      </c>
      <c r="D266" s="60" t="s">
        <v>1298</v>
      </c>
      <c r="E266" s="60" t="s">
        <v>1346</v>
      </c>
      <c r="F266" s="68"/>
      <c r="G266" s="68"/>
      <c r="H266" s="68"/>
      <c r="I266" s="68"/>
      <c r="J266" s="68"/>
      <c r="K266" s="67"/>
      <c r="L266" s="67"/>
      <c r="M266" s="68"/>
      <c r="N266" s="57"/>
      <c r="O266" s="57"/>
      <c r="P266" s="57"/>
      <c r="Q266" s="57"/>
      <c r="R266" s="57"/>
      <c r="S266" s="69" t="str">
        <f t="shared" si="1"/>
        <v>-</v>
      </c>
      <c r="T266" s="57" t="str">
        <f>'Kertas Kerja'!$I349</f>
        <v/>
      </c>
      <c r="U266" s="57" t="str">
        <f t="shared" si="2"/>
        <v/>
      </c>
      <c r="V266" s="70">
        <f t="shared" si="3"/>
        <v>0</v>
      </c>
      <c r="W266" s="70">
        <f t="shared" si="4"/>
        <v>0</v>
      </c>
      <c r="X266" s="70"/>
    </row>
    <row r="267" ht="15.75" customHeight="1">
      <c r="A267" s="43" t="s">
        <v>54</v>
      </c>
      <c r="B267" s="44" t="s">
        <v>17</v>
      </c>
      <c r="C267" s="45" t="s">
        <v>65</v>
      </c>
      <c r="D267" s="46" t="s">
        <v>1289</v>
      </c>
      <c r="E267" s="46" t="s">
        <v>1347</v>
      </c>
      <c r="F267" s="48"/>
      <c r="G267" s="48"/>
      <c r="H267" s="48"/>
      <c r="I267" s="48"/>
      <c r="J267" s="48"/>
      <c r="K267" s="50"/>
      <c r="L267" s="50"/>
      <c r="M267" s="48"/>
      <c r="N267" s="43"/>
      <c r="O267" s="43"/>
      <c r="P267" s="43"/>
      <c r="Q267" s="43"/>
      <c r="R267" s="43"/>
      <c r="S267" s="54" t="str">
        <f t="shared" si="1"/>
        <v>-</v>
      </c>
      <c r="T267" s="43"/>
      <c r="U267" s="43" t="str">
        <f t="shared" si="2"/>
        <v/>
      </c>
      <c r="V267" s="56">
        <f t="shared" si="3"/>
        <v>0</v>
      </c>
      <c r="W267" s="56">
        <f t="shared" si="4"/>
        <v>0</v>
      </c>
      <c r="X267" s="56"/>
    </row>
    <row r="268" ht="15.75" customHeight="1">
      <c r="A268" s="57" t="s">
        <v>54</v>
      </c>
      <c r="B268" s="58" t="s">
        <v>17</v>
      </c>
      <c r="C268" s="59" t="s">
        <v>65</v>
      </c>
      <c r="D268" s="60" t="s">
        <v>1289</v>
      </c>
      <c r="E268" s="60" t="s">
        <v>1348</v>
      </c>
      <c r="F268" s="68"/>
      <c r="G268" s="68"/>
      <c r="H268" s="68"/>
      <c r="I268" s="68"/>
      <c r="J268" s="68"/>
      <c r="K268" s="67"/>
      <c r="L268" s="67"/>
      <c r="M268" s="68"/>
      <c r="N268" s="57"/>
      <c r="O268" s="57"/>
      <c r="P268" s="57"/>
      <c r="Q268" s="57"/>
      <c r="R268" s="57"/>
      <c r="S268" s="69" t="str">
        <f t="shared" si="1"/>
        <v>-</v>
      </c>
      <c r="T268" s="57" t="str">
        <f>'Kertas Kerja'!$I329</f>
        <v/>
      </c>
      <c r="U268" s="57" t="str">
        <f t="shared" si="2"/>
        <v/>
      </c>
      <c r="V268" s="70">
        <f t="shared" si="3"/>
        <v>0</v>
      </c>
      <c r="W268" s="70">
        <f t="shared" si="4"/>
        <v>0</v>
      </c>
      <c r="X268" s="70"/>
    </row>
    <row r="269" ht="15.75" customHeight="1">
      <c r="A269" s="43" t="s">
        <v>54</v>
      </c>
      <c r="B269" s="44" t="s">
        <v>17</v>
      </c>
      <c r="C269" s="45" t="s">
        <v>65</v>
      </c>
      <c r="D269" s="46" t="s">
        <v>1298</v>
      </c>
      <c r="E269" s="46" t="s">
        <v>1349</v>
      </c>
      <c r="F269" s="48"/>
      <c r="G269" s="48"/>
      <c r="H269" s="48"/>
      <c r="I269" s="48"/>
      <c r="J269" s="48"/>
      <c r="K269" s="50"/>
      <c r="L269" s="50"/>
      <c r="M269" s="48"/>
      <c r="N269" s="43"/>
      <c r="O269" s="43"/>
      <c r="P269" s="43"/>
      <c r="Q269" s="43"/>
      <c r="R269" s="43"/>
      <c r="S269" s="54" t="str">
        <f t="shared" si="1"/>
        <v>-</v>
      </c>
      <c r="T269" s="43" t="str">
        <f>'Kertas Kerja'!$I350</f>
        <v/>
      </c>
      <c r="U269" s="43" t="str">
        <f t="shared" si="2"/>
        <v/>
      </c>
      <c r="V269" s="56">
        <f t="shared" si="3"/>
        <v>0</v>
      </c>
      <c r="W269" s="56">
        <f t="shared" si="4"/>
        <v>0</v>
      </c>
      <c r="X269" s="56"/>
    </row>
    <row r="270" ht="15.75" customHeight="1">
      <c r="A270" s="57" t="s">
        <v>54</v>
      </c>
      <c r="B270" s="58" t="s">
        <v>17</v>
      </c>
      <c r="C270" s="59" t="s">
        <v>65</v>
      </c>
      <c r="D270" s="60" t="s">
        <v>1298</v>
      </c>
      <c r="E270" s="60" t="s">
        <v>1350</v>
      </c>
      <c r="F270" s="68"/>
      <c r="G270" s="68"/>
      <c r="H270" s="68"/>
      <c r="I270" s="68"/>
      <c r="J270" s="68"/>
      <c r="K270" s="67"/>
      <c r="L270" s="67"/>
      <c r="M270" s="68"/>
      <c r="N270" s="57"/>
      <c r="O270" s="57"/>
      <c r="P270" s="57"/>
      <c r="Q270" s="57"/>
      <c r="R270" s="57"/>
      <c r="S270" s="69" t="str">
        <f t="shared" si="1"/>
        <v>-</v>
      </c>
      <c r="T270" s="57" t="str">
        <f>'Kertas Kerja'!$I351</f>
        <v/>
      </c>
      <c r="U270" s="57" t="str">
        <f t="shared" si="2"/>
        <v/>
      </c>
      <c r="V270" s="70">
        <f t="shared" si="3"/>
        <v>0</v>
      </c>
      <c r="W270" s="70">
        <f t="shared" si="4"/>
        <v>0</v>
      </c>
      <c r="X270" s="70"/>
    </row>
    <row r="271" ht="15.75" customHeight="1">
      <c r="A271" s="43" t="s">
        <v>54</v>
      </c>
      <c r="B271" s="44" t="s">
        <v>17</v>
      </c>
      <c r="C271" s="45" t="s">
        <v>65</v>
      </c>
      <c r="D271" s="46" t="s">
        <v>1298</v>
      </c>
      <c r="E271" s="46" t="s">
        <v>1351</v>
      </c>
      <c r="F271" s="48"/>
      <c r="G271" s="48"/>
      <c r="H271" s="48"/>
      <c r="I271" s="48"/>
      <c r="J271" s="48"/>
      <c r="K271" s="50"/>
      <c r="L271" s="50"/>
      <c r="M271" s="48"/>
      <c r="N271" s="43"/>
      <c r="O271" s="43"/>
      <c r="P271" s="43"/>
      <c r="Q271" s="43"/>
      <c r="R271" s="43"/>
      <c r="S271" s="54" t="str">
        <f t="shared" si="1"/>
        <v>-</v>
      </c>
      <c r="T271" s="43" t="str">
        <f>'Kertas Kerja'!$I352</f>
        <v/>
      </c>
      <c r="U271" s="43" t="str">
        <f t="shared" si="2"/>
        <v/>
      </c>
      <c r="V271" s="56">
        <f t="shared" si="3"/>
        <v>0</v>
      </c>
      <c r="W271" s="56">
        <f t="shared" si="4"/>
        <v>0</v>
      </c>
      <c r="X271" s="56"/>
    </row>
    <row r="272" ht="15.75" customHeight="1">
      <c r="A272" s="57" t="s">
        <v>54</v>
      </c>
      <c r="B272" s="58" t="s">
        <v>17</v>
      </c>
      <c r="C272" s="59" t="s">
        <v>65</v>
      </c>
      <c r="D272" s="60" t="s">
        <v>1298</v>
      </c>
      <c r="E272" s="60" t="s">
        <v>1352</v>
      </c>
      <c r="F272" s="68"/>
      <c r="G272" s="68"/>
      <c r="H272" s="68"/>
      <c r="I272" s="68"/>
      <c r="J272" s="68"/>
      <c r="K272" s="67"/>
      <c r="L272" s="67"/>
      <c r="M272" s="68"/>
      <c r="N272" s="57"/>
      <c r="O272" s="57"/>
      <c r="P272" s="57"/>
      <c r="Q272" s="57"/>
      <c r="R272" s="57"/>
      <c r="S272" s="69" t="str">
        <f t="shared" si="1"/>
        <v>-</v>
      </c>
      <c r="T272" s="57" t="str">
        <f>'Kertas Kerja'!$I353</f>
        <v/>
      </c>
      <c r="U272" s="57" t="str">
        <f t="shared" si="2"/>
        <v/>
      </c>
      <c r="V272" s="70">
        <f t="shared" si="3"/>
        <v>0</v>
      </c>
      <c r="W272" s="70">
        <f t="shared" si="4"/>
        <v>0</v>
      </c>
      <c r="X272" s="70"/>
    </row>
    <row r="273" ht="15.75" customHeight="1">
      <c r="A273" s="43" t="s">
        <v>54</v>
      </c>
      <c r="B273" s="44" t="s">
        <v>17</v>
      </c>
      <c r="C273" s="45" t="s">
        <v>65</v>
      </c>
      <c r="D273" s="46" t="s">
        <v>1298</v>
      </c>
      <c r="E273" s="46" t="s">
        <v>1353</v>
      </c>
      <c r="F273" s="48"/>
      <c r="G273" s="48"/>
      <c r="H273" s="48"/>
      <c r="I273" s="48"/>
      <c r="J273" s="48"/>
      <c r="K273" s="50"/>
      <c r="L273" s="50"/>
      <c r="M273" s="48"/>
      <c r="N273" s="43"/>
      <c r="O273" s="43"/>
      <c r="P273" s="43"/>
      <c r="Q273" s="43"/>
      <c r="R273" s="43"/>
      <c r="S273" s="54" t="str">
        <f t="shared" si="1"/>
        <v>-</v>
      </c>
      <c r="T273" s="43" t="str">
        <f>'Kertas Kerja'!$I354</f>
        <v/>
      </c>
      <c r="U273" s="43" t="str">
        <f t="shared" si="2"/>
        <v/>
      </c>
      <c r="V273" s="56">
        <f t="shared" si="3"/>
        <v>0</v>
      </c>
      <c r="W273" s="56">
        <f t="shared" si="4"/>
        <v>0</v>
      </c>
      <c r="X273" s="56"/>
    </row>
    <row r="274" ht="15.75" customHeight="1">
      <c r="A274" s="57" t="s">
        <v>54</v>
      </c>
      <c r="B274" s="58" t="s">
        <v>17</v>
      </c>
      <c r="C274" s="59" t="s">
        <v>65</v>
      </c>
      <c r="D274" s="60" t="s">
        <v>1298</v>
      </c>
      <c r="E274" s="60" t="s">
        <v>1355</v>
      </c>
      <c r="F274" s="68"/>
      <c r="G274" s="68"/>
      <c r="H274" s="68"/>
      <c r="I274" s="68"/>
      <c r="J274" s="68"/>
      <c r="K274" s="67"/>
      <c r="L274" s="67"/>
      <c r="M274" s="68"/>
      <c r="N274" s="57"/>
      <c r="O274" s="57"/>
      <c r="P274" s="57"/>
      <c r="Q274" s="57"/>
      <c r="R274" s="57"/>
      <c r="S274" s="69" t="str">
        <f t="shared" si="1"/>
        <v>-</v>
      </c>
      <c r="T274" s="57" t="str">
        <f>'Kertas Kerja'!$I355</f>
        <v/>
      </c>
      <c r="U274" s="57" t="str">
        <f t="shared" si="2"/>
        <v/>
      </c>
      <c r="V274" s="70">
        <f t="shared" si="3"/>
        <v>0</v>
      </c>
      <c r="W274" s="70">
        <f t="shared" si="4"/>
        <v>0</v>
      </c>
      <c r="X274" s="70"/>
    </row>
    <row r="275" ht="15.75" customHeight="1">
      <c r="A275" s="43" t="s">
        <v>54</v>
      </c>
      <c r="B275" s="44" t="s">
        <v>17</v>
      </c>
      <c r="C275" s="45" t="s">
        <v>65</v>
      </c>
      <c r="D275" s="46" t="s">
        <v>1298</v>
      </c>
      <c r="E275" s="46" t="s">
        <v>1358</v>
      </c>
      <c r="F275" s="48"/>
      <c r="G275" s="48"/>
      <c r="H275" s="48"/>
      <c r="I275" s="48"/>
      <c r="J275" s="48"/>
      <c r="K275" s="50"/>
      <c r="L275" s="50"/>
      <c r="M275" s="48"/>
      <c r="N275" s="43"/>
      <c r="O275" s="43"/>
      <c r="P275" s="43"/>
      <c r="Q275" s="43"/>
      <c r="R275" s="43"/>
      <c r="S275" s="54" t="str">
        <f t="shared" si="1"/>
        <v>-</v>
      </c>
      <c r="T275" s="43" t="str">
        <f>'Kertas Kerja'!$I356</f>
        <v/>
      </c>
      <c r="U275" s="43" t="str">
        <f t="shared" si="2"/>
        <v/>
      </c>
      <c r="V275" s="56">
        <f t="shared" si="3"/>
        <v>0</v>
      </c>
      <c r="W275" s="56">
        <f t="shared" si="4"/>
        <v>0</v>
      </c>
      <c r="X275" s="56"/>
    </row>
    <row r="276" ht="15.75" customHeight="1">
      <c r="A276" s="57" t="s">
        <v>54</v>
      </c>
      <c r="B276" s="58" t="s">
        <v>17</v>
      </c>
      <c r="C276" s="59" t="s">
        <v>65</v>
      </c>
      <c r="D276" s="60" t="s">
        <v>1361</v>
      </c>
      <c r="E276" s="60" t="s">
        <v>1363</v>
      </c>
      <c r="F276" s="68"/>
      <c r="G276" s="68"/>
      <c r="H276" s="68"/>
      <c r="I276" s="68"/>
      <c r="J276" s="68"/>
      <c r="K276" s="67"/>
      <c r="L276" s="67"/>
      <c r="M276" s="68"/>
      <c r="N276" s="57"/>
      <c r="O276" s="57"/>
      <c r="P276" s="57"/>
      <c r="Q276" s="57"/>
      <c r="R276" s="57"/>
      <c r="S276" s="69" t="str">
        <f t="shared" si="1"/>
        <v>-</v>
      </c>
      <c r="T276" s="57" t="str">
        <f>'Kertas Kerja'!$I339</f>
        <v/>
      </c>
      <c r="U276" s="57" t="str">
        <f t="shared" si="2"/>
        <v/>
      </c>
      <c r="V276" s="70">
        <f t="shared" si="3"/>
        <v>0</v>
      </c>
      <c r="W276" s="70">
        <f t="shared" si="4"/>
        <v>0</v>
      </c>
      <c r="X276" s="70"/>
    </row>
    <row r="277" ht="15.75" customHeight="1">
      <c r="A277" s="43" t="s">
        <v>54</v>
      </c>
      <c r="B277" s="44" t="s">
        <v>17</v>
      </c>
      <c r="C277" s="45" t="s">
        <v>65</v>
      </c>
      <c r="D277" s="46" t="s">
        <v>1289</v>
      </c>
      <c r="E277" s="46" t="s">
        <v>1366</v>
      </c>
      <c r="F277" s="48"/>
      <c r="G277" s="48"/>
      <c r="H277" s="48"/>
      <c r="I277" s="48"/>
      <c r="J277" s="48"/>
      <c r="K277" s="50"/>
      <c r="L277" s="50"/>
      <c r="M277" s="48"/>
      <c r="N277" s="43"/>
      <c r="O277" s="43"/>
      <c r="P277" s="43"/>
      <c r="Q277" s="43"/>
      <c r="R277" s="43"/>
      <c r="S277" s="54" t="str">
        <f t="shared" si="1"/>
        <v>-</v>
      </c>
      <c r="T277" s="43" t="str">
        <f>'Kertas Kerja'!$I330</f>
        <v/>
      </c>
      <c r="U277" s="43" t="str">
        <f t="shared" si="2"/>
        <v/>
      </c>
      <c r="V277" s="56">
        <f t="shared" si="3"/>
        <v>0</v>
      </c>
      <c r="W277" s="56">
        <f t="shared" si="4"/>
        <v>0</v>
      </c>
      <c r="X277" s="56"/>
    </row>
    <row r="278" ht="15.75" customHeight="1">
      <c r="A278" s="57" t="s">
        <v>54</v>
      </c>
      <c r="B278" s="58" t="s">
        <v>17</v>
      </c>
      <c r="C278" s="59" t="s">
        <v>65</v>
      </c>
      <c r="D278" s="60" t="s">
        <v>1289</v>
      </c>
      <c r="E278" s="60" t="s">
        <v>1367</v>
      </c>
      <c r="F278" s="68"/>
      <c r="G278" s="68"/>
      <c r="H278" s="68"/>
      <c r="I278" s="68"/>
      <c r="J278" s="68"/>
      <c r="K278" s="67"/>
      <c r="L278" s="67"/>
      <c r="M278" s="68"/>
      <c r="N278" s="57"/>
      <c r="O278" s="57"/>
      <c r="P278" s="57"/>
      <c r="Q278" s="57"/>
      <c r="R278" s="57"/>
      <c r="S278" s="69" t="str">
        <f t="shared" si="1"/>
        <v>-</v>
      </c>
      <c r="T278" s="57" t="str">
        <f>'Kertas Kerja'!$I331</f>
        <v/>
      </c>
      <c r="U278" s="57" t="str">
        <f t="shared" si="2"/>
        <v/>
      </c>
      <c r="V278" s="70">
        <f t="shared" si="3"/>
        <v>0</v>
      </c>
      <c r="W278" s="70">
        <f t="shared" si="4"/>
        <v>0</v>
      </c>
      <c r="X278" s="70"/>
    </row>
    <row r="279" ht="15.75" customHeight="1">
      <c r="A279" s="43" t="s">
        <v>54</v>
      </c>
      <c r="B279" s="44" t="s">
        <v>17</v>
      </c>
      <c r="C279" s="45" t="s">
        <v>65</v>
      </c>
      <c r="D279" s="46" t="s">
        <v>1289</v>
      </c>
      <c r="E279" s="46" t="s">
        <v>1368</v>
      </c>
      <c r="F279" s="48"/>
      <c r="G279" s="48"/>
      <c r="H279" s="48"/>
      <c r="I279" s="48"/>
      <c r="J279" s="48"/>
      <c r="K279" s="50"/>
      <c r="L279" s="50"/>
      <c r="M279" s="48"/>
      <c r="N279" s="43"/>
      <c r="O279" s="43"/>
      <c r="P279" s="43"/>
      <c r="Q279" s="43"/>
      <c r="R279" s="43"/>
      <c r="S279" s="54" t="str">
        <f t="shared" si="1"/>
        <v>-</v>
      </c>
      <c r="T279" s="43" t="str">
        <f>'Kertas Kerja'!$I332</f>
        <v/>
      </c>
      <c r="U279" s="43" t="str">
        <f t="shared" si="2"/>
        <v/>
      </c>
      <c r="V279" s="56">
        <f t="shared" si="3"/>
        <v>0</v>
      </c>
      <c r="W279" s="56">
        <f t="shared" si="4"/>
        <v>0</v>
      </c>
      <c r="X279" s="56"/>
    </row>
    <row r="280" ht="15.75" customHeight="1">
      <c r="A280" s="57" t="s">
        <v>54</v>
      </c>
      <c r="B280" s="58" t="s">
        <v>17</v>
      </c>
      <c r="C280" s="59" t="s">
        <v>65</v>
      </c>
      <c r="D280" s="60" t="s">
        <v>1289</v>
      </c>
      <c r="E280" s="60" t="s">
        <v>1369</v>
      </c>
      <c r="F280" s="68"/>
      <c r="G280" s="68"/>
      <c r="H280" s="68"/>
      <c r="I280" s="68"/>
      <c r="J280" s="68"/>
      <c r="K280" s="67"/>
      <c r="L280" s="67"/>
      <c r="M280" s="68"/>
      <c r="N280" s="57"/>
      <c r="O280" s="57"/>
      <c r="P280" s="57"/>
      <c r="Q280" s="57"/>
      <c r="R280" s="57"/>
      <c r="S280" s="69" t="str">
        <f t="shared" si="1"/>
        <v>-</v>
      </c>
      <c r="T280" s="57" t="str">
        <f>'Kertas Kerja'!$I333</f>
        <v/>
      </c>
      <c r="U280" s="57" t="str">
        <f t="shared" si="2"/>
        <v/>
      </c>
      <c r="V280" s="70">
        <f t="shared" si="3"/>
        <v>0</v>
      </c>
      <c r="W280" s="70">
        <f t="shared" si="4"/>
        <v>0</v>
      </c>
      <c r="X280" s="70"/>
    </row>
    <row r="281" ht="15.75" customHeight="1">
      <c r="A281" s="43" t="s">
        <v>54</v>
      </c>
      <c r="B281" s="44" t="s">
        <v>17</v>
      </c>
      <c r="C281" s="45" t="s">
        <v>65</v>
      </c>
      <c r="D281" s="46" t="s">
        <v>1289</v>
      </c>
      <c r="E281" s="46" t="s">
        <v>1370</v>
      </c>
      <c r="F281" s="48"/>
      <c r="G281" s="48"/>
      <c r="H281" s="48"/>
      <c r="I281" s="48"/>
      <c r="J281" s="48"/>
      <c r="K281" s="50"/>
      <c r="L281" s="50"/>
      <c r="M281" s="48"/>
      <c r="N281" s="43"/>
      <c r="O281" s="43"/>
      <c r="P281" s="43"/>
      <c r="Q281" s="43"/>
      <c r="R281" s="43"/>
      <c r="S281" s="54" t="str">
        <f t="shared" si="1"/>
        <v>-</v>
      </c>
      <c r="T281" s="43" t="str">
        <f>'Kertas Kerja'!$I334</f>
        <v/>
      </c>
      <c r="U281" s="43" t="str">
        <f t="shared" si="2"/>
        <v/>
      </c>
      <c r="V281" s="56">
        <f t="shared" si="3"/>
        <v>0</v>
      </c>
      <c r="W281" s="56">
        <f t="shared" si="4"/>
        <v>0</v>
      </c>
      <c r="X281" s="56"/>
    </row>
    <row r="282" ht="15.75" customHeight="1">
      <c r="A282" s="57" t="s">
        <v>54</v>
      </c>
      <c r="B282" s="58" t="s">
        <v>17</v>
      </c>
      <c r="C282" s="59" t="s">
        <v>65</v>
      </c>
      <c r="D282" s="60" t="s">
        <v>1298</v>
      </c>
      <c r="E282" s="60" t="s">
        <v>1371</v>
      </c>
      <c r="F282" s="68"/>
      <c r="G282" s="68"/>
      <c r="H282" s="68"/>
      <c r="I282" s="68"/>
      <c r="J282" s="68"/>
      <c r="K282" s="67"/>
      <c r="L282" s="67"/>
      <c r="M282" s="68"/>
      <c r="N282" s="57"/>
      <c r="O282" s="57"/>
      <c r="P282" s="57"/>
      <c r="Q282" s="57"/>
      <c r="R282" s="57"/>
      <c r="S282" s="69" t="str">
        <f t="shared" si="1"/>
        <v>-</v>
      </c>
      <c r="T282" s="57" t="str">
        <f>'Kertas Kerja'!$I357</f>
        <v/>
      </c>
      <c r="U282" s="57" t="str">
        <f t="shared" si="2"/>
        <v/>
      </c>
      <c r="V282" s="70">
        <f t="shared" si="3"/>
        <v>0</v>
      </c>
      <c r="W282" s="70">
        <f t="shared" si="4"/>
        <v>0</v>
      </c>
      <c r="X282" s="70"/>
    </row>
    <row r="283" ht="15.75" customHeight="1">
      <c r="A283" s="43" t="s">
        <v>54</v>
      </c>
      <c r="B283" s="44" t="s">
        <v>17</v>
      </c>
      <c r="C283" s="45" t="s">
        <v>65</v>
      </c>
      <c r="D283" s="46" t="s">
        <v>1289</v>
      </c>
      <c r="E283" s="46" t="s">
        <v>1372</v>
      </c>
      <c r="F283" s="48"/>
      <c r="G283" s="48"/>
      <c r="H283" s="48"/>
      <c r="I283" s="48"/>
      <c r="J283" s="48"/>
      <c r="K283" s="50"/>
      <c r="L283" s="50"/>
      <c r="M283" s="48"/>
      <c r="N283" s="43"/>
      <c r="O283" s="43"/>
      <c r="P283" s="43"/>
      <c r="Q283" s="43"/>
      <c r="R283" s="43"/>
      <c r="S283" s="54" t="str">
        <f t="shared" si="1"/>
        <v>-</v>
      </c>
      <c r="T283" s="43" t="str">
        <f>'Kertas Kerja'!$I335</f>
        <v/>
      </c>
      <c r="U283" s="43" t="str">
        <f t="shared" si="2"/>
        <v/>
      </c>
      <c r="V283" s="56">
        <f t="shared" si="3"/>
        <v>0</v>
      </c>
      <c r="W283" s="56">
        <f t="shared" si="4"/>
        <v>0</v>
      </c>
      <c r="X283" s="56"/>
    </row>
    <row r="284" ht="15.75" customHeight="1">
      <c r="A284" s="57" t="s">
        <v>54</v>
      </c>
      <c r="B284" s="58" t="s">
        <v>17</v>
      </c>
      <c r="C284" s="59" t="s">
        <v>65</v>
      </c>
      <c r="D284" s="60" t="s">
        <v>1298</v>
      </c>
      <c r="E284" s="60" t="s">
        <v>1373</v>
      </c>
      <c r="F284" s="68"/>
      <c r="G284" s="68"/>
      <c r="H284" s="68"/>
      <c r="I284" s="68"/>
      <c r="J284" s="68"/>
      <c r="K284" s="67"/>
      <c r="L284" s="67"/>
      <c r="M284" s="68"/>
      <c r="N284" s="57"/>
      <c r="O284" s="57"/>
      <c r="P284" s="57"/>
      <c r="Q284" s="57"/>
      <c r="R284" s="57"/>
      <c r="S284" s="69" t="str">
        <f t="shared" si="1"/>
        <v>-</v>
      </c>
      <c r="T284" s="57" t="str">
        <f>'Kertas Kerja'!$I358</f>
        <v/>
      </c>
      <c r="U284" s="57" t="str">
        <f t="shared" si="2"/>
        <v/>
      </c>
      <c r="V284" s="70">
        <f t="shared" si="3"/>
        <v>0</v>
      </c>
      <c r="W284" s="70">
        <f t="shared" si="4"/>
        <v>0</v>
      </c>
      <c r="X284" s="70"/>
    </row>
    <row r="285" ht="15.75" customHeight="1">
      <c r="A285" s="43" t="s">
        <v>54</v>
      </c>
      <c r="B285" s="44" t="s">
        <v>17</v>
      </c>
      <c r="C285" s="45" t="s">
        <v>65</v>
      </c>
      <c r="D285" s="46" t="s">
        <v>1289</v>
      </c>
      <c r="E285" s="46" t="s">
        <v>1374</v>
      </c>
      <c r="F285" s="48"/>
      <c r="G285" s="48"/>
      <c r="H285" s="48"/>
      <c r="I285" s="48"/>
      <c r="J285" s="48"/>
      <c r="K285" s="50"/>
      <c r="L285" s="50"/>
      <c r="M285" s="48"/>
      <c r="N285" s="43"/>
      <c r="O285" s="43"/>
      <c r="P285" s="43"/>
      <c r="Q285" s="43"/>
      <c r="R285" s="43"/>
      <c r="S285" s="54" t="str">
        <f t="shared" si="1"/>
        <v>-</v>
      </c>
      <c r="T285" s="43" t="str">
        <f>'Kertas Kerja'!$I336</f>
        <v/>
      </c>
      <c r="U285" s="43" t="str">
        <f t="shared" si="2"/>
        <v/>
      </c>
      <c r="V285" s="56">
        <f t="shared" si="3"/>
        <v>0</v>
      </c>
      <c r="W285" s="56">
        <f t="shared" si="4"/>
        <v>0</v>
      </c>
      <c r="X285" s="56"/>
    </row>
    <row r="286" ht="15.75" customHeight="1">
      <c r="A286" s="57" t="s">
        <v>54</v>
      </c>
      <c r="B286" s="58" t="s">
        <v>17</v>
      </c>
      <c r="C286" s="59" t="s">
        <v>65</v>
      </c>
      <c r="D286" s="60" t="s">
        <v>1289</v>
      </c>
      <c r="E286" s="60" t="s">
        <v>1375</v>
      </c>
      <c r="F286" s="68"/>
      <c r="G286" s="68"/>
      <c r="H286" s="68"/>
      <c r="I286" s="68"/>
      <c r="J286" s="68"/>
      <c r="K286" s="67"/>
      <c r="L286" s="67"/>
      <c r="M286" s="68"/>
      <c r="N286" s="57"/>
      <c r="O286" s="57"/>
      <c r="P286" s="57"/>
      <c r="Q286" s="57"/>
      <c r="R286" s="57"/>
      <c r="S286" s="69" t="str">
        <f t="shared" si="1"/>
        <v>-</v>
      </c>
      <c r="T286" s="57" t="str">
        <f>'Kertas Kerja'!$I337</f>
        <v/>
      </c>
      <c r="U286" s="57" t="str">
        <f t="shared" si="2"/>
        <v/>
      </c>
      <c r="V286" s="70">
        <f t="shared" si="3"/>
        <v>0</v>
      </c>
      <c r="W286" s="70">
        <f t="shared" si="4"/>
        <v>0</v>
      </c>
      <c r="X286" s="70"/>
    </row>
    <row r="287" ht="15.75" customHeight="1">
      <c r="A287" s="43" t="s">
        <v>54</v>
      </c>
      <c r="B287" s="44" t="s">
        <v>17</v>
      </c>
      <c r="C287" s="45" t="s">
        <v>65</v>
      </c>
      <c r="D287" s="46" t="s">
        <v>1298</v>
      </c>
      <c r="E287" s="46" t="s">
        <v>1376</v>
      </c>
      <c r="F287" s="48"/>
      <c r="G287" s="48"/>
      <c r="H287" s="48"/>
      <c r="I287" s="48"/>
      <c r="J287" s="48"/>
      <c r="K287" s="50"/>
      <c r="L287" s="50"/>
      <c r="M287" s="48"/>
      <c r="N287" s="43"/>
      <c r="O287" s="43"/>
      <c r="P287" s="43"/>
      <c r="Q287" s="43"/>
      <c r="R287" s="43"/>
      <c r="S287" s="54" t="str">
        <f t="shared" si="1"/>
        <v>-</v>
      </c>
      <c r="T287" s="43" t="str">
        <f>'Kertas Kerja'!$I359</f>
        <v/>
      </c>
      <c r="U287" s="43" t="str">
        <f t="shared" si="2"/>
        <v/>
      </c>
      <c r="V287" s="56">
        <f t="shared" si="3"/>
        <v>0</v>
      </c>
      <c r="W287" s="56">
        <f t="shared" si="4"/>
        <v>0</v>
      </c>
      <c r="X287" s="56"/>
    </row>
    <row r="288" ht="15.75" customHeight="1">
      <c r="A288" s="57" t="s">
        <v>54</v>
      </c>
      <c r="B288" s="58" t="s">
        <v>17</v>
      </c>
      <c r="C288" s="59" t="s">
        <v>65</v>
      </c>
      <c r="D288" s="60" t="s">
        <v>1298</v>
      </c>
      <c r="E288" s="60" t="s">
        <v>1377</v>
      </c>
      <c r="F288" s="68"/>
      <c r="G288" s="68"/>
      <c r="H288" s="68"/>
      <c r="I288" s="68"/>
      <c r="J288" s="68"/>
      <c r="K288" s="67"/>
      <c r="L288" s="67"/>
      <c r="M288" s="68"/>
      <c r="N288" s="57"/>
      <c r="O288" s="57"/>
      <c r="P288" s="57"/>
      <c r="Q288" s="57"/>
      <c r="R288" s="57"/>
      <c r="S288" s="69" t="str">
        <f t="shared" si="1"/>
        <v>-</v>
      </c>
      <c r="T288" s="57" t="str">
        <f>'Kertas Kerja'!$I360</f>
        <v/>
      </c>
      <c r="U288" s="57" t="str">
        <f t="shared" si="2"/>
        <v/>
      </c>
      <c r="V288" s="70">
        <f t="shared" si="3"/>
        <v>0</v>
      </c>
      <c r="W288" s="70">
        <f t="shared" si="4"/>
        <v>0</v>
      </c>
      <c r="X288" s="70"/>
    </row>
    <row r="289" ht="15.75" customHeight="1">
      <c r="A289" s="43" t="s">
        <v>54</v>
      </c>
      <c r="B289" s="44" t="s">
        <v>17</v>
      </c>
      <c r="C289" s="45" t="s">
        <v>65</v>
      </c>
      <c r="D289" s="46" t="s">
        <v>1298</v>
      </c>
      <c r="E289" s="46" t="s">
        <v>1378</v>
      </c>
      <c r="F289" s="48"/>
      <c r="G289" s="48"/>
      <c r="H289" s="48"/>
      <c r="I289" s="48"/>
      <c r="J289" s="48"/>
      <c r="K289" s="50"/>
      <c r="L289" s="50"/>
      <c r="M289" s="48"/>
      <c r="N289" s="43"/>
      <c r="O289" s="43"/>
      <c r="P289" s="43"/>
      <c r="Q289" s="43"/>
      <c r="R289" s="43"/>
      <c r="S289" s="54" t="str">
        <f t="shared" si="1"/>
        <v>-</v>
      </c>
      <c r="T289" s="43" t="str">
        <f>'Kertas Kerja'!$I361</f>
        <v/>
      </c>
      <c r="U289" s="43" t="str">
        <f t="shared" si="2"/>
        <v/>
      </c>
      <c r="V289" s="56">
        <f t="shared" si="3"/>
        <v>0</v>
      </c>
      <c r="W289" s="56">
        <f t="shared" si="4"/>
        <v>0</v>
      </c>
      <c r="X289" s="56"/>
    </row>
    <row r="290" ht="15.75" customHeight="1">
      <c r="A290" s="57" t="s">
        <v>54</v>
      </c>
      <c r="B290" s="58" t="s">
        <v>17</v>
      </c>
      <c r="C290" s="59" t="s">
        <v>65</v>
      </c>
      <c r="D290" s="60" t="s">
        <v>1289</v>
      </c>
      <c r="E290" s="60" t="s">
        <v>1379</v>
      </c>
      <c r="F290" s="68"/>
      <c r="G290" s="68"/>
      <c r="H290" s="68"/>
      <c r="I290" s="68"/>
      <c r="J290" s="68"/>
      <c r="K290" s="67"/>
      <c r="L290" s="67"/>
      <c r="M290" s="68"/>
      <c r="N290" s="57"/>
      <c r="O290" s="57"/>
      <c r="P290" s="57"/>
      <c r="Q290" s="57"/>
      <c r="R290" s="57"/>
      <c r="S290" s="69" t="str">
        <f t="shared" si="1"/>
        <v>-</v>
      </c>
      <c r="T290" s="57" t="str">
        <f>'Kertas Kerja'!$I338</f>
        <v/>
      </c>
      <c r="U290" s="57" t="str">
        <f t="shared" si="2"/>
        <v/>
      </c>
      <c r="V290" s="70">
        <f t="shared" si="3"/>
        <v>0</v>
      </c>
      <c r="W290" s="70">
        <f t="shared" si="4"/>
        <v>0</v>
      </c>
      <c r="X290" s="70"/>
    </row>
    <row r="291" ht="15.75" customHeight="1">
      <c r="A291" s="43" t="s">
        <v>54</v>
      </c>
      <c r="B291" s="44" t="s">
        <v>17</v>
      </c>
      <c r="C291" s="45" t="s">
        <v>65</v>
      </c>
      <c r="D291" s="46" t="s">
        <v>1281</v>
      </c>
      <c r="E291" s="46" t="s">
        <v>1380</v>
      </c>
      <c r="F291" s="48"/>
      <c r="G291" s="48"/>
      <c r="H291" s="48"/>
      <c r="I291" s="48"/>
      <c r="J291" s="48"/>
      <c r="K291" s="50"/>
      <c r="L291" s="50"/>
      <c r="M291" s="48"/>
      <c r="N291" s="43"/>
      <c r="O291" s="43"/>
      <c r="P291" s="43"/>
      <c r="Q291" s="43"/>
      <c r="R291" s="43"/>
      <c r="S291" s="54" t="str">
        <f t="shared" si="1"/>
        <v>-</v>
      </c>
      <c r="T291" s="43" t="str">
        <f>'Kertas Kerja'!$I324</f>
        <v/>
      </c>
      <c r="U291" s="43" t="str">
        <f t="shared" si="2"/>
        <v/>
      </c>
      <c r="V291" s="56">
        <f t="shared" si="3"/>
        <v>0</v>
      </c>
      <c r="W291" s="56">
        <f t="shared" si="4"/>
        <v>0</v>
      </c>
      <c r="X291" s="56"/>
    </row>
    <row r="292" ht="15.75" customHeight="1">
      <c r="A292" s="57" t="s">
        <v>54</v>
      </c>
      <c r="B292" s="58" t="s">
        <v>17</v>
      </c>
      <c r="C292" s="59" t="s">
        <v>65</v>
      </c>
      <c r="D292" s="60" t="s">
        <v>1292</v>
      </c>
      <c r="E292" s="60" t="s">
        <v>1381</v>
      </c>
      <c r="F292" s="68"/>
      <c r="G292" s="68"/>
      <c r="H292" s="68"/>
      <c r="I292" s="68"/>
      <c r="J292" s="68"/>
      <c r="K292" s="67"/>
      <c r="L292" s="67"/>
      <c r="M292" s="68"/>
      <c r="N292" s="57"/>
      <c r="O292" s="57"/>
      <c r="P292" s="57"/>
      <c r="Q292" s="57"/>
      <c r="R292" s="57"/>
      <c r="S292" s="69" t="str">
        <f t="shared" si="1"/>
        <v>-</v>
      </c>
      <c r="T292" s="57" t="str">
        <f>'Kertas Kerja'!$I308</f>
        <v/>
      </c>
      <c r="U292" s="57" t="str">
        <f t="shared" si="2"/>
        <v/>
      </c>
      <c r="V292" s="70">
        <f t="shared" si="3"/>
        <v>0</v>
      </c>
      <c r="W292" s="70">
        <f t="shared" si="4"/>
        <v>0</v>
      </c>
      <c r="X292" s="70"/>
    </row>
    <row r="293" ht="15.75" customHeight="1">
      <c r="A293" s="43" t="s">
        <v>54</v>
      </c>
      <c r="B293" s="44" t="s">
        <v>17</v>
      </c>
      <c r="C293" s="45" t="s">
        <v>110</v>
      </c>
      <c r="D293" s="46" t="s">
        <v>111</v>
      </c>
      <c r="E293" s="46" t="s">
        <v>113</v>
      </c>
      <c r="F293" s="48"/>
      <c r="G293" s="48"/>
      <c r="H293" s="48"/>
      <c r="I293" s="48"/>
      <c r="J293" s="48"/>
      <c r="K293" s="50"/>
      <c r="L293" s="50"/>
      <c r="M293" s="48"/>
      <c r="N293" s="43"/>
      <c r="O293" s="43"/>
      <c r="P293" s="43"/>
      <c r="Q293" s="43"/>
      <c r="R293" s="43"/>
      <c r="S293" s="54" t="str">
        <f t="shared" si="1"/>
        <v>-</v>
      </c>
      <c r="T293" s="43" t="str">
        <f>'Kertas Kerja'!$I215</f>
        <v/>
      </c>
      <c r="U293" s="43" t="str">
        <f t="shared" si="2"/>
        <v/>
      </c>
      <c r="V293" s="56">
        <f t="shared" si="3"/>
        <v>0</v>
      </c>
      <c r="W293" s="56">
        <f t="shared" si="4"/>
        <v>0</v>
      </c>
      <c r="X293" s="56"/>
    </row>
    <row r="294" ht="15.75" customHeight="1">
      <c r="A294" s="57" t="s">
        <v>54</v>
      </c>
      <c r="B294" s="58" t="s">
        <v>17</v>
      </c>
      <c r="C294" s="59" t="s">
        <v>110</v>
      </c>
      <c r="D294" s="60" t="s">
        <v>111</v>
      </c>
      <c r="E294" s="60" t="s">
        <v>455</v>
      </c>
      <c r="F294" s="68"/>
      <c r="G294" s="68"/>
      <c r="H294" s="68"/>
      <c r="I294" s="68"/>
      <c r="J294" s="68"/>
      <c r="K294" s="67"/>
      <c r="L294" s="67"/>
      <c r="M294" s="68"/>
      <c r="N294" s="57"/>
      <c r="O294" s="57"/>
      <c r="P294" s="57"/>
      <c r="Q294" s="57"/>
      <c r="R294" s="57"/>
      <c r="S294" s="69" t="str">
        <f t="shared" si="1"/>
        <v>-</v>
      </c>
      <c r="T294" s="57" t="str">
        <f>'Kertas Kerja'!$I216</f>
        <v/>
      </c>
      <c r="U294" s="57" t="str">
        <f t="shared" si="2"/>
        <v/>
      </c>
      <c r="V294" s="70">
        <f t="shared" si="3"/>
        <v>0</v>
      </c>
      <c r="W294" s="70">
        <f t="shared" si="4"/>
        <v>0</v>
      </c>
      <c r="X294" s="70"/>
    </row>
    <row r="295" ht="15.75" customHeight="1">
      <c r="A295" s="43" t="s">
        <v>54</v>
      </c>
      <c r="B295" s="44" t="s">
        <v>17</v>
      </c>
      <c r="C295" s="45" t="s">
        <v>110</v>
      </c>
      <c r="D295" s="46" t="s">
        <v>111</v>
      </c>
      <c r="E295" s="46" t="s">
        <v>174</v>
      </c>
      <c r="F295" s="48"/>
      <c r="G295" s="48"/>
      <c r="H295" s="48"/>
      <c r="I295" s="48"/>
      <c r="J295" s="48"/>
      <c r="K295" s="50"/>
      <c r="L295" s="50"/>
      <c r="M295" s="48"/>
      <c r="N295" s="43"/>
      <c r="O295" s="43"/>
      <c r="P295" s="43"/>
      <c r="Q295" s="43"/>
      <c r="R295" s="43"/>
      <c r="S295" s="54" t="str">
        <f t="shared" si="1"/>
        <v>-</v>
      </c>
      <c r="T295" s="43" t="str">
        <f>'Kertas Kerja'!$I217</f>
        <v/>
      </c>
      <c r="U295" s="43" t="str">
        <f t="shared" si="2"/>
        <v/>
      </c>
      <c r="V295" s="56">
        <f t="shared" si="3"/>
        <v>0</v>
      </c>
      <c r="W295" s="56">
        <f t="shared" si="4"/>
        <v>0</v>
      </c>
      <c r="X295" s="56"/>
    </row>
    <row r="296" ht="15.75" customHeight="1">
      <c r="A296" s="57" t="s">
        <v>54</v>
      </c>
      <c r="B296" s="58" t="s">
        <v>17</v>
      </c>
      <c r="C296" s="59" t="s">
        <v>110</v>
      </c>
      <c r="D296" s="60" t="s">
        <v>485</v>
      </c>
      <c r="E296" s="60" t="s">
        <v>486</v>
      </c>
      <c r="F296" s="68"/>
      <c r="G296" s="68"/>
      <c r="H296" s="68"/>
      <c r="I296" s="68">
        <v>12.0</v>
      </c>
      <c r="J296" s="68" t="s">
        <v>322</v>
      </c>
      <c r="K296" s="67"/>
      <c r="L296" s="67"/>
      <c r="M296" s="68"/>
      <c r="N296" s="57"/>
      <c r="O296" s="57"/>
      <c r="P296" s="57"/>
      <c r="Q296" s="57"/>
      <c r="R296" s="57"/>
      <c r="S296" s="69" t="str">
        <f t="shared" si="1"/>
        <v>-</v>
      </c>
      <c r="T296" s="57" t="str">
        <f>'Kertas Kerja'!$I227</f>
        <v/>
      </c>
      <c r="U296" s="57" t="str">
        <f t="shared" si="2"/>
        <v/>
      </c>
      <c r="V296" s="70">
        <f t="shared" si="3"/>
        <v>0</v>
      </c>
      <c r="W296" s="70">
        <f t="shared" si="4"/>
        <v>0</v>
      </c>
      <c r="X296" s="70"/>
    </row>
    <row r="297" ht="15.75" customHeight="1">
      <c r="A297" s="43" t="s">
        <v>54</v>
      </c>
      <c r="B297" s="44" t="s">
        <v>17</v>
      </c>
      <c r="C297" s="45" t="s">
        <v>110</v>
      </c>
      <c r="D297" s="46" t="s">
        <v>485</v>
      </c>
      <c r="E297" s="46" t="s">
        <v>499</v>
      </c>
      <c r="F297" s="48"/>
      <c r="G297" s="48"/>
      <c r="H297" s="48"/>
      <c r="I297" s="48"/>
      <c r="J297" s="48"/>
      <c r="K297" s="50"/>
      <c r="L297" s="50"/>
      <c r="M297" s="48"/>
      <c r="N297" s="43"/>
      <c r="O297" s="43"/>
      <c r="P297" s="43"/>
      <c r="Q297" s="43"/>
      <c r="R297" s="43"/>
      <c r="S297" s="54" t="str">
        <f t="shared" si="1"/>
        <v>-</v>
      </c>
      <c r="T297" s="43" t="str">
        <f>'Kertas Kerja'!$I228</f>
        <v/>
      </c>
      <c r="U297" s="43" t="str">
        <f t="shared" si="2"/>
        <v/>
      </c>
      <c r="V297" s="56">
        <f t="shared" si="3"/>
        <v>0</v>
      </c>
      <c r="W297" s="56">
        <f t="shared" si="4"/>
        <v>0</v>
      </c>
      <c r="X297" s="56"/>
    </row>
    <row r="298" ht="15.75" customHeight="1">
      <c r="A298" s="57" t="s">
        <v>54</v>
      </c>
      <c r="B298" s="58" t="s">
        <v>17</v>
      </c>
      <c r="C298" s="59" t="s">
        <v>110</v>
      </c>
      <c r="D298" s="60" t="s">
        <v>485</v>
      </c>
      <c r="E298" s="60" t="s">
        <v>611</v>
      </c>
      <c r="F298" s="68"/>
      <c r="G298" s="68"/>
      <c r="H298" s="68"/>
      <c r="I298" s="68"/>
      <c r="J298" s="68"/>
      <c r="K298" s="67"/>
      <c r="L298" s="67"/>
      <c r="M298" s="68"/>
      <c r="N298" s="57"/>
      <c r="O298" s="57"/>
      <c r="P298" s="57"/>
      <c r="Q298" s="57"/>
      <c r="R298" s="57"/>
      <c r="S298" s="69" t="str">
        <f t="shared" si="1"/>
        <v>-</v>
      </c>
      <c r="T298" s="57" t="str">
        <f>'Kertas Kerja'!$I229</f>
        <v/>
      </c>
      <c r="U298" s="57" t="str">
        <f t="shared" si="2"/>
        <v/>
      </c>
      <c r="V298" s="70">
        <f t="shared" si="3"/>
        <v>0</v>
      </c>
      <c r="W298" s="70">
        <f t="shared" si="4"/>
        <v>0</v>
      </c>
      <c r="X298" s="70"/>
    </row>
    <row r="299" ht="15.75" customHeight="1">
      <c r="A299" s="43" t="s">
        <v>54</v>
      </c>
      <c r="B299" s="44" t="s">
        <v>17</v>
      </c>
      <c r="C299" s="45" t="s">
        <v>110</v>
      </c>
      <c r="D299" s="46" t="s">
        <v>485</v>
      </c>
      <c r="E299" s="46" t="s">
        <v>665</v>
      </c>
      <c r="F299" s="48"/>
      <c r="G299" s="48"/>
      <c r="H299" s="48"/>
      <c r="I299" s="48"/>
      <c r="J299" s="48"/>
      <c r="K299" s="50"/>
      <c r="L299" s="50"/>
      <c r="M299" s="48"/>
      <c r="N299" s="43"/>
      <c r="O299" s="43"/>
      <c r="P299" s="43"/>
      <c r="Q299" s="43"/>
      <c r="R299" s="43"/>
      <c r="S299" s="54" t="str">
        <f t="shared" si="1"/>
        <v>-</v>
      </c>
      <c r="T299" s="43" t="str">
        <f>'Kertas Kerja'!$I230</f>
        <v/>
      </c>
      <c r="U299" s="43" t="str">
        <f t="shared" si="2"/>
        <v/>
      </c>
      <c r="V299" s="56">
        <f t="shared" si="3"/>
        <v>0</v>
      </c>
      <c r="W299" s="56">
        <f t="shared" si="4"/>
        <v>0</v>
      </c>
      <c r="X299" s="56"/>
    </row>
    <row r="300" ht="15.75" customHeight="1">
      <c r="A300" s="57" t="s">
        <v>54</v>
      </c>
      <c r="B300" s="58" t="s">
        <v>17</v>
      </c>
      <c r="C300" s="59" t="s">
        <v>110</v>
      </c>
      <c r="D300" s="60" t="s">
        <v>485</v>
      </c>
      <c r="E300" s="60" t="s">
        <v>681</v>
      </c>
      <c r="F300" s="68"/>
      <c r="G300" s="68"/>
      <c r="H300" s="68"/>
      <c r="I300" s="68"/>
      <c r="J300" s="68"/>
      <c r="K300" s="67"/>
      <c r="L300" s="67"/>
      <c r="M300" s="68"/>
      <c r="N300" s="57"/>
      <c r="O300" s="57"/>
      <c r="P300" s="57"/>
      <c r="Q300" s="57"/>
      <c r="R300" s="57"/>
      <c r="S300" s="69" t="str">
        <f t="shared" si="1"/>
        <v>-</v>
      </c>
      <c r="T300" s="57" t="str">
        <f>'Kertas Kerja'!$I231</f>
        <v/>
      </c>
      <c r="U300" s="57" t="str">
        <f t="shared" si="2"/>
        <v/>
      </c>
      <c r="V300" s="70">
        <f t="shared" si="3"/>
        <v>0</v>
      </c>
      <c r="W300" s="70">
        <f t="shared" si="4"/>
        <v>0</v>
      </c>
      <c r="X300" s="70"/>
    </row>
    <row r="301" ht="15.75" customHeight="1">
      <c r="A301" s="43" t="s">
        <v>54</v>
      </c>
      <c r="B301" s="44" t="s">
        <v>17</v>
      </c>
      <c r="C301" s="45" t="s">
        <v>110</v>
      </c>
      <c r="D301" s="46" t="s">
        <v>472</v>
      </c>
      <c r="E301" s="46" t="s">
        <v>698</v>
      </c>
      <c r="F301" s="48"/>
      <c r="G301" s="48"/>
      <c r="H301" s="48"/>
      <c r="I301" s="48"/>
      <c r="J301" s="48"/>
      <c r="K301" s="50"/>
      <c r="L301" s="50"/>
      <c r="M301" s="48"/>
      <c r="N301" s="43"/>
      <c r="O301" s="43"/>
      <c r="P301" s="43"/>
      <c r="Q301" s="43"/>
      <c r="R301" s="43"/>
      <c r="S301" s="54" t="str">
        <f t="shared" si="1"/>
        <v>-</v>
      </c>
      <c r="T301" s="43" t="str">
        <f>'Kertas Kerja'!$I223</f>
        <v/>
      </c>
      <c r="U301" s="43" t="str">
        <f t="shared" si="2"/>
        <v/>
      </c>
      <c r="V301" s="56">
        <f t="shared" si="3"/>
        <v>0</v>
      </c>
      <c r="W301" s="56">
        <f t="shared" si="4"/>
        <v>0</v>
      </c>
      <c r="X301" s="56"/>
    </row>
    <row r="302" ht="15.75" customHeight="1">
      <c r="A302" s="57" t="s">
        <v>54</v>
      </c>
      <c r="B302" s="58" t="s">
        <v>17</v>
      </c>
      <c r="C302" s="59" t="s">
        <v>110</v>
      </c>
      <c r="D302" s="60" t="s">
        <v>472</v>
      </c>
      <c r="E302" s="60" t="s">
        <v>700</v>
      </c>
      <c r="F302" s="68"/>
      <c r="G302" s="68"/>
      <c r="H302" s="68"/>
      <c r="I302" s="68"/>
      <c r="J302" s="68"/>
      <c r="K302" s="67"/>
      <c r="L302" s="67"/>
      <c r="M302" s="68"/>
      <c r="N302" s="57"/>
      <c r="O302" s="57"/>
      <c r="P302" s="57"/>
      <c r="Q302" s="57"/>
      <c r="R302" s="57"/>
      <c r="S302" s="69" t="str">
        <f t="shared" si="1"/>
        <v>-</v>
      </c>
      <c r="T302" s="57" t="str">
        <f>'Kertas Kerja'!$I224</f>
        <v/>
      </c>
      <c r="U302" s="57" t="str">
        <f t="shared" si="2"/>
        <v/>
      </c>
      <c r="V302" s="70">
        <f t="shared" si="3"/>
        <v>0</v>
      </c>
      <c r="W302" s="70">
        <f t="shared" si="4"/>
        <v>0</v>
      </c>
      <c r="X302" s="70"/>
    </row>
    <row r="303" ht="15.75" customHeight="1">
      <c r="A303" s="43" t="s">
        <v>54</v>
      </c>
      <c r="B303" s="44" t="s">
        <v>17</v>
      </c>
      <c r="C303" s="45" t="s">
        <v>110</v>
      </c>
      <c r="D303" s="46" t="s">
        <v>789</v>
      </c>
      <c r="E303" s="46" t="s">
        <v>1382</v>
      </c>
      <c r="F303" s="48"/>
      <c r="G303" s="48"/>
      <c r="H303" s="48"/>
      <c r="I303" s="48"/>
      <c r="J303" s="48"/>
      <c r="K303" s="50"/>
      <c r="L303" s="50"/>
      <c r="M303" s="48"/>
      <c r="N303" s="43"/>
      <c r="O303" s="43"/>
      <c r="P303" s="43"/>
      <c r="Q303" s="43"/>
      <c r="R303" s="43"/>
      <c r="S303" s="54" t="str">
        <f t="shared" si="1"/>
        <v>-</v>
      </c>
      <c r="T303" s="43" t="str">
        <f>'Kertas Kerja'!$I214</f>
        <v/>
      </c>
      <c r="U303" s="43" t="str">
        <f t="shared" si="2"/>
        <v/>
      </c>
      <c r="V303" s="56">
        <f t="shared" si="3"/>
        <v>0</v>
      </c>
      <c r="W303" s="56">
        <f t="shared" si="4"/>
        <v>0</v>
      </c>
      <c r="X303" s="56"/>
    </row>
    <row r="304" ht="15.75" customHeight="1">
      <c r="A304" s="57" t="s">
        <v>54</v>
      </c>
      <c r="B304" s="58" t="s">
        <v>17</v>
      </c>
      <c r="C304" s="59" t="s">
        <v>110</v>
      </c>
      <c r="D304" s="60" t="s">
        <v>111</v>
      </c>
      <c r="E304" s="60" t="s">
        <v>703</v>
      </c>
      <c r="F304" s="68"/>
      <c r="G304" s="68"/>
      <c r="H304" s="68"/>
      <c r="I304" s="68"/>
      <c r="J304" s="68"/>
      <c r="K304" s="67"/>
      <c r="L304" s="67"/>
      <c r="M304" s="68"/>
      <c r="N304" s="57"/>
      <c r="O304" s="57"/>
      <c r="P304" s="57"/>
      <c r="Q304" s="57"/>
      <c r="R304" s="57"/>
      <c r="S304" s="69" t="str">
        <f t="shared" si="1"/>
        <v>-</v>
      </c>
      <c r="T304" s="57" t="str">
        <f>'Kertas Kerja'!$I218</f>
        <v/>
      </c>
      <c r="U304" s="57" t="str">
        <f t="shared" si="2"/>
        <v/>
      </c>
      <c r="V304" s="70">
        <f t="shared" si="3"/>
        <v>0</v>
      </c>
      <c r="W304" s="70">
        <f t="shared" si="4"/>
        <v>0</v>
      </c>
      <c r="X304" s="70"/>
    </row>
    <row r="305" ht="15.75" customHeight="1">
      <c r="A305" s="43" t="s">
        <v>54</v>
      </c>
      <c r="B305" s="44" t="s">
        <v>17</v>
      </c>
      <c r="C305" s="45" t="s">
        <v>110</v>
      </c>
      <c r="D305" s="46" t="s">
        <v>706</v>
      </c>
      <c r="E305" s="46" t="s">
        <v>706</v>
      </c>
      <c r="F305" s="48"/>
      <c r="G305" s="48"/>
      <c r="H305" s="48"/>
      <c r="I305" s="48"/>
      <c r="J305" s="48"/>
      <c r="K305" s="50"/>
      <c r="L305" s="50"/>
      <c r="M305" s="48"/>
      <c r="N305" s="43"/>
      <c r="O305" s="43"/>
      <c r="P305" s="43"/>
      <c r="Q305" s="43"/>
      <c r="R305" s="43"/>
      <c r="S305" s="54" t="str">
        <f t="shared" si="1"/>
        <v>-</v>
      </c>
      <c r="T305" s="43" t="str">
        <f>'Kertas Kerja'!$I210</f>
        <v/>
      </c>
      <c r="U305" s="43" t="str">
        <f t="shared" si="2"/>
        <v/>
      </c>
      <c r="V305" s="56">
        <f t="shared" si="3"/>
        <v>0</v>
      </c>
      <c r="W305" s="56">
        <f t="shared" si="4"/>
        <v>0</v>
      </c>
      <c r="X305" s="56"/>
    </row>
    <row r="306" ht="15.75" customHeight="1">
      <c r="A306" s="57" t="s">
        <v>54</v>
      </c>
      <c r="B306" s="58" t="s">
        <v>17</v>
      </c>
      <c r="C306" s="59" t="s">
        <v>110</v>
      </c>
      <c r="D306" s="60" t="s">
        <v>709</v>
      </c>
      <c r="E306" s="60" t="s">
        <v>709</v>
      </c>
      <c r="F306" s="68"/>
      <c r="G306" s="68"/>
      <c r="H306" s="68"/>
      <c r="I306" s="68"/>
      <c r="J306" s="68"/>
      <c r="K306" s="67"/>
      <c r="L306" s="67"/>
      <c r="M306" s="68"/>
      <c r="N306" s="57"/>
      <c r="O306" s="57"/>
      <c r="P306" s="57"/>
      <c r="Q306" s="57"/>
      <c r="R306" s="57"/>
      <c r="S306" s="69" t="str">
        <f t="shared" si="1"/>
        <v>-</v>
      </c>
      <c r="T306" s="57" t="str">
        <f>'Kertas Kerja'!$I211</f>
        <v/>
      </c>
      <c r="U306" s="57" t="str">
        <f t="shared" si="2"/>
        <v/>
      </c>
      <c r="V306" s="70">
        <f t="shared" si="3"/>
        <v>0</v>
      </c>
      <c r="W306" s="70">
        <f t="shared" si="4"/>
        <v>0</v>
      </c>
      <c r="X306" s="70"/>
    </row>
    <row r="307" ht="15.75" customHeight="1">
      <c r="A307" s="43" t="s">
        <v>54</v>
      </c>
      <c r="B307" s="44" t="s">
        <v>17</v>
      </c>
      <c r="C307" s="45" t="s">
        <v>110</v>
      </c>
      <c r="D307" s="46" t="s">
        <v>709</v>
      </c>
      <c r="E307" s="46" t="s">
        <v>709</v>
      </c>
      <c r="F307" s="48"/>
      <c r="G307" s="48"/>
      <c r="H307" s="48"/>
      <c r="I307" s="48"/>
      <c r="J307" s="48"/>
      <c r="K307" s="50"/>
      <c r="L307" s="50"/>
      <c r="M307" s="48"/>
      <c r="N307" s="43"/>
      <c r="O307" s="43"/>
      <c r="P307" s="43"/>
      <c r="Q307" s="43"/>
      <c r="R307" s="43"/>
      <c r="S307" s="54" t="str">
        <f t="shared" si="1"/>
        <v>-</v>
      </c>
      <c r="T307" s="43" t="str">
        <f>'Kertas Kerja'!$I212</f>
        <v/>
      </c>
      <c r="U307" s="43" t="str">
        <f t="shared" si="2"/>
        <v/>
      </c>
      <c r="V307" s="56">
        <f t="shared" si="3"/>
        <v>0</v>
      </c>
      <c r="W307" s="56">
        <f t="shared" si="4"/>
        <v>0</v>
      </c>
      <c r="X307" s="56"/>
    </row>
    <row r="308" ht="15.75" customHeight="1">
      <c r="A308" s="57" t="s">
        <v>54</v>
      </c>
      <c r="B308" s="58" t="s">
        <v>17</v>
      </c>
      <c r="C308" s="59" t="s">
        <v>110</v>
      </c>
      <c r="D308" s="60" t="s">
        <v>111</v>
      </c>
      <c r="E308" s="60" t="s">
        <v>711</v>
      </c>
      <c r="F308" s="68"/>
      <c r="G308" s="68"/>
      <c r="H308" s="68"/>
      <c r="I308" s="68"/>
      <c r="J308" s="68"/>
      <c r="K308" s="67"/>
      <c r="L308" s="67"/>
      <c r="M308" s="68"/>
      <c r="N308" s="57"/>
      <c r="O308" s="57"/>
      <c r="P308" s="57"/>
      <c r="Q308" s="57"/>
      <c r="R308" s="57"/>
      <c r="S308" s="69" t="str">
        <f t="shared" si="1"/>
        <v>-</v>
      </c>
      <c r="T308" s="57" t="str">
        <f>'Kertas Kerja'!$I219</f>
        <v/>
      </c>
      <c r="U308" s="57" t="str">
        <f t="shared" si="2"/>
        <v/>
      </c>
      <c r="V308" s="70">
        <f t="shared" si="3"/>
        <v>0</v>
      </c>
      <c r="W308" s="70">
        <f t="shared" si="4"/>
        <v>0</v>
      </c>
      <c r="X308" s="70"/>
    </row>
    <row r="309" ht="15.75" customHeight="1">
      <c r="A309" s="43" t="s">
        <v>54</v>
      </c>
      <c r="B309" s="44" t="s">
        <v>17</v>
      </c>
      <c r="C309" s="45" t="s">
        <v>110</v>
      </c>
      <c r="D309" s="46" t="s">
        <v>111</v>
      </c>
      <c r="E309" s="46" t="s">
        <v>714</v>
      </c>
      <c r="F309" s="48"/>
      <c r="G309" s="48"/>
      <c r="H309" s="48"/>
      <c r="I309" s="48"/>
      <c r="J309" s="48"/>
      <c r="K309" s="50"/>
      <c r="L309" s="50"/>
      <c r="M309" s="48"/>
      <c r="N309" s="43"/>
      <c r="O309" s="43"/>
      <c r="P309" s="43"/>
      <c r="Q309" s="43"/>
      <c r="R309" s="43"/>
      <c r="S309" s="54" t="str">
        <f t="shared" si="1"/>
        <v>-</v>
      </c>
      <c r="T309" s="43" t="str">
        <f>'Kertas Kerja'!$I220</f>
        <v/>
      </c>
      <c r="U309" s="43" t="str">
        <f t="shared" si="2"/>
        <v/>
      </c>
      <c r="V309" s="56">
        <f t="shared" si="3"/>
        <v>0</v>
      </c>
      <c r="W309" s="56">
        <f t="shared" si="4"/>
        <v>0</v>
      </c>
      <c r="X309" s="56"/>
    </row>
    <row r="310" ht="15.75" customHeight="1">
      <c r="A310" s="57" t="s">
        <v>54</v>
      </c>
      <c r="B310" s="58" t="s">
        <v>17</v>
      </c>
      <c r="C310" s="59" t="s">
        <v>110</v>
      </c>
      <c r="D310" s="60" t="s">
        <v>111</v>
      </c>
      <c r="E310" s="60" t="s">
        <v>144</v>
      </c>
      <c r="F310" s="68"/>
      <c r="G310" s="68"/>
      <c r="H310" s="68"/>
      <c r="I310" s="68"/>
      <c r="J310" s="68"/>
      <c r="K310" s="67"/>
      <c r="L310" s="67"/>
      <c r="M310" s="68"/>
      <c r="N310" s="57"/>
      <c r="O310" s="57"/>
      <c r="P310" s="57"/>
      <c r="Q310" s="57"/>
      <c r="R310" s="57"/>
      <c r="S310" s="69" t="str">
        <f t="shared" si="1"/>
        <v>-</v>
      </c>
      <c r="T310" s="57" t="str">
        <f>'Kertas Kerja'!$I221</f>
        <v/>
      </c>
      <c r="U310" s="57" t="str">
        <f t="shared" si="2"/>
        <v/>
      </c>
      <c r="V310" s="70">
        <f t="shared" si="3"/>
        <v>0</v>
      </c>
      <c r="W310" s="70">
        <f t="shared" si="4"/>
        <v>0</v>
      </c>
      <c r="X310" s="70"/>
    </row>
    <row r="311" ht="15.75" customHeight="1">
      <c r="A311" s="43" t="s">
        <v>54</v>
      </c>
      <c r="B311" s="44" t="s">
        <v>17</v>
      </c>
      <c r="C311" s="45" t="s">
        <v>110</v>
      </c>
      <c r="D311" s="46" t="s">
        <v>111</v>
      </c>
      <c r="E311" s="46" t="s">
        <v>286</v>
      </c>
      <c r="F311" s="48"/>
      <c r="G311" s="48"/>
      <c r="H311" s="48"/>
      <c r="I311" s="48"/>
      <c r="J311" s="48"/>
      <c r="K311" s="50"/>
      <c r="L311" s="50"/>
      <c r="M311" s="48"/>
      <c r="N311" s="43"/>
      <c r="O311" s="43"/>
      <c r="P311" s="43"/>
      <c r="Q311" s="43"/>
      <c r="R311" s="43"/>
      <c r="S311" s="54" t="str">
        <f t="shared" si="1"/>
        <v>-</v>
      </c>
      <c r="T311" s="43" t="str">
        <f>'Kertas Kerja'!$I222</f>
        <v/>
      </c>
      <c r="U311" s="43" t="str">
        <f t="shared" si="2"/>
        <v/>
      </c>
      <c r="V311" s="56">
        <f t="shared" si="3"/>
        <v>0</v>
      </c>
      <c r="W311" s="56">
        <f t="shared" si="4"/>
        <v>0</v>
      </c>
      <c r="X311" s="56"/>
    </row>
    <row r="312" ht="15.75" customHeight="1">
      <c r="A312" s="57" t="s">
        <v>54</v>
      </c>
      <c r="B312" s="58" t="s">
        <v>17</v>
      </c>
      <c r="C312" s="59" t="s">
        <v>110</v>
      </c>
      <c r="D312" s="60" t="s">
        <v>472</v>
      </c>
      <c r="E312" s="60" t="s">
        <v>1383</v>
      </c>
      <c r="F312" s="68"/>
      <c r="G312" s="68"/>
      <c r="H312" s="68"/>
      <c r="I312" s="68"/>
      <c r="J312" s="68"/>
      <c r="K312" s="67"/>
      <c r="L312" s="67"/>
      <c r="M312" s="68"/>
      <c r="N312" s="57"/>
      <c r="O312" s="57"/>
      <c r="P312" s="57"/>
      <c r="Q312" s="57"/>
      <c r="R312" s="57"/>
      <c r="S312" s="69" t="str">
        <f t="shared" si="1"/>
        <v>-</v>
      </c>
      <c r="T312" s="57" t="str">
        <f>'Kertas Kerja'!$I225</f>
        <v/>
      </c>
      <c r="U312" s="57" t="str">
        <f t="shared" si="2"/>
        <v/>
      </c>
      <c r="V312" s="70">
        <f t="shared" si="3"/>
        <v>0</v>
      </c>
      <c r="W312" s="70">
        <f t="shared" si="4"/>
        <v>0</v>
      </c>
      <c r="X312" s="70"/>
    </row>
    <row r="313" ht="15.75" customHeight="1">
      <c r="A313" s="43" t="s">
        <v>54</v>
      </c>
      <c r="B313" s="44" t="s">
        <v>17</v>
      </c>
      <c r="C313" s="45" t="s">
        <v>110</v>
      </c>
      <c r="D313" s="46" t="s">
        <v>485</v>
      </c>
      <c r="E313" s="46" t="s">
        <v>717</v>
      </c>
      <c r="F313" s="48"/>
      <c r="G313" s="48"/>
      <c r="H313" s="48"/>
      <c r="I313" s="48"/>
      <c r="J313" s="48"/>
      <c r="K313" s="50"/>
      <c r="L313" s="50"/>
      <c r="M313" s="48"/>
      <c r="N313" s="43"/>
      <c r="O313" s="43"/>
      <c r="P313" s="43"/>
      <c r="Q313" s="43"/>
      <c r="R313" s="43"/>
      <c r="S313" s="54" t="str">
        <f t="shared" si="1"/>
        <v>-</v>
      </c>
      <c r="T313" s="43" t="str">
        <f>'Kertas Kerja'!$I232</f>
        <v/>
      </c>
      <c r="U313" s="43" t="str">
        <f t="shared" si="2"/>
        <v/>
      </c>
      <c r="V313" s="56">
        <f t="shared" si="3"/>
        <v>0</v>
      </c>
      <c r="W313" s="56">
        <f t="shared" si="4"/>
        <v>0</v>
      </c>
      <c r="X313" s="56"/>
    </row>
    <row r="314" ht="15.75" customHeight="1">
      <c r="A314" s="57" t="s">
        <v>54</v>
      </c>
      <c r="B314" s="58" t="s">
        <v>17</v>
      </c>
      <c r="C314" s="59" t="s">
        <v>110</v>
      </c>
      <c r="D314" s="60" t="s">
        <v>472</v>
      </c>
      <c r="E314" s="60" t="s">
        <v>1155</v>
      </c>
      <c r="F314" s="68"/>
      <c r="G314" s="68"/>
      <c r="H314" s="68"/>
      <c r="I314" s="68"/>
      <c r="J314" s="68"/>
      <c r="K314" s="67"/>
      <c r="L314" s="67"/>
      <c r="M314" s="68"/>
      <c r="N314" s="57"/>
      <c r="O314" s="57"/>
      <c r="P314" s="57"/>
      <c r="Q314" s="57"/>
      <c r="R314" s="57"/>
      <c r="S314" s="69" t="str">
        <f t="shared" si="1"/>
        <v>-</v>
      </c>
      <c r="T314" s="57" t="str">
        <f>'Kertas Kerja'!$I235</f>
        <v/>
      </c>
      <c r="U314" s="57" t="str">
        <f t="shared" si="2"/>
        <v/>
      </c>
      <c r="V314" s="70">
        <f t="shared" si="3"/>
        <v>0</v>
      </c>
      <c r="W314" s="70">
        <f t="shared" si="4"/>
        <v>0</v>
      </c>
      <c r="X314" s="70"/>
    </row>
    <row r="315" ht="15.75" customHeight="1">
      <c r="A315" s="43" t="s">
        <v>54</v>
      </c>
      <c r="B315" s="44" t="s">
        <v>17</v>
      </c>
      <c r="C315" s="45" t="s">
        <v>110</v>
      </c>
      <c r="D315" s="46" t="s">
        <v>485</v>
      </c>
      <c r="E315" s="46" t="s">
        <v>1384</v>
      </c>
      <c r="F315" s="48"/>
      <c r="G315" s="48"/>
      <c r="H315" s="48"/>
      <c r="I315" s="48"/>
      <c r="J315" s="48"/>
      <c r="K315" s="50"/>
      <c r="L315" s="50"/>
      <c r="M315" s="48"/>
      <c r="N315" s="43"/>
      <c r="O315" s="43"/>
      <c r="P315" s="43"/>
      <c r="Q315" s="43"/>
      <c r="R315" s="43"/>
      <c r="S315" s="54" t="str">
        <f t="shared" si="1"/>
        <v>-</v>
      </c>
      <c r="T315" s="43" t="str">
        <f>'Kertas Kerja'!$I233</f>
        <v/>
      </c>
      <c r="U315" s="43" t="str">
        <f t="shared" si="2"/>
        <v/>
      </c>
      <c r="V315" s="56">
        <f t="shared" si="3"/>
        <v>0</v>
      </c>
      <c r="W315" s="56">
        <f t="shared" si="4"/>
        <v>0</v>
      </c>
      <c r="X315" s="56"/>
    </row>
    <row r="316" ht="15.75" customHeight="1">
      <c r="A316" s="57" t="s">
        <v>54</v>
      </c>
      <c r="B316" s="58" t="s">
        <v>17</v>
      </c>
      <c r="C316" s="59" t="s">
        <v>110</v>
      </c>
      <c r="D316" s="60" t="s">
        <v>485</v>
      </c>
      <c r="E316" s="60" t="s">
        <v>761</v>
      </c>
      <c r="F316" s="68"/>
      <c r="G316" s="68"/>
      <c r="H316" s="68"/>
      <c r="I316" s="68"/>
      <c r="J316" s="68"/>
      <c r="K316" s="67"/>
      <c r="L316" s="67"/>
      <c r="M316" s="68"/>
      <c r="N316" s="57"/>
      <c r="O316" s="57"/>
      <c r="P316" s="57"/>
      <c r="Q316" s="57"/>
      <c r="R316" s="57"/>
      <c r="S316" s="69" t="str">
        <f t="shared" si="1"/>
        <v>-</v>
      </c>
      <c r="T316" s="57" t="str">
        <f>'Kertas Kerja'!$I234</f>
        <v/>
      </c>
      <c r="U316" s="57" t="str">
        <f t="shared" si="2"/>
        <v/>
      </c>
      <c r="V316" s="70">
        <f t="shared" si="3"/>
        <v>0</v>
      </c>
      <c r="W316" s="70">
        <f t="shared" si="4"/>
        <v>0</v>
      </c>
      <c r="X316" s="70"/>
    </row>
    <row r="317" ht="15.75" customHeight="1">
      <c r="A317" s="43" t="s">
        <v>54</v>
      </c>
      <c r="B317" s="44" t="s">
        <v>17</v>
      </c>
      <c r="C317" s="45" t="s">
        <v>110</v>
      </c>
      <c r="D317" s="46" t="s">
        <v>874</v>
      </c>
      <c r="E317" s="46" t="s">
        <v>875</v>
      </c>
      <c r="F317" s="48"/>
      <c r="G317" s="48"/>
      <c r="H317" s="48"/>
      <c r="I317" s="48"/>
      <c r="J317" s="48"/>
      <c r="K317" s="50"/>
      <c r="L317" s="50"/>
      <c r="M317" s="48"/>
      <c r="N317" s="43"/>
      <c r="O317" s="43"/>
      <c r="P317" s="43"/>
      <c r="Q317" s="43"/>
      <c r="R317" s="43"/>
      <c r="S317" s="54" t="str">
        <f t="shared" si="1"/>
        <v>-</v>
      </c>
      <c r="T317" s="43" t="str">
        <f>'Kertas Kerja'!$I213</f>
        <v/>
      </c>
      <c r="U317" s="43" t="str">
        <f t="shared" si="2"/>
        <v/>
      </c>
      <c r="V317" s="56">
        <f t="shared" si="3"/>
        <v>0</v>
      </c>
      <c r="W317" s="56">
        <f t="shared" si="4"/>
        <v>0</v>
      </c>
      <c r="X317" s="56"/>
    </row>
    <row r="318" ht="15.75" customHeight="1">
      <c r="A318" s="57" t="s">
        <v>54</v>
      </c>
      <c r="B318" s="58" t="s">
        <v>17</v>
      </c>
      <c r="C318" s="59" t="s">
        <v>110</v>
      </c>
      <c r="D318" s="60" t="s">
        <v>472</v>
      </c>
      <c r="E318" s="60" t="s">
        <v>1385</v>
      </c>
      <c r="F318" s="68"/>
      <c r="G318" s="68"/>
      <c r="H318" s="68"/>
      <c r="I318" s="68"/>
      <c r="J318" s="68"/>
      <c r="K318" s="67"/>
      <c r="L318" s="67"/>
      <c r="M318" s="68"/>
      <c r="N318" s="57"/>
      <c r="O318" s="57"/>
      <c r="P318" s="57"/>
      <c r="Q318" s="57"/>
      <c r="R318" s="57"/>
      <c r="S318" s="69" t="str">
        <f t="shared" si="1"/>
        <v>-</v>
      </c>
      <c r="T318" s="57" t="str">
        <f>'Kertas Kerja'!$I236</f>
        <v/>
      </c>
      <c r="U318" s="57" t="str">
        <f t="shared" si="2"/>
        <v/>
      </c>
      <c r="V318" s="70">
        <f t="shared" si="3"/>
        <v>0</v>
      </c>
      <c r="W318" s="70">
        <f t="shared" si="4"/>
        <v>0</v>
      </c>
      <c r="X318" s="70"/>
    </row>
    <row r="319" ht="15.75" customHeight="1">
      <c r="A319" s="43" t="s">
        <v>54</v>
      </c>
      <c r="B319" s="44" t="s">
        <v>17</v>
      </c>
      <c r="C319" s="45" t="s">
        <v>110</v>
      </c>
      <c r="D319" s="46" t="s">
        <v>472</v>
      </c>
      <c r="E319" s="46" t="s">
        <v>475</v>
      </c>
      <c r="F319" s="48"/>
      <c r="G319" s="48"/>
      <c r="H319" s="48"/>
      <c r="I319" s="48"/>
      <c r="J319" s="48"/>
      <c r="K319" s="50"/>
      <c r="L319" s="50"/>
      <c r="M319" s="48"/>
      <c r="N319" s="43"/>
      <c r="O319" s="43"/>
      <c r="P319" s="43"/>
      <c r="Q319" s="43"/>
      <c r="R319" s="43"/>
      <c r="S319" s="54" t="str">
        <f t="shared" si="1"/>
        <v>-</v>
      </c>
      <c r="T319" s="43" t="str">
        <f>'Kertas Kerja'!$I237</f>
        <v/>
      </c>
      <c r="U319" s="43" t="str">
        <f t="shared" si="2"/>
        <v/>
      </c>
      <c r="V319" s="56">
        <f t="shared" si="3"/>
        <v>0</v>
      </c>
      <c r="W319" s="56">
        <f t="shared" si="4"/>
        <v>0</v>
      </c>
      <c r="X319" s="56"/>
    </row>
    <row r="320" ht="15.75" customHeight="1">
      <c r="A320" s="57" t="s">
        <v>54</v>
      </c>
      <c r="B320" s="58" t="s">
        <v>17</v>
      </c>
      <c r="C320" s="59" t="s">
        <v>110</v>
      </c>
      <c r="D320" s="60" t="s">
        <v>472</v>
      </c>
      <c r="E320" s="60" t="s">
        <v>481</v>
      </c>
      <c r="F320" s="68"/>
      <c r="G320" s="68"/>
      <c r="H320" s="68"/>
      <c r="I320" s="68"/>
      <c r="J320" s="68"/>
      <c r="K320" s="67"/>
      <c r="L320" s="67"/>
      <c r="M320" s="68"/>
      <c r="N320" s="57"/>
      <c r="O320" s="57"/>
      <c r="P320" s="57"/>
      <c r="Q320" s="57"/>
      <c r="R320" s="57"/>
      <c r="S320" s="69" t="str">
        <f t="shared" si="1"/>
        <v>-</v>
      </c>
      <c r="T320" s="57" t="str">
        <f>'Kertas Kerja'!$I238</f>
        <v/>
      </c>
      <c r="U320" s="57" t="str">
        <f t="shared" si="2"/>
        <v/>
      </c>
      <c r="V320" s="70">
        <f t="shared" si="3"/>
        <v>0</v>
      </c>
      <c r="W320" s="70">
        <f t="shared" si="4"/>
        <v>0</v>
      </c>
      <c r="X320" s="70"/>
    </row>
    <row r="321" ht="15.75" customHeight="1">
      <c r="A321" s="43" t="s">
        <v>54</v>
      </c>
      <c r="B321" s="44" t="s">
        <v>17</v>
      </c>
      <c r="C321" s="45" t="s">
        <v>110</v>
      </c>
      <c r="D321" s="46" t="s">
        <v>472</v>
      </c>
      <c r="E321" s="46" t="s">
        <v>1386</v>
      </c>
      <c r="F321" s="48"/>
      <c r="G321" s="48"/>
      <c r="H321" s="48"/>
      <c r="I321" s="48"/>
      <c r="J321" s="48"/>
      <c r="K321" s="50"/>
      <c r="L321" s="50"/>
      <c r="M321" s="48"/>
      <c r="N321" s="43"/>
      <c r="O321" s="43"/>
      <c r="P321" s="43"/>
      <c r="Q321" s="43"/>
      <c r="R321" s="43"/>
      <c r="S321" s="54" t="str">
        <f t="shared" si="1"/>
        <v>-</v>
      </c>
      <c r="T321" s="43" t="str">
        <f>'Kertas Kerja'!$I226</f>
        <v/>
      </c>
      <c r="U321" s="43" t="str">
        <f t="shared" si="2"/>
        <v/>
      </c>
      <c r="V321" s="56">
        <f t="shared" si="3"/>
        <v>0</v>
      </c>
      <c r="W321" s="56">
        <f t="shared" si="4"/>
        <v>0</v>
      </c>
      <c r="X321" s="56"/>
    </row>
    <row r="322" ht="15.75" customHeight="1">
      <c r="A322" s="57" t="s">
        <v>54</v>
      </c>
      <c r="B322" s="58" t="s">
        <v>17</v>
      </c>
      <c r="C322" s="59" t="s">
        <v>110</v>
      </c>
      <c r="D322" s="60" t="s">
        <v>472</v>
      </c>
      <c r="E322" s="60" t="s">
        <v>1101</v>
      </c>
      <c r="F322" s="68"/>
      <c r="G322" s="68"/>
      <c r="H322" s="68"/>
      <c r="I322" s="68"/>
      <c r="J322" s="68"/>
      <c r="K322" s="67"/>
      <c r="L322" s="67"/>
      <c r="M322" s="68"/>
      <c r="N322" s="57"/>
      <c r="O322" s="57"/>
      <c r="P322" s="57"/>
      <c r="Q322" s="57"/>
      <c r="R322" s="57"/>
      <c r="S322" s="69" t="str">
        <f t="shared" si="1"/>
        <v>-</v>
      </c>
      <c r="T322" s="57" t="str">
        <f>'Kertas Kerja'!$I239</f>
        <v/>
      </c>
      <c r="U322" s="57" t="str">
        <f t="shared" si="2"/>
        <v/>
      </c>
      <c r="V322" s="70">
        <f t="shared" si="3"/>
        <v>0</v>
      </c>
      <c r="W322" s="70">
        <f t="shared" si="4"/>
        <v>0</v>
      </c>
      <c r="X322" s="70"/>
    </row>
    <row r="323" ht="15.75" customHeight="1">
      <c r="A323" s="43" t="s">
        <v>54</v>
      </c>
      <c r="B323" s="44" t="s">
        <v>17</v>
      </c>
      <c r="C323" s="45" t="s">
        <v>149</v>
      </c>
      <c r="D323" s="46" t="s">
        <v>1387</v>
      </c>
      <c r="E323" s="46" t="s">
        <v>1388</v>
      </c>
      <c r="F323" s="48"/>
      <c r="G323" s="48"/>
      <c r="H323" s="48"/>
      <c r="I323" s="48"/>
      <c r="J323" s="48"/>
      <c r="K323" s="50"/>
      <c r="L323" s="50"/>
      <c r="M323" s="48"/>
      <c r="N323" s="43"/>
      <c r="O323" s="43"/>
      <c r="P323" s="43"/>
      <c r="Q323" s="43"/>
      <c r="R323" s="43"/>
      <c r="S323" s="54" t="str">
        <f t="shared" si="1"/>
        <v>-</v>
      </c>
      <c r="T323" s="43" t="str">
        <f>'Kertas Kerja'!$I201</f>
        <v/>
      </c>
      <c r="U323" s="43" t="str">
        <f t="shared" si="2"/>
        <v/>
      </c>
      <c r="V323" s="56">
        <f t="shared" si="3"/>
        <v>0</v>
      </c>
      <c r="W323" s="56">
        <f t="shared" si="4"/>
        <v>0</v>
      </c>
      <c r="X323" s="56"/>
    </row>
    <row r="324" ht="15.75" customHeight="1">
      <c r="A324" s="57" t="s">
        <v>54</v>
      </c>
      <c r="B324" s="58" t="s">
        <v>17</v>
      </c>
      <c r="C324" s="59" t="s">
        <v>149</v>
      </c>
      <c r="D324" s="60" t="s">
        <v>1389</v>
      </c>
      <c r="E324" s="60" t="s">
        <v>1390</v>
      </c>
      <c r="F324" s="68"/>
      <c r="G324" s="68"/>
      <c r="H324" s="68"/>
      <c r="I324" s="68"/>
      <c r="J324" s="68"/>
      <c r="K324" s="67"/>
      <c r="L324" s="67"/>
      <c r="M324" s="68"/>
      <c r="N324" s="57"/>
      <c r="O324" s="57"/>
      <c r="P324" s="57"/>
      <c r="Q324" s="57"/>
      <c r="R324" s="57"/>
      <c r="S324" s="69" t="str">
        <f t="shared" si="1"/>
        <v>-</v>
      </c>
      <c r="T324" s="57" t="str">
        <f>'Kertas Kerja'!$I176</f>
        <v/>
      </c>
      <c r="U324" s="57" t="str">
        <f t="shared" si="2"/>
        <v/>
      </c>
      <c r="V324" s="70">
        <f t="shared" si="3"/>
        <v>0</v>
      </c>
      <c r="W324" s="70">
        <f t="shared" si="4"/>
        <v>0</v>
      </c>
      <c r="X324" s="70"/>
    </row>
    <row r="325" ht="15.75" customHeight="1">
      <c r="A325" s="43" t="s">
        <v>54</v>
      </c>
      <c r="B325" s="44" t="s">
        <v>17</v>
      </c>
      <c r="C325" s="45" t="s">
        <v>149</v>
      </c>
      <c r="D325" s="46" t="s">
        <v>1391</v>
      </c>
      <c r="E325" s="46" t="s">
        <v>1392</v>
      </c>
      <c r="F325" s="48"/>
      <c r="G325" s="48"/>
      <c r="H325" s="48"/>
      <c r="I325" s="48"/>
      <c r="J325" s="48"/>
      <c r="K325" s="50"/>
      <c r="L325" s="50"/>
      <c r="M325" s="48"/>
      <c r="N325" s="43"/>
      <c r="O325" s="43"/>
      <c r="P325" s="43"/>
      <c r="Q325" s="43"/>
      <c r="R325" s="43"/>
      <c r="S325" s="54" t="str">
        <f t="shared" si="1"/>
        <v>-</v>
      </c>
      <c r="T325" s="43" t="str">
        <f>'Kertas Kerja'!$I180</f>
        <v/>
      </c>
      <c r="U325" s="43" t="str">
        <f t="shared" si="2"/>
        <v/>
      </c>
      <c r="V325" s="56">
        <f t="shared" si="3"/>
        <v>0</v>
      </c>
      <c r="W325" s="56">
        <f t="shared" si="4"/>
        <v>0</v>
      </c>
      <c r="X325" s="56"/>
    </row>
    <row r="326" ht="15.75" customHeight="1">
      <c r="A326" s="57" t="s">
        <v>54</v>
      </c>
      <c r="B326" s="58" t="s">
        <v>17</v>
      </c>
      <c r="C326" s="59" t="s">
        <v>149</v>
      </c>
      <c r="D326" s="60" t="s">
        <v>1393</v>
      </c>
      <c r="E326" s="60" t="s">
        <v>1394</v>
      </c>
      <c r="F326" s="68"/>
      <c r="G326" s="68"/>
      <c r="H326" s="68"/>
      <c r="I326" s="68"/>
      <c r="J326" s="68"/>
      <c r="K326" s="67"/>
      <c r="L326" s="67"/>
      <c r="M326" s="68"/>
      <c r="N326" s="57"/>
      <c r="O326" s="57"/>
      <c r="P326" s="57"/>
      <c r="Q326" s="57"/>
      <c r="R326" s="57"/>
      <c r="S326" s="69" t="str">
        <f t="shared" si="1"/>
        <v>-</v>
      </c>
      <c r="T326" s="57" t="str">
        <f>'Kertas Kerja'!$I194</f>
        <v/>
      </c>
      <c r="U326" s="57" t="str">
        <f t="shared" si="2"/>
        <v/>
      </c>
      <c r="V326" s="70">
        <f t="shared" si="3"/>
        <v>0</v>
      </c>
      <c r="W326" s="70">
        <f t="shared" si="4"/>
        <v>0</v>
      </c>
      <c r="X326" s="70"/>
    </row>
    <row r="327" ht="15.75" customHeight="1">
      <c r="A327" s="43" t="s">
        <v>54</v>
      </c>
      <c r="B327" s="44" t="s">
        <v>17</v>
      </c>
      <c r="C327" s="45" t="s">
        <v>149</v>
      </c>
      <c r="D327" s="46" t="s">
        <v>1391</v>
      </c>
      <c r="E327" s="178" t="s">
        <v>1395</v>
      </c>
      <c r="F327" s="48"/>
      <c r="G327" s="48"/>
      <c r="H327" s="48"/>
      <c r="I327" s="48"/>
      <c r="J327" s="48"/>
      <c r="K327" s="50"/>
      <c r="L327" s="50"/>
      <c r="M327" s="48"/>
      <c r="N327" s="43"/>
      <c r="O327" s="43"/>
      <c r="P327" s="43"/>
      <c r="Q327" s="43"/>
      <c r="R327" s="43"/>
      <c r="S327" s="54" t="str">
        <f t="shared" si="1"/>
        <v>-</v>
      </c>
      <c r="T327" s="43" t="str">
        <f>'Kertas Kerja'!$I181</f>
        <v/>
      </c>
      <c r="U327" s="43" t="str">
        <f t="shared" si="2"/>
        <v/>
      </c>
      <c r="V327" s="56">
        <f t="shared" si="3"/>
        <v>0</v>
      </c>
      <c r="W327" s="56">
        <f t="shared" si="4"/>
        <v>0</v>
      </c>
      <c r="X327" s="56"/>
    </row>
    <row r="328" ht="15.75" customHeight="1">
      <c r="A328" s="57" t="s">
        <v>54</v>
      </c>
      <c r="B328" s="58" t="s">
        <v>17</v>
      </c>
      <c r="C328" s="59" t="s">
        <v>149</v>
      </c>
      <c r="D328" s="60" t="s">
        <v>1396</v>
      </c>
      <c r="E328" s="60" t="s">
        <v>1397</v>
      </c>
      <c r="F328" s="68"/>
      <c r="G328" s="68"/>
      <c r="H328" s="68"/>
      <c r="I328" s="68"/>
      <c r="J328" s="68"/>
      <c r="K328" s="67"/>
      <c r="L328" s="67"/>
      <c r="M328" s="68"/>
      <c r="N328" s="57"/>
      <c r="O328" s="57"/>
      <c r="P328" s="57"/>
      <c r="Q328" s="57"/>
      <c r="R328" s="57"/>
      <c r="S328" s="69" t="str">
        <f t="shared" si="1"/>
        <v>-</v>
      </c>
      <c r="T328" s="57" t="str">
        <f>'Kertas Kerja'!$I177</f>
        <v/>
      </c>
      <c r="U328" s="57" t="str">
        <f t="shared" si="2"/>
        <v/>
      </c>
      <c r="V328" s="70">
        <f t="shared" si="3"/>
        <v>0</v>
      </c>
      <c r="W328" s="70">
        <f t="shared" si="4"/>
        <v>0</v>
      </c>
      <c r="X328" s="70"/>
    </row>
    <row r="329" ht="15.75" customHeight="1">
      <c r="A329" s="43" t="s">
        <v>54</v>
      </c>
      <c r="B329" s="44" t="s">
        <v>17</v>
      </c>
      <c r="C329" s="45" t="s">
        <v>149</v>
      </c>
      <c r="D329" s="46" t="s">
        <v>1396</v>
      </c>
      <c r="E329" s="46" t="s">
        <v>1398</v>
      </c>
      <c r="F329" s="48"/>
      <c r="G329" s="48"/>
      <c r="H329" s="48"/>
      <c r="I329" s="48"/>
      <c r="J329" s="48"/>
      <c r="K329" s="50"/>
      <c r="L329" s="50"/>
      <c r="M329" s="48"/>
      <c r="N329" s="43"/>
      <c r="O329" s="43"/>
      <c r="P329" s="43"/>
      <c r="Q329" s="43"/>
      <c r="R329" s="43"/>
      <c r="S329" s="54" t="str">
        <f t="shared" si="1"/>
        <v>-</v>
      </c>
      <c r="T329" s="43" t="str">
        <f>'Kertas Kerja'!$I178</f>
        <v/>
      </c>
      <c r="U329" s="43" t="str">
        <f t="shared" si="2"/>
        <v/>
      </c>
      <c r="V329" s="56">
        <f t="shared" si="3"/>
        <v>0</v>
      </c>
      <c r="W329" s="56">
        <f t="shared" si="4"/>
        <v>0</v>
      </c>
      <c r="X329" s="56"/>
    </row>
    <row r="330" ht="15.75" customHeight="1">
      <c r="A330" s="57" t="s">
        <v>54</v>
      </c>
      <c r="B330" s="58" t="s">
        <v>17</v>
      </c>
      <c r="C330" s="59" t="s">
        <v>149</v>
      </c>
      <c r="D330" s="60" t="s">
        <v>1387</v>
      </c>
      <c r="E330" s="60" t="s">
        <v>1399</v>
      </c>
      <c r="F330" s="68"/>
      <c r="G330" s="68"/>
      <c r="H330" s="68"/>
      <c r="I330" s="68"/>
      <c r="J330" s="68"/>
      <c r="K330" s="67"/>
      <c r="L330" s="67"/>
      <c r="M330" s="68"/>
      <c r="N330" s="57"/>
      <c r="O330" s="57"/>
      <c r="P330" s="57"/>
      <c r="Q330" s="57"/>
      <c r="R330" s="57"/>
      <c r="S330" s="69" t="str">
        <f t="shared" si="1"/>
        <v>-</v>
      </c>
      <c r="T330" s="57" t="str">
        <f>'Kertas Kerja'!$I202</f>
        <v/>
      </c>
      <c r="U330" s="57" t="str">
        <f t="shared" si="2"/>
        <v/>
      </c>
      <c r="V330" s="70">
        <f t="shared" si="3"/>
        <v>0</v>
      </c>
      <c r="W330" s="70">
        <f t="shared" si="4"/>
        <v>0</v>
      </c>
      <c r="X330" s="70"/>
    </row>
    <row r="331" ht="15.75" customHeight="1">
      <c r="A331" s="43" t="s">
        <v>54</v>
      </c>
      <c r="B331" s="44" t="s">
        <v>17</v>
      </c>
      <c r="C331" s="45" t="s">
        <v>149</v>
      </c>
      <c r="D331" s="46" t="s">
        <v>1391</v>
      </c>
      <c r="E331" s="46" t="s">
        <v>1400</v>
      </c>
      <c r="F331" s="48"/>
      <c r="G331" s="48"/>
      <c r="H331" s="48"/>
      <c r="I331" s="48"/>
      <c r="J331" s="48"/>
      <c r="K331" s="50"/>
      <c r="L331" s="50"/>
      <c r="M331" s="48"/>
      <c r="N331" s="43"/>
      <c r="O331" s="43"/>
      <c r="P331" s="43"/>
      <c r="Q331" s="43"/>
      <c r="R331" s="43"/>
      <c r="S331" s="54" t="str">
        <f t="shared" si="1"/>
        <v>-</v>
      </c>
      <c r="T331" s="43" t="str">
        <f>'Kertas Kerja'!$I182</f>
        <v/>
      </c>
      <c r="U331" s="43" t="str">
        <f t="shared" si="2"/>
        <v/>
      </c>
      <c r="V331" s="56">
        <f t="shared" si="3"/>
        <v>0</v>
      </c>
      <c r="W331" s="56">
        <f t="shared" si="4"/>
        <v>0</v>
      </c>
      <c r="X331" s="56"/>
    </row>
    <row r="332" ht="15.75" customHeight="1">
      <c r="A332" s="57" t="s">
        <v>54</v>
      </c>
      <c r="B332" s="58" t="s">
        <v>17</v>
      </c>
      <c r="C332" s="59" t="s">
        <v>149</v>
      </c>
      <c r="D332" s="60" t="s">
        <v>1391</v>
      </c>
      <c r="E332" s="60" t="s">
        <v>1401</v>
      </c>
      <c r="F332" s="68"/>
      <c r="G332" s="68"/>
      <c r="H332" s="68"/>
      <c r="I332" s="68"/>
      <c r="J332" s="68"/>
      <c r="K332" s="67"/>
      <c r="L332" s="67"/>
      <c r="M332" s="68"/>
      <c r="N332" s="57"/>
      <c r="O332" s="57"/>
      <c r="P332" s="57"/>
      <c r="Q332" s="57"/>
      <c r="R332" s="57"/>
      <c r="S332" s="69" t="str">
        <f t="shared" si="1"/>
        <v>-</v>
      </c>
      <c r="T332" s="57" t="str">
        <f>'Kertas Kerja'!$I183</f>
        <v/>
      </c>
      <c r="U332" s="57" t="str">
        <f t="shared" si="2"/>
        <v/>
      </c>
      <c r="V332" s="70">
        <f t="shared" si="3"/>
        <v>0</v>
      </c>
      <c r="W332" s="70">
        <f t="shared" si="4"/>
        <v>0</v>
      </c>
      <c r="X332" s="70"/>
    </row>
    <row r="333" ht="15.75" customHeight="1">
      <c r="A333" s="43" t="s">
        <v>54</v>
      </c>
      <c r="B333" s="44" t="s">
        <v>17</v>
      </c>
      <c r="C333" s="45" t="s">
        <v>149</v>
      </c>
      <c r="D333" s="46" t="s">
        <v>1402</v>
      </c>
      <c r="E333" s="46" t="s">
        <v>1402</v>
      </c>
      <c r="F333" s="48"/>
      <c r="G333" s="48"/>
      <c r="H333" s="48"/>
      <c r="I333" s="48"/>
      <c r="J333" s="48"/>
      <c r="K333" s="50"/>
      <c r="L333" s="50"/>
      <c r="M333" s="48"/>
      <c r="N333" s="43"/>
      <c r="O333" s="43"/>
      <c r="P333" s="43"/>
      <c r="Q333" s="43"/>
      <c r="R333" s="43"/>
      <c r="S333" s="54" t="str">
        <f t="shared" si="1"/>
        <v>-</v>
      </c>
      <c r="T333" s="43" t="str">
        <f>'Kertas Kerja'!$I172</f>
        <v/>
      </c>
      <c r="U333" s="43" t="str">
        <f t="shared" si="2"/>
        <v/>
      </c>
      <c r="V333" s="56">
        <f t="shared" si="3"/>
        <v>0</v>
      </c>
      <c r="W333" s="56">
        <f t="shared" si="4"/>
        <v>0</v>
      </c>
      <c r="X333" s="56"/>
    </row>
    <row r="334" ht="15.75" customHeight="1">
      <c r="A334" s="57" t="s">
        <v>54</v>
      </c>
      <c r="B334" s="58" t="s">
        <v>17</v>
      </c>
      <c r="C334" s="59" t="s">
        <v>149</v>
      </c>
      <c r="D334" s="60" t="s">
        <v>1403</v>
      </c>
      <c r="E334" s="60" t="s">
        <v>1403</v>
      </c>
      <c r="F334" s="68"/>
      <c r="G334" s="68"/>
      <c r="H334" s="68"/>
      <c r="I334" s="68"/>
      <c r="J334" s="68"/>
      <c r="K334" s="67"/>
      <c r="L334" s="67"/>
      <c r="M334" s="68"/>
      <c r="N334" s="57"/>
      <c r="O334" s="57"/>
      <c r="P334" s="57"/>
      <c r="Q334" s="57"/>
      <c r="R334" s="57"/>
      <c r="S334" s="69" t="str">
        <f t="shared" si="1"/>
        <v>-</v>
      </c>
      <c r="T334" s="57" t="str">
        <f>'Kertas Kerja'!$I173</f>
        <v/>
      </c>
      <c r="U334" s="57" t="str">
        <f t="shared" si="2"/>
        <v/>
      </c>
      <c r="V334" s="70">
        <f t="shared" si="3"/>
        <v>0</v>
      </c>
      <c r="W334" s="70">
        <f t="shared" si="4"/>
        <v>0</v>
      </c>
      <c r="X334" s="70"/>
    </row>
    <row r="335" ht="15.75" customHeight="1">
      <c r="A335" s="43" t="s">
        <v>54</v>
      </c>
      <c r="B335" s="44" t="s">
        <v>17</v>
      </c>
      <c r="C335" s="45" t="s">
        <v>149</v>
      </c>
      <c r="D335" s="46" t="s">
        <v>1404</v>
      </c>
      <c r="E335" s="46" t="s">
        <v>1404</v>
      </c>
      <c r="F335" s="48"/>
      <c r="G335" s="48"/>
      <c r="H335" s="48"/>
      <c r="I335" s="48"/>
      <c r="J335" s="48"/>
      <c r="K335" s="50"/>
      <c r="L335" s="50"/>
      <c r="M335" s="48"/>
      <c r="N335" s="43"/>
      <c r="O335" s="43"/>
      <c r="P335" s="43"/>
      <c r="Q335" s="43"/>
      <c r="R335" s="43"/>
      <c r="S335" s="54" t="str">
        <f t="shared" si="1"/>
        <v>-</v>
      </c>
      <c r="T335" s="43" t="str">
        <f>'Kertas Kerja'!$I174</f>
        <v/>
      </c>
      <c r="U335" s="43" t="str">
        <f t="shared" si="2"/>
        <v/>
      </c>
      <c r="V335" s="56">
        <f t="shared" si="3"/>
        <v>0</v>
      </c>
      <c r="W335" s="56">
        <f t="shared" si="4"/>
        <v>0</v>
      </c>
      <c r="X335" s="56"/>
    </row>
    <row r="336" ht="15.75" customHeight="1">
      <c r="A336" s="57" t="s">
        <v>54</v>
      </c>
      <c r="B336" s="58" t="s">
        <v>17</v>
      </c>
      <c r="C336" s="59" t="s">
        <v>149</v>
      </c>
      <c r="D336" s="60" t="s">
        <v>1405</v>
      </c>
      <c r="E336" s="60" t="s">
        <v>1405</v>
      </c>
      <c r="F336" s="68"/>
      <c r="G336" s="68"/>
      <c r="H336" s="68"/>
      <c r="I336" s="68"/>
      <c r="J336" s="68"/>
      <c r="K336" s="67"/>
      <c r="L336" s="67"/>
      <c r="M336" s="68"/>
      <c r="N336" s="57"/>
      <c r="O336" s="57"/>
      <c r="P336" s="57"/>
      <c r="Q336" s="57"/>
      <c r="R336" s="57"/>
      <c r="S336" s="69" t="str">
        <f t="shared" si="1"/>
        <v>-</v>
      </c>
      <c r="T336" s="57" t="str">
        <f>'Kertas Kerja'!$I175</f>
        <v/>
      </c>
      <c r="U336" s="57" t="str">
        <f t="shared" si="2"/>
        <v/>
      </c>
      <c r="V336" s="70">
        <f t="shared" si="3"/>
        <v>0</v>
      </c>
      <c r="W336" s="70">
        <f t="shared" si="4"/>
        <v>0</v>
      </c>
      <c r="X336" s="70"/>
    </row>
    <row r="337" ht="15.75" customHeight="1">
      <c r="A337" s="43" t="s">
        <v>54</v>
      </c>
      <c r="B337" s="44" t="s">
        <v>17</v>
      </c>
      <c r="C337" s="45" t="s">
        <v>149</v>
      </c>
      <c r="D337" s="46" t="s">
        <v>1391</v>
      </c>
      <c r="E337" s="46" t="s">
        <v>1406</v>
      </c>
      <c r="F337" s="48"/>
      <c r="G337" s="48"/>
      <c r="H337" s="48"/>
      <c r="I337" s="48"/>
      <c r="J337" s="48"/>
      <c r="K337" s="50"/>
      <c r="L337" s="50"/>
      <c r="M337" s="48"/>
      <c r="N337" s="43"/>
      <c r="O337" s="43"/>
      <c r="P337" s="43"/>
      <c r="Q337" s="43"/>
      <c r="R337" s="43"/>
      <c r="S337" s="54" t="str">
        <f t="shared" si="1"/>
        <v>-</v>
      </c>
      <c r="T337" s="43" t="str">
        <f>'Kertas Kerja'!$I184</f>
        <v/>
      </c>
      <c r="U337" s="43" t="str">
        <f t="shared" si="2"/>
        <v/>
      </c>
      <c r="V337" s="56">
        <f t="shared" si="3"/>
        <v>0</v>
      </c>
      <c r="W337" s="56">
        <f t="shared" si="4"/>
        <v>0</v>
      </c>
      <c r="X337" s="56"/>
    </row>
    <row r="338" ht="15.75" customHeight="1">
      <c r="A338" s="57" t="s">
        <v>54</v>
      </c>
      <c r="B338" s="58" t="s">
        <v>17</v>
      </c>
      <c r="C338" s="59" t="s">
        <v>149</v>
      </c>
      <c r="D338" s="60" t="s">
        <v>1391</v>
      </c>
      <c r="E338" s="60" t="s">
        <v>1407</v>
      </c>
      <c r="F338" s="68"/>
      <c r="G338" s="68"/>
      <c r="H338" s="68"/>
      <c r="I338" s="68"/>
      <c r="J338" s="68"/>
      <c r="K338" s="67"/>
      <c r="L338" s="67"/>
      <c r="M338" s="68"/>
      <c r="N338" s="57"/>
      <c r="O338" s="57"/>
      <c r="P338" s="57"/>
      <c r="Q338" s="57"/>
      <c r="R338" s="57"/>
      <c r="S338" s="69" t="str">
        <f t="shared" si="1"/>
        <v>-</v>
      </c>
      <c r="T338" s="57" t="str">
        <f>'Kertas Kerja'!$I185</f>
        <v/>
      </c>
      <c r="U338" s="57" t="str">
        <f t="shared" si="2"/>
        <v/>
      </c>
      <c r="V338" s="70">
        <f t="shared" si="3"/>
        <v>0</v>
      </c>
      <c r="W338" s="70">
        <f t="shared" si="4"/>
        <v>0</v>
      </c>
      <c r="X338" s="70"/>
    </row>
    <row r="339" ht="15.75" customHeight="1">
      <c r="A339" s="43" t="s">
        <v>54</v>
      </c>
      <c r="B339" s="44" t="s">
        <v>17</v>
      </c>
      <c r="C339" s="45" t="s">
        <v>149</v>
      </c>
      <c r="D339" s="46" t="s">
        <v>1391</v>
      </c>
      <c r="E339" s="46" t="s">
        <v>1408</v>
      </c>
      <c r="F339" s="48"/>
      <c r="G339" s="48"/>
      <c r="H339" s="48"/>
      <c r="I339" s="48"/>
      <c r="J339" s="48"/>
      <c r="K339" s="50"/>
      <c r="L339" s="50"/>
      <c r="M339" s="48"/>
      <c r="N339" s="43"/>
      <c r="O339" s="43"/>
      <c r="P339" s="43"/>
      <c r="Q339" s="43"/>
      <c r="R339" s="43"/>
      <c r="S339" s="54" t="str">
        <f t="shared" si="1"/>
        <v>-</v>
      </c>
      <c r="T339" s="43" t="str">
        <f>'Kertas Kerja'!$I186</f>
        <v/>
      </c>
      <c r="U339" s="43" t="str">
        <f t="shared" si="2"/>
        <v/>
      </c>
      <c r="V339" s="56">
        <f t="shared" si="3"/>
        <v>0</v>
      </c>
      <c r="W339" s="56">
        <f t="shared" si="4"/>
        <v>0</v>
      </c>
      <c r="X339" s="56"/>
    </row>
    <row r="340" ht="15.75" customHeight="1">
      <c r="A340" s="57" t="s">
        <v>54</v>
      </c>
      <c r="B340" s="58" t="s">
        <v>17</v>
      </c>
      <c r="C340" s="59" t="s">
        <v>149</v>
      </c>
      <c r="D340" s="60" t="s">
        <v>1391</v>
      </c>
      <c r="E340" s="60" t="s">
        <v>1409</v>
      </c>
      <c r="F340" s="68"/>
      <c r="G340" s="68"/>
      <c r="H340" s="68"/>
      <c r="I340" s="68"/>
      <c r="J340" s="68"/>
      <c r="K340" s="67"/>
      <c r="L340" s="67"/>
      <c r="M340" s="68"/>
      <c r="N340" s="57"/>
      <c r="O340" s="57"/>
      <c r="P340" s="57"/>
      <c r="Q340" s="57"/>
      <c r="R340" s="57"/>
      <c r="S340" s="69" t="str">
        <f t="shared" si="1"/>
        <v>-</v>
      </c>
      <c r="T340" s="57" t="str">
        <f>'Kertas Kerja'!$I187</f>
        <v/>
      </c>
      <c r="U340" s="57" t="str">
        <f t="shared" si="2"/>
        <v/>
      </c>
      <c r="V340" s="70">
        <f t="shared" si="3"/>
        <v>0</v>
      </c>
      <c r="W340" s="70">
        <f t="shared" si="4"/>
        <v>0</v>
      </c>
      <c r="X340" s="70"/>
    </row>
    <row r="341" ht="15.75" customHeight="1">
      <c r="A341" s="43" t="s">
        <v>54</v>
      </c>
      <c r="B341" s="44" t="s">
        <v>17</v>
      </c>
      <c r="C341" s="45" t="s">
        <v>149</v>
      </c>
      <c r="D341" s="46" t="s">
        <v>1387</v>
      </c>
      <c r="E341" s="46" t="s">
        <v>1410</v>
      </c>
      <c r="F341" s="48"/>
      <c r="G341" s="48"/>
      <c r="H341" s="48"/>
      <c r="I341" s="48"/>
      <c r="J341" s="48"/>
      <c r="K341" s="50"/>
      <c r="L341" s="50"/>
      <c r="M341" s="48"/>
      <c r="N341" s="43"/>
      <c r="O341" s="43"/>
      <c r="P341" s="43"/>
      <c r="Q341" s="43"/>
      <c r="R341" s="43"/>
      <c r="S341" s="54" t="str">
        <f t="shared" si="1"/>
        <v>-</v>
      </c>
      <c r="T341" s="43" t="str">
        <f>'Kertas Kerja'!$I203</f>
        <v/>
      </c>
      <c r="U341" s="43" t="str">
        <f t="shared" si="2"/>
        <v/>
      </c>
      <c r="V341" s="56">
        <f t="shared" si="3"/>
        <v>0</v>
      </c>
      <c r="W341" s="56">
        <f t="shared" si="4"/>
        <v>0</v>
      </c>
      <c r="X341" s="56"/>
    </row>
    <row r="342" ht="15.75" customHeight="1">
      <c r="A342" s="57" t="s">
        <v>54</v>
      </c>
      <c r="B342" s="58" t="s">
        <v>17</v>
      </c>
      <c r="C342" s="59" t="s">
        <v>149</v>
      </c>
      <c r="D342" s="60" t="s">
        <v>1387</v>
      </c>
      <c r="E342" s="60" t="s">
        <v>1411</v>
      </c>
      <c r="F342" s="68"/>
      <c r="G342" s="68"/>
      <c r="H342" s="68"/>
      <c r="I342" s="68"/>
      <c r="J342" s="68"/>
      <c r="K342" s="67"/>
      <c r="L342" s="67"/>
      <c r="M342" s="68"/>
      <c r="N342" s="57"/>
      <c r="O342" s="57"/>
      <c r="P342" s="57"/>
      <c r="Q342" s="57"/>
      <c r="R342" s="57"/>
      <c r="S342" s="69" t="str">
        <f t="shared" si="1"/>
        <v>-</v>
      </c>
      <c r="T342" s="57" t="str">
        <f>'Kertas Kerja'!$I204</f>
        <v/>
      </c>
      <c r="U342" s="57" t="str">
        <f t="shared" si="2"/>
        <v/>
      </c>
      <c r="V342" s="70">
        <f t="shared" si="3"/>
        <v>0</v>
      </c>
      <c r="W342" s="70">
        <f t="shared" si="4"/>
        <v>0</v>
      </c>
      <c r="X342" s="70"/>
    </row>
    <row r="343" ht="15.75" customHeight="1">
      <c r="A343" s="43" t="s">
        <v>54</v>
      </c>
      <c r="B343" s="44" t="s">
        <v>17</v>
      </c>
      <c r="C343" s="45" t="s">
        <v>149</v>
      </c>
      <c r="D343" s="46" t="s">
        <v>1387</v>
      </c>
      <c r="E343" s="46" t="s">
        <v>1412</v>
      </c>
      <c r="F343" s="48"/>
      <c r="G343" s="48"/>
      <c r="H343" s="48"/>
      <c r="I343" s="48"/>
      <c r="J343" s="48"/>
      <c r="K343" s="50"/>
      <c r="L343" s="50"/>
      <c r="M343" s="48"/>
      <c r="N343" s="43"/>
      <c r="O343" s="43"/>
      <c r="P343" s="43"/>
      <c r="Q343" s="43"/>
      <c r="R343" s="43"/>
      <c r="S343" s="54" t="str">
        <f t="shared" si="1"/>
        <v>-</v>
      </c>
      <c r="T343" s="43" t="str">
        <f>'Kertas Kerja'!$I205</f>
        <v/>
      </c>
      <c r="U343" s="43" t="str">
        <f t="shared" si="2"/>
        <v/>
      </c>
      <c r="V343" s="56">
        <f t="shared" si="3"/>
        <v>0</v>
      </c>
      <c r="W343" s="56">
        <f t="shared" si="4"/>
        <v>0</v>
      </c>
      <c r="X343" s="56"/>
    </row>
    <row r="344" ht="15.75" customHeight="1">
      <c r="A344" s="57" t="s">
        <v>54</v>
      </c>
      <c r="B344" s="58" t="s">
        <v>17</v>
      </c>
      <c r="C344" s="59" t="s">
        <v>149</v>
      </c>
      <c r="D344" s="60" t="s">
        <v>1391</v>
      </c>
      <c r="E344" s="60" t="s">
        <v>1413</v>
      </c>
      <c r="F344" s="68"/>
      <c r="G344" s="68"/>
      <c r="H344" s="68"/>
      <c r="I344" s="68"/>
      <c r="J344" s="68"/>
      <c r="K344" s="67"/>
      <c r="L344" s="67"/>
      <c r="M344" s="68"/>
      <c r="N344" s="57"/>
      <c r="O344" s="57"/>
      <c r="P344" s="57"/>
      <c r="Q344" s="57"/>
      <c r="R344" s="57"/>
      <c r="S344" s="69" t="str">
        <f t="shared" si="1"/>
        <v>-</v>
      </c>
      <c r="T344" s="57" t="str">
        <f>'Kertas Kerja'!$I188</f>
        <v/>
      </c>
      <c r="U344" s="57" t="str">
        <f t="shared" si="2"/>
        <v/>
      </c>
      <c r="V344" s="70">
        <f t="shared" si="3"/>
        <v>0</v>
      </c>
      <c r="W344" s="70">
        <f t="shared" si="4"/>
        <v>0</v>
      </c>
      <c r="X344" s="70"/>
    </row>
    <row r="345" ht="15.75" customHeight="1">
      <c r="A345" s="43" t="s">
        <v>54</v>
      </c>
      <c r="B345" s="44" t="s">
        <v>17</v>
      </c>
      <c r="C345" s="45" t="s">
        <v>149</v>
      </c>
      <c r="D345" s="46" t="s">
        <v>1393</v>
      </c>
      <c r="E345" s="46" t="s">
        <v>1414</v>
      </c>
      <c r="F345" s="48"/>
      <c r="G345" s="48"/>
      <c r="H345" s="48"/>
      <c r="I345" s="48"/>
      <c r="J345" s="48"/>
      <c r="K345" s="50"/>
      <c r="L345" s="50"/>
      <c r="M345" s="48"/>
      <c r="N345" s="43"/>
      <c r="O345" s="43"/>
      <c r="P345" s="43"/>
      <c r="Q345" s="43"/>
      <c r="R345" s="43"/>
      <c r="S345" s="54" t="str">
        <f t="shared" si="1"/>
        <v>-</v>
      </c>
      <c r="T345" s="43" t="str">
        <f>'Kertas Kerja'!$I195</f>
        <v/>
      </c>
      <c r="U345" s="43" t="str">
        <f t="shared" si="2"/>
        <v/>
      </c>
      <c r="V345" s="56">
        <f t="shared" si="3"/>
        <v>0</v>
      </c>
      <c r="W345" s="56">
        <f t="shared" si="4"/>
        <v>0</v>
      </c>
      <c r="X345" s="56"/>
    </row>
    <row r="346" ht="15.75" customHeight="1">
      <c r="A346" s="57" t="s">
        <v>54</v>
      </c>
      <c r="B346" s="58" t="s">
        <v>17</v>
      </c>
      <c r="C346" s="59" t="s">
        <v>149</v>
      </c>
      <c r="D346" s="60" t="s">
        <v>1393</v>
      </c>
      <c r="E346" s="60" t="s">
        <v>1415</v>
      </c>
      <c r="F346" s="68"/>
      <c r="G346" s="68"/>
      <c r="H346" s="68"/>
      <c r="I346" s="68"/>
      <c r="J346" s="68"/>
      <c r="K346" s="67"/>
      <c r="L346" s="67"/>
      <c r="M346" s="68"/>
      <c r="N346" s="57"/>
      <c r="O346" s="57"/>
      <c r="P346" s="57"/>
      <c r="Q346" s="57"/>
      <c r="R346" s="57"/>
      <c r="S346" s="69" t="str">
        <f t="shared" si="1"/>
        <v>-</v>
      </c>
      <c r="T346" s="57" t="str">
        <f>'Kertas Kerja'!$I196</f>
        <v/>
      </c>
      <c r="U346" s="57" t="str">
        <f t="shared" si="2"/>
        <v/>
      </c>
      <c r="V346" s="70">
        <f t="shared" si="3"/>
        <v>0</v>
      </c>
      <c r="W346" s="70">
        <f t="shared" si="4"/>
        <v>0</v>
      </c>
      <c r="X346" s="70"/>
    </row>
    <row r="347" ht="15.75" customHeight="1">
      <c r="A347" s="43" t="s">
        <v>54</v>
      </c>
      <c r="B347" s="44" t="s">
        <v>17</v>
      </c>
      <c r="C347" s="45" t="s">
        <v>149</v>
      </c>
      <c r="D347" s="46" t="s">
        <v>1391</v>
      </c>
      <c r="E347" s="46" t="s">
        <v>1416</v>
      </c>
      <c r="F347" s="48"/>
      <c r="G347" s="48"/>
      <c r="H347" s="48"/>
      <c r="I347" s="48"/>
      <c r="J347" s="48"/>
      <c r="K347" s="50"/>
      <c r="L347" s="50"/>
      <c r="M347" s="48"/>
      <c r="N347" s="43"/>
      <c r="O347" s="43"/>
      <c r="P347" s="43"/>
      <c r="Q347" s="43"/>
      <c r="R347" s="43"/>
      <c r="S347" s="54" t="str">
        <f t="shared" si="1"/>
        <v>-</v>
      </c>
      <c r="T347" s="43" t="str">
        <f>'Kertas Kerja'!$I189</f>
        <v/>
      </c>
      <c r="U347" s="43" t="str">
        <f t="shared" si="2"/>
        <v/>
      </c>
      <c r="V347" s="56">
        <f t="shared" si="3"/>
        <v>0</v>
      </c>
      <c r="W347" s="56">
        <f t="shared" si="4"/>
        <v>0</v>
      </c>
      <c r="X347" s="56"/>
    </row>
    <row r="348" ht="15.75" customHeight="1">
      <c r="A348" s="57" t="s">
        <v>54</v>
      </c>
      <c r="B348" s="58" t="s">
        <v>17</v>
      </c>
      <c r="C348" s="59" t="s">
        <v>149</v>
      </c>
      <c r="D348" s="60" t="s">
        <v>1391</v>
      </c>
      <c r="E348" s="60" t="s">
        <v>1417</v>
      </c>
      <c r="F348" s="68"/>
      <c r="G348" s="68"/>
      <c r="H348" s="68"/>
      <c r="I348" s="68"/>
      <c r="J348" s="68"/>
      <c r="K348" s="67"/>
      <c r="L348" s="67"/>
      <c r="M348" s="68"/>
      <c r="N348" s="57"/>
      <c r="O348" s="57"/>
      <c r="P348" s="57"/>
      <c r="Q348" s="57"/>
      <c r="R348" s="57"/>
      <c r="S348" s="69" t="str">
        <f t="shared" si="1"/>
        <v>-</v>
      </c>
      <c r="T348" s="57" t="str">
        <f>'Kertas Kerja'!$I190</f>
        <v/>
      </c>
      <c r="U348" s="57" t="str">
        <f t="shared" si="2"/>
        <v/>
      </c>
      <c r="V348" s="70">
        <f t="shared" si="3"/>
        <v>0</v>
      </c>
      <c r="W348" s="70">
        <f t="shared" si="4"/>
        <v>0</v>
      </c>
      <c r="X348" s="70"/>
    </row>
    <row r="349" ht="15.75" customHeight="1">
      <c r="A349" s="43" t="s">
        <v>54</v>
      </c>
      <c r="B349" s="44" t="s">
        <v>17</v>
      </c>
      <c r="C349" s="45" t="s">
        <v>149</v>
      </c>
      <c r="D349" s="46" t="s">
        <v>1391</v>
      </c>
      <c r="E349" s="46" t="s">
        <v>1418</v>
      </c>
      <c r="F349" s="48"/>
      <c r="G349" s="48"/>
      <c r="H349" s="48"/>
      <c r="I349" s="48"/>
      <c r="J349" s="48"/>
      <c r="K349" s="50"/>
      <c r="L349" s="50"/>
      <c r="M349" s="48"/>
      <c r="N349" s="43"/>
      <c r="O349" s="43"/>
      <c r="P349" s="43"/>
      <c r="Q349" s="43"/>
      <c r="R349" s="43"/>
      <c r="S349" s="54" t="str">
        <f t="shared" si="1"/>
        <v>-</v>
      </c>
      <c r="T349" s="43" t="str">
        <f>'Kertas Kerja'!$I191</f>
        <v/>
      </c>
      <c r="U349" s="43" t="str">
        <f t="shared" si="2"/>
        <v/>
      </c>
      <c r="V349" s="56">
        <f t="shared" si="3"/>
        <v>0</v>
      </c>
      <c r="W349" s="56">
        <f t="shared" si="4"/>
        <v>0</v>
      </c>
      <c r="X349" s="56"/>
    </row>
    <row r="350" ht="15.75" customHeight="1">
      <c r="A350" s="57" t="s">
        <v>54</v>
      </c>
      <c r="B350" s="58" t="s">
        <v>17</v>
      </c>
      <c r="C350" s="59" t="s">
        <v>149</v>
      </c>
      <c r="D350" s="60" t="s">
        <v>1393</v>
      </c>
      <c r="E350" s="60" t="s">
        <v>1419</v>
      </c>
      <c r="F350" s="68"/>
      <c r="G350" s="68"/>
      <c r="H350" s="68"/>
      <c r="I350" s="68"/>
      <c r="J350" s="68"/>
      <c r="K350" s="67"/>
      <c r="L350" s="67"/>
      <c r="M350" s="68"/>
      <c r="N350" s="57"/>
      <c r="O350" s="57"/>
      <c r="P350" s="57"/>
      <c r="Q350" s="57"/>
      <c r="R350" s="57"/>
      <c r="S350" s="69" t="str">
        <f t="shared" si="1"/>
        <v>-</v>
      </c>
      <c r="T350" s="57" t="str">
        <f>'Kertas Kerja'!$I197</f>
        <v/>
      </c>
      <c r="U350" s="57" t="str">
        <f t="shared" si="2"/>
        <v/>
      </c>
      <c r="V350" s="70">
        <f t="shared" si="3"/>
        <v>0</v>
      </c>
      <c r="W350" s="70">
        <f t="shared" si="4"/>
        <v>0</v>
      </c>
      <c r="X350" s="70"/>
    </row>
    <row r="351" ht="15.75" customHeight="1">
      <c r="A351" s="43" t="s">
        <v>54</v>
      </c>
      <c r="B351" s="44" t="s">
        <v>17</v>
      </c>
      <c r="C351" s="45" t="s">
        <v>149</v>
      </c>
      <c r="D351" s="46" t="s">
        <v>1391</v>
      </c>
      <c r="E351" s="46" t="s">
        <v>1420</v>
      </c>
      <c r="F351" s="48"/>
      <c r="G351" s="48"/>
      <c r="H351" s="48"/>
      <c r="I351" s="48"/>
      <c r="J351" s="48"/>
      <c r="K351" s="50"/>
      <c r="L351" s="50"/>
      <c r="M351" s="48"/>
      <c r="N351" s="43"/>
      <c r="O351" s="43"/>
      <c r="P351" s="43"/>
      <c r="Q351" s="43"/>
      <c r="R351" s="43"/>
      <c r="S351" s="54" t="str">
        <f t="shared" si="1"/>
        <v>-</v>
      </c>
      <c r="T351" s="43" t="str">
        <f>'Kertas Kerja'!$I192</f>
        <v/>
      </c>
      <c r="U351" s="43" t="str">
        <f t="shared" si="2"/>
        <v/>
      </c>
      <c r="V351" s="56">
        <f t="shared" si="3"/>
        <v>0</v>
      </c>
      <c r="W351" s="56">
        <f t="shared" si="4"/>
        <v>0</v>
      </c>
      <c r="X351" s="56"/>
    </row>
    <row r="352" ht="15.75" customHeight="1">
      <c r="A352" s="57" t="s">
        <v>54</v>
      </c>
      <c r="B352" s="58" t="s">
        <v>17</v>
      </c>
      <c r="C352" s="59" t="s">
        <v>149</v>
      </c>
      <c r="D352" s="60" t="s">
        <v>1393</v>
      </c>
      <c r="E352" s="60" t="s">
        <v>1421</v>
      </c>
      <c r="F352" s="68"/>
      <c r="G352" s="68"/>
      <c r="H352" s="68"/>
      <c r="I352" s="68"/>
      <c r="J352" s="68"/>
      <c r="K352" s="67"/>
      <c r="L352" s="67"/>
      <c r="M352" s="68"/>
      <c r="N352" s="57"/>
      <c r="O352" s="57"/>
      <c r="P352" s="57"/>
      <c r="Q352" s="57"/>
      <c r="R352" s="57"/>
      <c r="S352" s="69" t="str">
        <f t="shared" si="1"/>
        <v>-</v>
      </c>
      <c r="T352" s="57" t="str">
        <f>'Kertas Kerja'!$I198</f>
        <v/>
      </c>
      <c r="U352" s="57" t="str">
        <f t="shared" si="2"/>
        <v/>
      </c>
      <c r="V352" s="70">
        <f t="shared" si="3"/>
        <v>0</v>
      </c>
      <c r="W352" s="70">
        <f t="shared" si="4"/>
        <v>0</v>
      </c>
      <c r="X352" s="70"/>
    </row>
    <row r="353" ht="15.75" customHeight="1">
      <c r="A353" s="43" t="s">
        <v>54</v>
      </c>
      <c r="B353" s="44" t="s">
        <v>17</v>
      </c>
      <c r="C353" s="45" t="s">
        <v>149</v>
      </c>
      <c r="D353" s="46" t="s">
        <v>1393</v>
      </c>
      <c r="E353" s="46" t="s">
        <v>1422</v>
      </c>
      <c r="F353" s="48"/>
      <c r="G353" s="48"/>
      <c r="H353" s="48"/>
      <c r="I353" s="48"/>
      <c r="J353" s="48"/>
      <c r="K353" s="50"/>
      <c r="L353" s="50"/>
      <c r="M353" s="48"/>
      <c r="N353" s="43"/>
      <c r="O353" s="43"/>
      <c r="P353" s="43"/>
      <c r="Q353" s="43"/>
      <c r="R353" s="43"/>
      <c r="S353" s="54" t="str">
        <f t="shared" si="1"/>
        <v>-</v>
      </c>
      <c r="T353" s="43" t="str">
        <f>'Kertas Kerja'!$I199</f>
        <v/>
      </c>
      <c r="U353" s="43" t="str">
        <f t="shared" si="2"/>
        <v/>
      </c>
      <c r="V353" s="56">
        <f t="shared" si="3"/>
        <v>0</v>
      </c>
      <c r="W353" s="56">
        <f t="shared" si="4"/>
        <v>0</v>
      </c>
      <c r="X353" s="56"/>
    </row>
    <row r="354" ht="15.75" customHeight="1">
      <c r="A354" s="57" t="s">
        <v>54</v>
      </c>
      <c r="B354" s="58" t="s">
        <v>17</v>
      </c>
      <c r="C354" s="59" t="s">
        <v>149</v>
      </c>
      <c r="D354" s="60" t="s">
        <v>1423</v>
      </c>
      <c r="E354" s="60" t="s">
        <v>1424</v>
      </c>
      <c r="F354" s="68"/>
      <c r="G354" s="68"/>
      <c r="H354" s="68"/>
      <c r="I354" s="68"/>
      <c r="J354" s="68"/>
      <c r="K354" s="67"/>
      <c r="L354" s="67"/>
      <c r="M354" s="68"/>
      <c r="N354" s="57"/>
      <c r="O354" s="57"/>
      <c r="P354" s="57"/>
      <c r="Q354" s="57"/>
      <c r="R354" s="57"/>
      <c r="S354" s="69" t="str">
        <f t="shared" si="1"/>
        <v>-</v>
      </c>
      <c r="T354" s="57" t="str">
        <f>'Kertas Kerja'!$I179</f>
        <v/>
      </c>
      <c r="U354" s="57" t="str">
        <f t="shared" si="2"/>
        <v/>
      </c>
      <c r="V354" s="70">
        <f t="shared" si="3"/>
        <v>0</v>
      </c>
      <c r="W354" s="70">
        <f t="shared" si="4"/>
        <v>0</v>
      </c>
      <c r="X354" s="70"/>
    </row>
    <row r="355" ht="15.75" customHeight="1">
      <c r="A355" s="43" t="s">
        <v>54</v>
      </c>
      <c r="B355" s="44" t="s">
        <v>17</v>
      </c>
      <c r="C355" s="45" t="s">
        <v>149</v>
      </c>
      <c r="D355" s="46" t="s">
        <v>1423</v>
      </c>
      <c r="E355" s="46" t="s">
        <v>1425</v>
      </c>
      <c r="F355" s="48"/>
      <c r="G355" s="48"/>
      <c r="H355" s="48"/>
      <c r="I355" s="48"/>
      <c r="J355" s="48"/>
      <c r="K355" s="50"/>
      <c r="L355" s="50"/>
      <c r="M355" s="48"/>
      <c r="N355" s="43"/>
      <c r="O355" s="43"/>
      <c r="P355" s="43"/>
      <c r="Q355" s="43"/>
      <c r="R355" s="43"/>
      <c r="S355" s="54" t="str">
        <f t="shared" si="1"/>
        <v>-</v>
      </c>
      <c r="T355" s="43" t="str">
        <f>'Kertas Kerja'!$I171</f>
        <v/>
      </c>
      <c r="U355" s="43" t="str">
        <f t="shared" si="2"/>
        <v/>
      </c>
      <c r="V355" s="56">
        <f t="shared" si="3"/>
        <v>0</v>
      </c>
      <c r="W355" s="56">
        <f t="shared" si="4"/>
        <v>0</v>
      </c>
      <c r="X355" s="56"/>
    </row>
    <row r="356" ht="15.75" customHeight="1">
      <c r="A356" s="57" t="s">
        <v>54</v>
      </c>
      <c r="B356" s="58" t="s">
        <v>17</v>
      </c>
      <c r="C356" s="59" t="s">
        <v>149</v>
      </c>
      <c r="D356" s="60" t="s">
        <v>1426</v>
      </c>
      <c r="E356" s="60" t="s">
        <v>1427</v>
      </c>
      <c r="F356" s="68"/>
      <c r="G356" s="68"/>
      <c r="H356" s="68"/>
      <c r="I356" s="68"/>
      <c r="J356" s="68"/>
      <c r="K356" s="67"/>
      <c r="L356" s="67"/>
      <c r="M356" s="68"/>
      <c r="N356" s="57"/>
      <c r="O356" s="57"/>
      <c r="P356" s="57"/>
      <c r="Q356" s="57"/>
      <c r="R356" s="57"/>
      <c r="S356" s="69" t="str">
        <f t="shared" si="1"/>
        <v>-</v>
      </c>
      <c r="T356" s="57" t="str">
        <f>'Kertas Kerja'!$I207</f>
        <v/>
      </c>
      <c r="U356" s="57" t="str">
        <f t="shared" si="2"/>
        <v/>
      </c>
      <c r="V356" s="70">
        <f t="shared" si="3"/>
        <v>0</v>
      </c>
      <c r="W356" s="70">
        <f t="shared" si="4"/>
        <v>0</v>
      </c>
      <c r="X356" s="70"/>
    </row>
    <row r="357" ht="15.75" customHeight="1">
      <c r="A357" s="43" t="s">
        <v>54</v>
      </c>
      <c r="B357" s="44" t="s">
        <v>17</v>
      </c>
      <c r="C357" s="45" t="s">
        <v>149</v>
      </c>
      <c r="D357" s="46" t="s">
        <v>1393</v>
      </c>
      <c r="E357" s="46" t="s">
        <v>1428</v>
      </c>
      <c r="F357" s="48"/>
      <c r="G357" s="48"/>
      <c r="H357" s="48"/>
      <c r="I357" s="48"/>
      <c r="J357" s="48"/>
      <c r="K357" s="50"/>
      <c r="L357" s="50"/>
      <c r="M357" s="48"/>
      <c r="N357" s="43"/>
      <c r="O357" s="43"/>
      <c r="P357" s="43"/>
      <c r="Q357" s="43"/>
      <c r="R357" s="43"/>
      <c r="S357" s="54" t="str">
        <f t="shared" si="1"/>
        <v>-</v>
      </c>
      <c r="T357" s="43" t="str">
        <f>'Kertas Kerja'!$I200</f>
        <v/>
      </c>
      <c r="U357" s="43" t="str">
        <f t="shared" si="2"/>
        <v/>
      </c>
      <c r="V357" s="56">
        <f t="shared" si="3"/>
        <v>0</v>
      </c>
      <c r="W357" s="56">
        <f t="shared" si="4"/>
        <v>0</v>
      </c>
      <c r="X357" s="56"/>
    </row>
    <row r="358" ht="15.75" customHeight="1">
      <c r="A358" s="57" t="s">
        <v>54</v>
      </c>
      <c r="B358" s="58" t="s">
        <v>17</v>
      </c>
      <c r="C358" s="59" t="s">
        <v>149</v>
      </c>
      <c r="D358" s="60" t="s">
        <v>1387</v>
      </c>
      <c r="E358" s="60" t="s">
        <v>1429</v>
      </c>
      <c r="F358" s="68"/>
      <c r="G358" s="68"/>
      <c r="H358" s="68"/>
      <c r="I358" s="68"/>
      <c r="J358" s="68"/>
      <c r="K358" s="67"/>
      <c r="L358" s="67"/>
      <c r="M358" s="68"/>
      <c r="N358" s="57"/>
      <c r="O358" s="57"/>
      <c r="P358" s="57"/>
      <c r="Q358" s="57"/>
      <c r="R358" s="57"/>
      <c r="S358" s="69" t="str">
        <f t="shared" si="1"/>
        <v>-</v>
      </c>
      <c r="T358" s="57" t="str">
        <f>'Kertas Kerja'!$I206</f>
        <v/>
      </c>
      <c r="U358" s="57" t="str">
        <f t="shared" si="2"/>
        <v/>
      </c>
      <c r="V358" s="70">
        <f t="shared" si="3"/>
        <v>0</v>
      </c>
      <c r="W358" s="70">
        <f t="shared" si="4"/>
        <v>0</v>
      </c>
      <c r="X358" s="70"/>
    </row>
    <row r="359" ht="15.75" customHeight="1">
      <c r="A359" s="43" t="s">
        <v>54</v>
      </c>
      <c r="B359" s="44" t="s">
        <v>17</v>
      </c>
      <c r="C359" s="45" t="s">
        <v>149</v>
      </c>
      <c r="D359" s="46" t="s">
        <v>1430</v>
      </c>
      <c r="E359" s="46" t="s">
        <v>1431</v>
      </c>
      <c r="F359" s="48"/>
      <c r="G359" s="48"/>
      <c r="H359" s="48"/>
      <c r="I359" s="48"/>
      <c r="J359" s="48"/>
      <c r="K359" s="50"/>
      <c r="L359" s="50"/>
      <c r="M359" s="48"/>
      <c r="N359" s="43"/>
      <c r="O359" s="43"/>
      <c r="P359" s="43"/>
      <c r="Q359" s="43"/>
      <c r="R359" s="43"/>
      <c r="S359" s="54" t="str">
        <f t="shared" si="1"/>
        <v>-</v>
      </c>
      <c r="T359" s="43" t="str">
        <f>'Kertas Kerja'!$I208</f>
        <v/>
      </c>
      <c r="U359" s="43" t="str">
        <f t="shared" si="2"/>
        <v/>
      </c>
      <c r="V359" s="56">
        <f t="shared" si="3"/>
        <v>0</v>
      </c>
      <c r="W359" s="56">
        <f t="shared" si="4"/>
        <v>0</v>
      </c>
      <c r="X359" s="56"/>
    </row>
    <row r="360" ht="15.75" customHeight="1">
      <c r="A360" s="57" t="s">
        <v>54</v>
      </c>
      <c r="B360" s="58" t="s">
        <v>17</v>
      </c>
      <c r="C360" s="59" t="s">
        <v>149</v>
      </c>
      <c r="D360" s="60" t="s">
        <v>1430</v>
      </c>
      <c r="E360" s="60" t="s">
        <v>1432</v>
      </c>
      <c r="F360" s="68"/>
      <c r="G360" s="68"/>
      <c r="H360" s="68"/>
      <c r="I360" s="68"/>
      <c r="J360" s="68"/>
      <c r="K360" s="67"/>
      <c r="L360" s="67"/>
      <c r="M360" s="68"/>
      <c r="N360" s="57"/>
      <c r="O360" s="57"/>
      <c r="P360" s="57"/>
      <c r="Q360" s="57"/>
      <c r="R360" s="57"/>
      <c r="S360" s="69" t="str">
        <f t="shared" si="1"/>
        <v>-</v>
      </c>
      <c r="T360" s="57" t="str">
        <f>'Kertas Kerja'!$I209</f>
        <v/>
      </c>
      <c r="U360" s="57" t="str">
        <f t="shared" si="2"/>
        <v/>
      </c>
      <c r="V360" s="70">
        <f t="shared" si="3"/>
        <v>0</v>
      </c>
      <c r="W360" s="70">
        <f t="shared" si="4"/>
        <v>0</v>
      </c>
      <c r="X360" s="70"/>
    </row>
    <row r="361" ht="15.75" customHeight="1">
      <c r="A361" s="43" t="s">
        <v>54</v>
      </c>
      <c r="B361" s="44" t="s">
        <v>17</v>
      </c>
      <c r="C361" s="45" t="s">
        <v>149</v>
      </c>
      <c r="D361" s="46" t="s">
        <v>1391</v>
      </c>
      <c r="E361" s="46" t="s">
        <v>1433</v>
      </c>
      <c r="F361" s="48"/>
      <c r="G361" s="48"/>
      <c r="H361" s="48"/>
      <c r="I361" s="48"/>
      <c r="J361" s="48"/>
      <c r="K361" s="50"/>
      <c r="L361" s="50"/>
      <c r="M361" s="48"/>
      <c r="N361" s="43"/>
      <c r="O361" s="43"/>
      <c r="P361" s="43"/>
      <c r="Q361" s="43"/>
      <c r="R361" s="43"/>
      <c r="S361" s="54" t="str">
        <f t="shared" si="1"/>
        <v>-</v>
      </c>
      <c r="T361" s="43" t="str">
        <f>'Kertas Kerja'!$I193</f>
        <v/>
      </c>
      <c r="U361" s="43" t="str">
        <f t="shared" si="2"/>
        <v/>
      </c>
      <c r="V361" s="56">
        <f t="shared" si="3"/>
        <v>0</v>
      </c>
      <c r="W361" s="56">
        <f t="shared" si="4"/>
        <v>0</v>
      </c>
      <c r="X361" s="56"/>
    </row>
    <row r="362" ht="15.75" customHeight="1">
      <c r="A362" s="42"/>
      <c r="B362" s="172"/>
      <c r="C362" s="173"/>
      <c r="D362" s="174"/>
      <c r="E362" s="174"/>
      <c r="F362" s="42"/>
      <c r="G362" s="42"/>
      <c r="H362" s="42"/>
      <c r="I362" s="42"/>
      <c r="J362" s="42"/>
      <c r="K362" s="175"/>
      <c r="L362" s="175"/>
      <c r="M362" s="42"/>
      <c r="N362" s="42"/>
      <c r="O362" s="42"/>
      <c r="P362" s="42"/>
      <c r="Q362" s="42"/>
      <c r="R362" s="42"/>
      <c r="S362" s="175"/>
      <c r="T362" s="42"/>
      <c r="U362" s="42"/>
    </row>
    <row r="363" ht="15.75" customHeight="1">
      <c r="A363" s="42"/>
      <c r="B363" s="172"/>
      <c r="C363" s="173"/>
      <c r="D363" s="174"/>
      <c r="E363" s="174"/>
      <c r="F363" s="42"/>
      <c r="G363" s="42"/>
      <c r="H363" s="42"/>
      <c r="I363" s="42"/>
      <c r="J363" s="42"/>
      <c r="K363" s="175"/>
      <c r="L363" s="175"/>
      <c r="M363" s="42"/>
      <c r="N363" s="42"/>
      <c r="O363" s="42"/>
      <c r="P363" s="42"/>
      <c r="Q363" s="42"/>
      <c r="R363" s="42"/>
      <c r="S363" s="175"/>
      <c r="T363" s="42"/>
      <c r="U363" s="42"/>
    </row>
    <row r="364" ht="15.75" customHeight="1">
      <c r="A364" s="42"/>
      <c r="B364" s="172"/>
      <c r="C364" s="173"/>
      <c r="D364" s="174"/>
      <c r="E364" s="174"/>
      <c r="F364" s="42"/>
      <c r="G364" s="42"/>
      <c r="H364" s="42"/>
      <c r="I364" s="42"/>
      <c r="J364" s="42"/>
      <c r="K364" s="175"/>
      <c r="L364" s="175"/>
      <c r="M364" s="42"/>
      <c r="N364" s="42"/>
      <c r="O364" s="42"/>
      <c r="P364" s="42"/>
      <c r="Q364" s="42"/>
      <c r="R364" s="42"/>
      <c r="S364" s="175"/>
      <c r="T364" s="42"/>
      <c r="U364" s="42"/>
    </row>
    <row r="365" ht="15.75" customHeight="1">
      <c r="A365" s="42"/>
      <c r="B365" s="172"/>
      <c r="C365" s="173"/>
      <c r="D365" s="174"/>
      <c r="E365" s="174"/>
      <c r="F365" s="42"/>
      <c r="G365" s="42"/>
      <c r="H365" s="42"/>
      <c r="I365" s="42"/>
      <c r="J365" s="42"/>
      <c r="K365" s="175"/>
      <c r="L365" s="175"/>
      <c r="M365" s="42"/>
      <c r="N365" s="42"/>
      <c r="O365" s="42"/>
      <c r="P365" s="42"/>
      <c r="Q365" s="42"/>
      <c r="R365" s="42"/>
      <c r="S365" s="175"/>
      <c r="T365" s="42"/>
      <c r="U365" s="42"/>
    </row>
    <row r="366" ht="15.75" customHeight="1">
      <c r="A366" s="42"/>
      <c r="B366" s="172"/>
      <c r="C366" s="173"/>
      <c r="D366" s="174"/>
      <c r="E366" s="174"/>
      <c r="F366" s="42"/>
      <c r="G366" s="42"/>
      <c r="H366" s="42"/>
      <c r="I366" s="42"/>
      <c r="J366" s="42"/>
      <c r="K366" s="175"/>
      <c r="L366" s="175"/>
      <c r="M366" s="42"/>
      <c r="N366" s="42"/>
      <c r="O366" s="42"/>
      <c r="P366" s="42"/>
      <c r="Q366" s="42"/>
      <c r="R366" s="42"/>
      <c r="S366" s="175"/>
      <c r="T366" s="42"/>
      <c r="U366" s="42"/>
    </row>
    <row r="367" ht="15.75" customHeight="1">
      <c r="A367" s="42"/>
      <c r="B367" s="172"/>
      <c r="C367" s="173"/>
      <c r="D367" s="174"/>
      <c r="E367" s="174"/>
      <c r="F367" s="42"/>
      <c r="G367" s="42"/>
      <c r="H367" s="42"/>
      <c r="I367" s="42"/>
      <c r="J367" s="42"/>
      <c r="K367" s="175"/>
      <c r="L367" s="175"/>
      <c r="M367" s="42"/>
      <c r="N367" s="42"/>
      <c r="O367" s="42"/>
      <c r="P367" s="42"/>
      <c r="Q367" s="42"/>
      <c r="R367" s="42"/>
      <c r="S367" s="175"/>
      <c r="T367" s="42"/>
      <c r="U367" s="42"/>
    </row>
    <row r="368" ht="15.75" customHeight="1">
      <c r="A368" s="42"/>
      <c r="B368" s="172"/>
      <c r="C368" s="173"/>
      <c r="D368" s="174"/>
      <c r="E368" s="174"/>
      <c r="F368" s="42"/>
      <c r="G368" s="42"/>
      <c r="H368" s="42"/>
      <c r="I368" s="42"/>
      <c r="J368" s="42"/>
      <c r="K368" s="175"/>
      <c r="L368" s="175"/>
      <c r="M368" s="42"/>
      <c r="N368" s="42"/>
      <c r="O368" s="42"/>
      <c r="P368" s="42"/>
      <c r="Q368" s="42"/>
      <c r="R368" s="42"/>
      <c r="S368" s="175"/>
      <c r="T368" s="42"/>
      <c r="U368" s="42"/>
    </row>
    <row r="369" ht="15.75" customHeight="1">
      <c r="A369" s="42"/>
      <c r="B369" s="172"/>
      <c r="C369" s="173"/>
      <c r="D369" s="174"/>
      <c r="E369" s="174"/>
      <c r="F369" s="42"/>
      <c r="G369" s="42"/>
      <c r="H369" s="42"/>
      <c r="I369" s="42"/>
      <c r="J369" s="42"/>
      <c r="K369" s="175"/>
      <c r="L369" s="175"/>
      <c r="M369" s="42"/>
      <c r="N369" s="42"/>
      <c r="O369" s="42"/>
      <c r="P369" s="42"/>
      <c r="Q369" s="42"/>
      <c r="R369" s="42"/>
      <c r="S369" s="175"/>
      <c r="T369" s="42"/>
      <c r="U369" s="42"/>
    </row>
    <row r="370" ht="15.75" customHeight="1">
      <c r="A370" s="42"/>
      <c r="B370" s="172"/>
      <c r="C370" s="173"/>
      <c r="D370" s="174"/>
      <c r="E370" s="174"/>
      <c r="F370" s="42"/>
      <c r="G370" s="42"/>
      <c r="H370" s="42"/>
      <c r="I370" s="42"/>
      <c r="J370" s="42"/>
      <c r="K370" s="175"/>
      <c r="L370" s="175"/>
      <c r="M370" s="42"/>
      <c r="N370" s="42"/>
      <c r="O370" s="42"/>
      <c r="P370" s="42"/>
      <c r="Q370" s="42"/>
      <c r="R370" s="42"/>
      <c r="S370" s="175"/>
      <c r="T370" s="42"/>
      <c r="U370" s="42"/>
    </row>
    <row r="371" ht="15.75" customHeight="1">
      <c r="A371" s="42"/>
      <c r="B371" s="172"/>
      <c r="C371" s="173"/>
      <c r="D371" s="174"/>
      <c r="E371" s="174"/>
      <c r="F371" s="42"/>
      <c r="G371" s="42"/>
      <c r="H371" s="42"/>
      <c r="I371" s="42"/>
      <c r="J371" s="42"/>
      <c r="K371" s="175"/>
      <c r="L371" s="175"/>
      <c r="M371" s="42"/>
      <c r="N371" s="42"/>
      <c r="O371" s="42"/>
      <c r="P371" s="42"/>
      <c r="Q371" s="42"/>
      <c r="R371" s="42"/>
      <c r="S371" s="175"/>
      <c r="T371" s="42"/>
      <c r="U371" s="42"/>
    </row>
    <row r="372" ht="15.75" customHeight="1">
      <c r="A372" s="42"/>
      <c r="B372" s="172"/>
      <c r="C372" s="173"/>
      <c r="D372" s="174"/>
      <c r="E372" s="174"/>
      <c r="F372" s="42"/>
      <c r="G372" s="42"/>
      <c r="H372" s="42"/>
      <c r="I372" s="42"/>
      <c r="J372" s="42"/>
      <c r="K372" s="175"/>
      <c r="L372" s="175"/>
      <c r="M372" s="42"/>
      <c r="N372" s="42"/>
      <c r="O372" s="42"/>
      <c r="P372" s="42"/>
      <c r="Q372" s="42"/>
      <c r="R372" s="42"/>
      <c r="S372" s="175"/>
      <c r="T372" s="42"/>
      <c r="U372" s="42"/>
    </row>
    <row r="373" ht="15.75" customHeight="1">
      <c r="A373" s="42"/>
      <c r="B373" s="172"/>
      <c r="C373" s="173"/>
      <c r="D373" s="174"/>
      <c r="E373" s="174"/>
      <c r="F373" s="42"/>
      <c r="G373" s="42"/>
      <c r="H373" s="42"/>
      <c r="I373" s="42"/>
      <c r="J373" s="42"/>
      <c r="K373" s="175"/>
      <c r="L373" s="175"/>
      <c r="M373" s="42"/>
      <c r="N373" s="42"/>
      <c r="O373" s="42"/>
      <c r="P373" s="42"/>
      <c r="Q373" s="42"/>
      <c r="R373" s="42"/>
      <c r="S373" s="175"/>
      <c r="T373" s="42"/>
      <c r="U373" s="42"/>
    </row>
    <row r="374" ht="15.75" customHeight="1">
      <c r="A374" s="42"/>
      <c r="B374" s="172"/>
      <c r="C374" s="173"/>
      <c r="D374" s="174"/>
      <c r="E374" s="174"/>
      <c r="F374" s="42"/>
      <c r="G374" s="42"/>
      <c r="H374" s="42"/>
      <c r="I374" s="42"/>
      <c r="J374" s="42"/>
      <c r="K374" s="175"/>
      <c r="L374" s="175"/>
      <c r="M374" s="42"/>
      <c r="N374" s="42"/>
      <c r="O374" s="42"/>
      <c r="P374" s="42"/>
      <c r="Q374" s="42"/>
      <c r="R374" s="42"/>
      <c r="S374" s="175"/>
      <c r="T374" s="42"/>
      <c r="U374" s="42"/>
    </row>
    <row r="375" ht="15.75" customHeight="1">
      <c r="A375" s="42"/>
      <c r="B375" s="172"/>
      <c r="C375" s="173"/>
      <c r="D375" s="174"/>
      <c r="E375" s="174"/>
      <c r="F375" s="42"/>
      <c r="G375" s="42"/>
      <c r="H375" s="42"/>
      <c r="I375" s="42"/>
      <c r="J375" s="42"/>
      <c r="K375" s="175"/>
      <c r="L375" s="175"/>
      <c r="M375" s="42"/>
      <c r="N375" s="42"/>
      <c r="O375" s="42"/>
      <c r="P375" s="42"/>
      <c r="Q375" s="42"/>
      <c r="R375" s="42"/>
      <c r="S375" s="175"/>
      <c r="T375" s="42"/>
      <c r="U375" s="42"/>
    </row>
    <row r="376" ht="15.75" customHeight="1">
      <c r="A376" s="42"/>
      <c r="B376" s="172"/>
      <c r="C376" s="173"/>
      <c r="D376" s="174"/>
      <c r="E376" s="174"/>
      <c r="F376" s="42"/>
      <c r="G376" s="42"/>
      <c r="H376" s="42"/>
      <c r="I376" s="42"/>
      <c r="J376" s="42"/>
      <c r="K376" s="175"/>
      <c r="L376" s="175"/>
      <c r="M376" s="42"/>
      <c r="N376" s="42"/>
      <c r="O376" s="42"/>
      <c r="P376" s="42"/>
      <c r="Q376" s="42"/>
      <c r="R376" s="42"/>
      <c r="S376" s="175"/>
      <c r="T376" s="42"/>
      <c r="U376" s="42"/>
    </row>
    <row r="377" ht="15.75" customHeight="1">
      <c r="A377" s="42"/>
      <c r="B377" s="172"/>
      <c r="C377" s="173"/>
      <c r="D377" s="174"/>
      <c r="E377" s="174"/>
      <c r="F377" s="42"/>
      <c r="G377" s="42"/>
      <c r="H377" s="42"/>
      <c r="I377" s="42"/>
      <c r="J377" s="42"/>
      <c r="K377" s="175"/>
      <c r="L377" s="175"/>
      <c r="M377" s="42"/>
      <c r="N377" s="42"/>
      <c r="O377" s="42"/>
      <c r="P377" s="42"/>
      <c r="Q377" s="42"/>
      <c r="R377" s="42"/>
      <c r="S377" s="175"/>
      <c r="T377" s="42"/>
      <c r="U377" s="42"/>
    </row>
    <row r="378" ht="15.75" customHeight="1">
      <c r="A378" s="42"/>
      <c r="B378" s="172"/>
      <c r="C378" s="173"/>
      <c r="D378" s="174"/>
      <c r="E378" s="174"/>
      <c r="F378" s="42"/>
      <c r="G378" s="42"/>
      <c r="H378" s="42"/>
      <c r="I378" s="42"/>
      <c r="J378" s="42"/>
      <c r="K378" s="175"/>
      <c r="L378" s="175"/>
      <c r="M378" s="42"/>
      <c r="N378" s="42"/>
      <c r="O378" s="42"/>
      <c r="P378" s="42"/>
      <c r="Q378" s="42"/>
      <c r="R378" s="42"/>
      <c r="S378" s="175"/>
      <c r="T378" s="42"/>
      <c r="U378" s="42"/>
    </row>
    <row r="379" ht="15.75" customHeight="1">
      <c r="A379" s="42"/>
      <c r="B379" s="172"/>
      <c r="C379" s="173"/>
      <c r="D379" s="174"/>
      <c r="E379" s="174"/>
      <c r="F379" s="42"/>
      <c r="G379" s="42"/>
      <c r="H379" s="42"/>
      <c r="I379" s="42"/>
      <c r="J379" s="42"/>
      <c r="K379" s="175"/>
      <c r="L379" s="175"/>
      <c r="M379" s="42"/>
      <c r="N379" s="42"/>
      <c r="O379" s="42"/>
      <c r="P379" s="42"/>
      <c r="Q379" s="42"/>
      <c r="R379" s="42"/>
      <c r="S379" s="175"/>
      <c r="T379" s="42"/>
      <c r="U379" s="42"/>
    </row>
    <row r="380" ht="15.75" customHeight="1">
      <c r="A380" s="42"/>
      <c r="B380" s="172"/>
      <c r="C380" s="173"/>
      <c r="D380" s="174"/>
      <c r="E380" s="174"/>
      <c r="F380" s="42"/>
      <c r="G380" s="42"/>
      <c r="H380" s="42"/>
      <c r="I380" s="42"/>
      <c r="J380" s="42"/>
      <c r="K380" s="175"/>
      <c r="L380" s="175"/>
      <c r="M380" s="42"/>
      <c r="N380" s="42"/>
      <c r="O380" s="42"/>
      <c r="P380" s="42"/>
      <c r="Q380" s="42"/>
      <c r="R380" s="42"/>
      <c r="S380" s="175"/>
      <c r="T380" s="42"/>
      <c r="U380" s="42"/>
    </row>
    <row r="381" ht="15.75" customHeight="1">
      <c r="A381" s="42"/>
      <c r="B381" s="172"/>
      <c r="C381" s="173"/>
      <c r="D381" s="174"/>
      <c r="E381" s="174"/>
      <c r="F381" s="42"/>
      <c r="G381" s="42"/>
      <c r="H381" s="42"/>
      <c r="I381" s="42"/>
      <c r="J381" s="42"/>
      <c r="K381" s="175"/>
      <c r="L381" s="175"/>
      <c r="M381" s="42"/>
      <c r="N381" s="42"/>
      <c r="O381" s="42"/>
      <c r="P381" s="42"/>
      <c r="Q381" s="42"/>
      <c r="R381" s="42"/>
      <c r="S381" s="175"/>
      <c r="T381" s="42"/>
      <c r="U381" s="42"/>
    </row>
    <row r="382" ht="15.75" customHeight="1">
      <c r="A382" s="42"/>
      <c r="B382" s="172"/>
      <c r="C382" s="173"/>
      <c r="D382" s="174"/>
      <c r="E382" s="174"/>
      <c r="F382" s="42"/>
      <c r="G382" s="42"/>
      <c r="H382" s="42"/>
      <c r="I382" s="42"/>
      <c r="J382" s="42"/>
      <c r="K382" s="175"/>
      <c r="L382" s="175"/>
      <c r="M382" s="42"/>
      <c r="N382" s="42"/>
      <c r="O382" s="42"/>
      <c r="P382" s="42"/>
      <c r="Q382" s="42"/>
      <c r="R382" s="42"/>
      <c r="S382" s="175"/>
      <c r="T382" s="42"/>
      <c r="U382" s="42"/>
    </row>
    <row r="383" ht="15.75" customHeight="1">
      <c r="A383" s="42"/>
      <c r="B383" s="172"/>
      <c r="C383" s="173"/>
      <c r="D383" s="174"/>
      <c r="E383" s="174"/>
      <c r="F383" s="42"/>
      <c r="G383" s="42"/>
      <c r="H383" s="42"/>
      <c r="I383" s="42"/>
      <c r="J383" s="42"/>
      <c r="K383" s="175"/>
      <c r="L383" s="175"/>
      <c r="M383" s="42"/>
      <c r="N383" s="42"/>
      <c r="O383" s="42"/>
      <c r="P383" s="42"/>
      <c r="Q383" s="42"/>
      <c r="R383" s="42"/>
      <c r="S383" s="175"/>
      <c r="T383" s="42"/>
      <c r="U383" s="42"/>
    </row>
    <row r="384" ht="15.75" customHeight="1">
      <c r="A384" s="42"/>
      <c r="B384" s="172"/>
      <c r="C384" s="173"/>
      <c r="D384" s="174"/>
      <c r="E384" s="174"/>
      <c r="F384" s="42"/>
      <c r="G384" s="42"/>
      <c r="H384" s="42"/>
      <c r="I384" s="42"/>
      <c r="J384" s="42"/>
      <c r="K384" s="175"/>
      <c r="L384" s="175"/>
      <c r="M384" s="42"/>
      <c r="N384" s="42"/>
      <c r="O384" s="42"/>
      <c r="P384" s="42"/>
      <c r="Q384" s="42"/>
      <c r="R384" s="42"/>
      <c r="S384" s="175"/>
      <c r="T384" s="42"/>
      <c r="U384" s="42"/>
    </row>
    <row r="385" ht="15.75" customHeight="1">
      <c r="A385" s="42"/>
      <c r="B385" s="172"/>
      <c r="C385" s="173"/>
      <c r="D385" s="174"/>
      <c r="E385" s="174"/>
      <c r="F385" s="42"/>
      <c r="G385" s="42"/>
      <c r="H385" s="42"/>
      <c r="I385" s="42"/>
      <c r="J385" s="42"/>
      <c r="K385" s="175"/>
      <c r="L385" s="175"/>
      <c r="M385" s="42"/>
      <c r="N385" s="42"/>
      <c r="O385" s="42"/>
      <c r="P385" s="42"/>
      <c r="Q385" s="42"/>
      <c r="R385" s="42"/>
      <c r="S385" s="175"/>
      <c r="T385" s="42"/>
      <c r="U385" s="42"/>
    </row>
    <row r="386" ht="15.75" customHeight="1">
      <c r="A386" s="42"/>
      <c r="B386" s="172"/>
      <c r="C386" s="173"/>
      <c r="D386" s="174"/>
      <c r="E386" s="174"/>
      <c r="F386" s="42"/>
      <c r="G386" s="42"/>
      <c r="H386" s="42"/>
      <c r="I386" s="42"/>
      <c r="J386" s="42"/>
      <c r="K386" s="175"/>
      <c r="L386" s="175"/>
      <c r="M386" s="42"/>
      <c r="N386" s="42"/>
      <c r="O386" s="42"/>
      <c r="P386" s="42"/>
      <c r="Q386" s="42"/>
      <c r="R386" s="42"/>
      <c r="S386" s="175"/>
      <c r="T386" s="42"/>
      <c r="U386" s="42"/>
    </row>
    <row r="387" ht="15.75" customHeight="1">
      <c r="A387" s="42"/>
      <c r="B387" s="172"/>
      <c r="C387" s="173"/>
      <c r="D387" s="174"/>
      <c r="E387" s="174"/>
      <c r="F387" s="42"/>
      <c r="G387" s="42"/>
      <c r="H387" s="42"/>
      <c r="I387" s="42"/>
      <c r="J387" s="42"/>
      <c r="K387" s="175"/>
      <c r="L387" s="175"/>
      <c r="M387" s="42"/>
      <c r="N387" s="42"/>
      <c r="O387" s="42"/>
      <c r="P387" s="42"/>
      <c r="Q387" s="42"/>
      <c r="R387" s="42"/>
      <c r="S387" s="175"/>
      <c r="T387" s="42"/>
      <c r="U387" s="42"/>
    </row>
    <row r="388" ht="15.75" customHeight="1">
      <c r="A388" s="42"/>
      <c r="B388" s="172"/>
      <c r="C388" s="173"/>
      <c r="D388" s="174"/>
      <c r="E388" s="174"/>
      <c r="F388" s="42"/>
      <c r="G388" s="42"/>
      <c r="H388" s="42"/>
      <c r="I388" s="42"/>
      <c r="J388" s="42"/>
      <c r="K388" s="175"/>
      <c r="L388" s="175"/>
      <c r="M388" s="42"/>
      <c r="N388" s="42"/>
      <c r="O388" s="42"/>
      <c r="P388" s="42"/>
      <c r="Q388" s="42"/>
      <c r="R388" s="42"/>
      <c r="S388" s="175"/>
      <c r="T388" s="42"/>
      <c r="U388" s="42"/>
    </row>
    <row r="389" ht="15.75" customHeight="1">
      <c r="A389" s="42"/>
      <c r="B389" s="172"/>
      <c r="C389" s="173"/>
      <c r="D389" s="174"/>
      <c r="E389" s="174"/>
      <c r="F389" s="42"/>
      <c r="G389" s="42"/>
      <c r="H389" s="42"/>
      <c r="I389" s="42"/>
      <c r="J389" s="42"/>
      <c r="K389" s="175"/>
      <c r="L389" s="175"/>
      <c r="M389" s="42"/>
      <c r="N389" s="42"/>
      <c r="O389" s="42"/>
      <c r="P389" s="42"/>
      <c r="Q389" s="42"/>
      <c r="R389" s="42"/>
      <c r="S389" s="175"/>
      <c r="T389" s="42"/>
      <c r="U389" s="42"/>
    </row>
    <row r="390" ht="15.75" customHeight="1">
      <c r="A390" s="42"/>
      <c r="B390" s="172"/>
      <c r="C390" s="173"/>
      <c r="D390" s="174"/>
      <c r="E390" s="174"/>
      <c r="F390" s="42"/>
      <c r="G390" s="42"/>
      <c r="H390" s="42"/>
      <c r="I390" s="42"/>
      <c r="J390" s="42"/>
      <c r="K390" s="175"/>
      <c r="L390" s="175"/>
      <c r="M390" s="42"/>
      <c r="N390" s="42"/>
      <c r="O390" s="42"/>
      <c r="P390" s="42"/>
      <c r="Q390" s="42"/>
      <c r="R390" s="42"/>
      <c r="S390" s="175"/>
      <c r="T390" s="42"/>
      <c r="U390" s="42"/>
    </row>
    <row r="391" ht="15.75" customHeight="1">
      <c r="A391" s="42"/>
      <c r="B391" s="172"/>
      <c r="C391" s="173"/>
      <c r="D391" s="174"/>
      <c r="E391" s="174"/>
      <c r="F391" s="42"/>
      <c r="G391" s="42"/>
      <c r="H391" s="42"/>
      <c r="I391" s="42"/>
      <c r="J391" s="42"/>
      <c r="K391" s="175"/>
      <c r="L391" s="175"/>
      <c r="M391" s="42"/>
      <c r="N391" s="42"/>
      <c r="O391" s="42"/>
      <c r="P391" s="42"/>
      <c r="Q391" s="42"/>
      <c r="R391" s="42"/>
      <c r="S391" s="175"/>
      <c r="T391" s="42"/>
      <c r="U391" s="42"/>
    </row>
    <row r="392" ht="15.75" customHeight="1">
      <c r="A392" s="42"/>
      <c r="B392" s="172"/>
      <c r="C392" s="173"/>
      <c r="D392" s="174"/>
      <c r="E392" s="174"/>
      <c r="F392" s="42"/>
      <c r="G392" s="42"/>
      <c r="H392" s="42"/>
      <c r="I392" s="42"/>
      <c r="J392" s="42"/>
      <c r="K392" s="175"/>
      <c r="L392" s="175"/>
      <c r="M392" s="42"/>
      <c r="N392" s="42"/>
      <c r="O392" s="42"/>
      <c r="P392" s="42"/>
      <c r="Q392" s="42"/>
      <c r="R392" s="42"/>
      <c r="S392" s="175"/>
      <c r="T392" s="42"/>
      <c r="U392" s="42"/>
    </row>
    <row r="393" ht="15.75" customHeight="1">
      <c r="A393" s="42"/>
      <c r="B393" s="172"/>
      <c r="C393" s="173"/>
      <c r="D393" s="174"/>
      <c r="E393" s="174"/>
      <c r="F393" s="42"/>
      <c r="G393" s="42"/>
      <c r="H393" s="42"/>
      <c r="I393" s="42"/>
      <c r="J393" s="42"/>
      <c r="K393" s="175"/>
      <c r="L393" s="175"/>
      <c r="M393" s="42"/>
      <c r="N393" s="42"/>
      <c r="O393" s="42"/>
      <c r="P393" s="42"/>
      <c r="Q393" s="42"/>
      <c r="R393" s="42"/>
      <c r="S393" s="175"/>
      <c r="T393" s="42"/>
      <c r="U393" s="42"/>
    </row>
    <row r="394" ht="15.75" customHeight="1">
      <c r="A394" s="42"/>
      <c r="B394" s="172"/>
      <c r="C394" s="173"/>
      <c r="D394" s="174"/>
      <c r="E394" s="174"/>
      <c r="F394" s="42"/>
      <c r="G394" s="42"/>
      <c r="H394" s="42"/>
      <c r="I394" s="42"/>
      <c r="J394" s="42"/>
      <c r="K394" s="175"/>
      <c r="L394" s="175"/>
      <c r="M394" s="42"/>
      <c r="N394" s="42"/>
      <c r="O394" s="42"/>
      <c r="P394" s="42"/>
      <c r="Q394" s="42"/>
      <c r="R394" s="42"/>
      <c r="S394" s="175"/>
      <c r="T394" s="42"/>
      <c r="U394" s="42"/>
    </row>
    <row r="395" ht="15.75" customHeight="1">
      <c r="A395" s="42"/>
      <c r="B395" s="172"/>
      <c r="C395" s="173"/>
      <c r="D395" s="174"/>
      <c r="E395" s="174"/>
      <c r="F395" s="42"/>
      <c r="G395" s="42"/>
      <c r="H395" s="42"/>
      <c r="I395" s="42"/>
      <c r="J395" s="42"/>
      <c r="K395" s="175"/>
      <c r="L395" s="175"/>
      <c r="M395" s="42"/>
      <c r="N395" s="42"/>
      <c r="O395" s="42"/>
      <c r="P395" s="42"/>
      <c r="Q395" s="42"/>
      <c r="R395" s="42"/>
      <c r="S395" s="175"/>
      <c r="T395" s="42"/>
      <c r="U395" s="42"/>
    </row>
    <row r="396" ht="15.75" customHeight="1">
      <c r="A396" s="42"/>
      <c r="B396" s="172"/>
      <c r="C396" s="173"/>
      <c r="D396" s="174"/>
      <c r="E396" s="174"/>
      <c r="F396" s="42"/>
      <c r="G396" s="42"/>
      <c r="H396" s="42"/>
      <c r="I396" s="42"/>
      <c r="J396" s="42"/>
      <c r="K396" s="175"/>
      <c r="L396" s="175"/>
      <c r="M396" s="42"/>
      <c r="N396" s="42"/>
      <c r="O396" s="42"/>
      <c r="P396" s="42"/>
      <c r="Q396" s="42"/>
      <c r="R396" s="42"/>
      <c r="S396" s="175"/>
      <c r="T396" s="42"/>
      <c r="U396" s="42"/>
    </row>
    <row r="397" ht="15.75" customHeight="1">
      <c r="A397" s="42"/>
      <c r="B397" s="172"/>
      <c r="C397" s="173"/>
      <c r="D397" s="174"/>
      <c r="E397" s="174"/>
      <c r="F397" s="42"/>
      <c r="G397" s="42"/>
      <c r="H397" s="42"/>
      <c r="I397" s="42"/>
      <c r="J397" s="42"/>
      <c r="K397" s="175"/>
      <c r="L397" s="175"/>
      <c r="M397" s="42"/>
      <c r="N397" s="42"/>
      <c r="O397" s="42"/>
      <c r="P397" s="42"/>
      <c r="Q397" s="42"/>
      <c r="R397" s="42"/>
      <c r="S397" s="175"/>
      <c r="T397" s="42"/>
      <c r="U397" s="42"/>
    </row>
    <row r="398" ht="15.75" customHeight="1">
      <c r="A398" s="42"/>
      <c r="B398" s="172"/>
      <c r="C398" s="173"/>
      <c r="D398" s="174"/>
      <c r="E398" s="174"/>
      <c r="F398" s="42"/>
      <c r="G398" s="42"/>
      <c r="H398" s="42"/>
      <c r="I398" s="42"/>
      <c r="J398" s="42"/>
      <c r="K398" s="175"/>
      <c r="L398" s="175"/>
      <c r="M398" s="42"/>
      <c r="N398" s="42"/>
      <c r="O398" s="42"/>
      <c r="P398" s="42"/>
      <c r="Q398" s="42"/>
      <c r="R398" s="42"/>
      <c r="S398" s="175"/>
      <c r="T398" s="42"/>
      <c r="U398" s="42"/>
    </row>
    <row r="399" ht="15.75" customHeight="1">
      <c r="A399" s="42"/>
      <c r="B399" s="172"/>
      <c r="C399" s="173"/>
      <c r="D399" s="174"/>
      <c r="E399" s="174"/>
      <c r="F399" s="42"/>
      <c r="G399" s="42"/>
      <c r="H399" s="42"/>
      <c r="I399" s="42"/>
      <c r="J399" s="42"/>
      <c r="K399" s="175"/>
      <c r="L399" s="175"/>
      <c r="M399" s="42"/>
      <c r="N399" s="42"/>
      <c r="O399" s="42"/>
      <c r="P399" s="42"/>
      <c r="Q399" s="42"/>
      <c r="R399" s="42"/>
      <c r="S399" s="175"/>
      <c r="T399" s="42"/>
      <c r="U399" s="42"/>
    </row>
    <row r="400" ht="15.75" customHeight="1">
      <c r="A400" s="42"/>
      <c r="B400" s="172"/>
      <c r="C400" s="173"/>
      <c r="D400" s="174"/>
      <c r="E400" s="174"/>
      <c r="F400" s="42"/>
      <c r="G400" s="42"/>
      <c r="H400" s="42"/>
      <c r="I400" s="42"/>
      <c r="J400" s="42"/>
      <c r="K400" s="175"/>
      <c r="L400" s="175"/>
      <c r="M400" s="42"/>
      <c r="N400" s="42"/>
      <c r="O400" s="42"/>
      <c r="P400" s="42"/>
      <c r="Q400" s="42"/>
      <c r="R400" s="42"/>
      <c r="S400" s="175"/>
      <c r="T400" s="42"/>
      <c r="U400" s="42"/>
    </row>
    <row r="401" ht="15.75" customHeight="1">
      <c r="A401" s="42"/>
      <c r="B401" s="172"/>
      <c r="C401" s="173"/>
      <c r="D401" s="174"/>
      <c r="E401" s="174"/>
      <c r="F401" s="42"/>
      <c r="G401" s="42"/>
      <c r="H401" s="42"/>
      <c r="I401" s="42"/>
      <c r="J401" s="42"/>
      <c r="K401" s="175"/>
      <c r="L401" s="175"/>
      <c r="M401" s="42"/>
      <c r="N401" s="42"/>
      <c r="O401" s="42"/>
      <c r="P401" s="42"/>
      <c r="Q401" s="42"/>
      <c r="R401" s="42"/>
      <c r="S401" s="175"/>
      <c r="T401" s="42"/>
      <c r="U401" s="42"/>
    </row>
    <row r="402" ht="15.75" customHeight="1">
      <c r="A402" s="42"/>
      <c r="B402" s="172"/>
      <c r="C402" s="173"/>
      <c r="D402" s="174"/>
      <c r="E402" s="174"/>
      <c r="F402" s="42"/>
      <c r="G402" s="42"/>
      <c r="H402" s="42"/>
      <c r="I402" s="42"/>
      <c r="J402" s="42"/>
      <c r="K402" s="175"/>
      <c r="L402" s="175"/>
      <c r="M402" s="42"/>
      <c r="N402" s="42"/>
      <c r="O402" s="42"/>
      <c r="P402" s="42"/>
      <c r="Q402" s="42"/>
      <c r="R402" s="42"/>
      <c r="S402" s="175"/>
      <c r="T402" s="42"/>
      <c r="U402" s="42"/>
    </row>
    <row r="403" ht="15.75" customHeight="1">
      <c r="A403" s="42"/>
      <c r="B403" s="172"/>
      <c r="C403" s="173"/>
      <c r="D403" s="174"/>
      <c r="E403" s="174"/>
      <c r="F403" s="42"/>
      <c r="G403" s="42"/>
      <c r="H403" s="42"/>
      <c r="I403" s="42"/>
      <c r="J403" s="42"/>
      <c r="K403" s="175"/>
      <c r="L403" s="175"/>
      <c r="M403" s="42"/>
      <c r="N403" s="42"/>
      <c r="O403" s="42"/>
      <c r="P403" s="42"/>
      <c r="Q403" s="42"/>
      <c r="R403" s="42"/>
      <c r="S403" s="175"/>
      <c r="T403" s="42"/>
      <c r="U403" s="42"/>
    </row>
    <row r="404" ht="15.75" customHeight="1">
      <c r="A404" s="42"/>
      <c r="B404" s="172"/>
      <c r="C404" s="173"/>
      <c r="D404" s="174"/>
      <c r="E404" s="174"/>
      <c r="F404" s="42"/>
      <c r="G404" s="42"/>
      <c r="H404" s="42"/>
      <c r="I404" s="42"/>
      <c r="J404" s="42"/>
      <c r="K404" s="175"/>
      <c r="L404" s="175"/>
      <c r="M404" s="42"/>
      <c r="N404" s="42"/>
      <c r="O404" s="42"/>
      <c r="P404" s="42"/>
      <c r="Q404" s="42"/>
      <c r="R404" s="42"/>
      <c r="S404" s="175"/>
      <c r="T404" s="42"/>
      <c r="U404" s="42"/>
    </row>
    <row r="405" ht="15.75" customHeight="1">
      <c r="A405" s="42"/>
      <c r="B405" s="172"/>
      <c r="C405" s="173"/>
      <c r="D405" s="174"/>
      <c r="E405" s="174"/>
      <c r="F405" s="42"/>
      <c r="G405" s="42"/>
      <c r="H405" s="42"/>
      <c r="I405" s="42"/>
      <c r="J405" s="42"/>
      <c r="K405" s="175"/>
      <c r="L405" s="175"/>
      <c r="M405" s="42"/>
      <c r="N405" s="42"/>
      <c r="O405" s="42"/>
      <c r="P405" s="42"/>
      <c r="Q405" s="42"/>
      <c r="R405" s="42"/>
      <c r="S405" s="175"/>
      <c r="T405" s="42"/>
      <c r="U405" s="42"/>
    </row>
    <row r="406" ht="15.75" customHeight="1">
      <c r="A406" s="42"/>
      <c r="B406" s="172"/>
      <c r="C406" s="173"/>
      <c r="D406" s="174"/>
      <c r="E406" s="174"/>
      <c r="F406" s="42"/>
      <c r="G406" s="42"/>
      <c r="H406" s="42"/>
      <c r="I406" s="42"/>
      <c r="J406" s="42"/>
      <c r="K406" s="175"/>
      <c r="L406" s="175"/>
      <c r="M406" s="42"/>
      <c r="N406" s="42"/>
      <c r="O406" s="42"/>
      <c r="P406" s="42"/>
      <c r="Q406" s="42"/>
      <c r="R406" s="42"/>
      <c r="S406" s="175"/>
      <c r="T406" s="42"/>
      <c r="U406" s="42"/>
    </row>
    <row r="407" ht="15.75" customHeight="1">
      <c r="A407" s="42"/>
      <c r="B407" s="172"/>
      <c r="C407" s="173"/>
      <c r="D407" s="174"/>
      <c r="E407" s="174"/>
      <c r="F407" s="42"/>
      <c r="G407" s="42"/>
      <c r="H407" s="42"/>
      <c r="I407" s="42"/>
      <c r="J407" s="42"/>
      <c r="K407" s="175"/>
      <c r="L407" s="175"/>
      <c r="M407" s="42"/>
      <c r="N407" s="42"/>
      <c r="O407" s="42"/>
      <c r="P407" s="42"/>
      <c r="Q407" s="42"/>
      <c r="R407" s="42"/>
      <c r="S407" s="175"/>
      <c r="T407" s="42"/>
      <c r="U407" s="42"/>
    </row>
    <row r="408" ht="15.75" customHeight="1">
      <c r="A408" s="42"/>
      <c r="B408" s="172"/>
      <c r="C408" s="173"/>
      <c r="D408" s="174"/>
      <c r="E408" s="174"/>
      <c r="F408" s="42"/>
      <c r="G408" s="42"/>
      <c r="H408" s="42"/>
      <c r="I408" s="42"/>
      <c r="J408" s="42"/>
      <c r="K408" s="175"/>
      <c r="L408" s="175"/>
      <c r="M408" s="42"/>
      <c r="N408" s="42"/>
      <c r="O408" s="42"/>
      <c r="P408" s="42"/>
      <c r="Q408" s="42"/>
      <c r="R408" s="42"/>
      <c r="S408" s="175"/>
      <c r="T408" s="42"/>
      <c r="U408" s="42"/>
    </row>
    <row r="409" ht="15.75" customHeight="1">
      <c r="A409" s="42"/>
      <c r="B409" s="172"/>
      <c r="C409" s="173"/>
      <c r="D409" s="174"/>
      <c r="E409" s="174"/>
      <c r="F409" s="42"/>
      <c r="G409" s="42"/>
      <c r="H409" s="42"/>
      <c r="I409" s="42"/>
      <c r="J409" s="42"/>
      <c r="K409" s="175"/>
      <c r="L409" s="175"/>
      <c r="M409" s="42"/>
      <c r="N409" s="42"/>
      <c r="O409" s="42"/>
      <c r="P409" s="42"/>
      <c r="Q409" s="42"/>
      <c r="R409" s="42"/>
      <c r="S409" s="175"/>
      <c r="T409" s="42"/>
      <c r="U409" s="42"/>
    </row>
    <row r="410" ht="15.75" customHeight="1">
      <c r="A410" s="42"/>
      <c r="B410" s="172"/>
      <c r="C410" s="173"/>
      <c r="D410" s="174"/>
      <c r="E410" s="174"/>
      <c r="F410" s="42"/>
      <c r="G410" s="42"/>
      <c r="H410" s="42"/>
      <c r="I410" s="42"/>
      <c r="J410" s="42"/>
      <c r="K410" s="175"/>
      <c r="L410" s="175"/>
      <c r="M410" s="42"/>
      <c r="N410" s="42"/>
      <c r="O410" s="42"/>
      <c r="P410" s="42"/>
      <c r="Q410" s="42"/>
      <c r="R410" s="42"/>
      <c r="S410" s="175"/>
      <c r="T410" s="42"/>
      <c r="U410" s="42"/>
    </row>
    <row r="411" ht="15.75" customHeight="1">
      <c r="A411" s="42"/>
      <c r="B411" s="172"/>
      <c r="C411" s="173"/>
      <c r="D411" s="174"/>
      <c r="E411" s="174"/>
      <c r="F411" s="42"/>
      <c r="G411" s="42"/>
      <c r="H411" s="42"/>
      <c r="I411" s="42"/>
      <c r="J411" s="42"/>
      <c r="K411" s="175"/>
      <c r="L411" s="175"/>
      <c r="M411" s="42"/>
      <c r="N411" s="42"/>
      <c r="O411" s="42"/>
      <c r="P411" s="42"/>
      <c r="Q411" s="42"/>
      <c r="R411" s="42"/>
      <c r="S411" s="175"/>
      <c r="T411" s="42"/>
      <c r="U411" s="42"/>
    </row>
    <row r="412" ht="15.75" customHeight="1">
      <c r="A412" s="42"/>
      <c r="B412" s="172"/>
      <c r="C412" s="173"/>
      <c r="D412" s="174"/>
      <c r="E412" s="174"/>
      <c r="F412" s="42"/>
      <c r="G412" s="42"/>
      <c r="H412" s="42"/>
      <c r="I412" s="42"/>
      <c r="J412" s="42"/>
      <c r="K412" s="175"/>
      <c r="L412" s="175"/>
      <c r="M412" s="42"/>
      <c r="N412" s="42"/>
      <c r="O412" s="42"/>
      <c r="P412" s="42"/>
      <c r="Q412" s="42"/>
      <c r="R412" s="42"/>
      <c r="S412" s="175"/>
      <c r="T412" s="42"/>
      <c r="U412" s="42"/>
    </row>
    <row r="413" ht="15.75" customHeight="1">
      <c r="A413" s="42"/>
      <c r="B413" s="172"/>
      <c r="C413" s="173"/>
      <c r="D413" s="174"/>
      <c r="E413" s="174"/>
      <c r="F413" s="42"/>
      <c r="G413" s="42"/>
      <c r="H413" s="42"/>
      <c r="I413" s="42"/>
      <c r="J413" s="42"/>
      <c r="K413" s="175"/>
      <c r="L413" s="175"/>
      <c r="M413" s="42"/>
      <c r="N413" s="42"/>
      <c r="O413" s="42"/>
      <c r="P413" s="42"/>
      <c r="Q413" s="42"/>
      <c r="R413" s="42"/>
      <c r="S413" s="175"/>
      <c r="T413" s="42"/>
      <c r="U413" s="42"/>
    </row>
    <row r="414" ht="15.75" customHeight="1">
      <c r="A414" s="42"/>
      <c r="B414" s="172"/>
      <c r="C414" s="173"/>
      <c r="D414" s="174"/>
      <c r="E414" s="174"/>
      <c r="F414" s="42"/>
      <c r="G414" s="42"/>
      <c r="H414" s="42"/>
      <c r="I414" s="42"/>
      <c r="J414" s="42"/>
      <c r="K414" s="175"/>
      <c r="L414" s="175"/>
      <c r="M414" s="42"/>
      <c r="N414" s="42"/>
      <c r="O414" s="42"/>
      <c r="P414" s="42"/>
      <c r="Q414" s="42"/>
      <c r="R414" s="42"/>
      <c r="S414" s="175"/>
      <c r="T414" s="42"/>
      <c r="U414" s="42"/>
    </row>
    <row r="415" ht="15.75" customHeight="1">
      <c r="A415" s="42"/>
      <c r="B415" s="172"/>
      <c r="C415" s="173"/>
      <c r="D415" s="174"/>
      <c r="E415" s="174"/>
      <c r="F415" s="42"/>
      <c r="G415" s="42"/>
      <c r="H415" s="42"/>
      <c r="I415" s="42"/>
      <c r="J415" s="42"/>
      <c r="K415" s="175"/>
      <c r="L415" s="175"/>
      <c r="M415" s="42"/>
      <c r="N415" s="42"/>
      <c r="O415" s="42"/>
      <c r="P415" s="42"/>
      <c r="Q415" s="42"/>
      <c r="R415" s="42"/>
      <c r="S415" s="175"/>
      <c r="T415" s="42"/>
      <c r="U415" s="42"/>
    </row>
    <row r="416" ht="15.75" customHeight="1">
      <c r="A416" s="42"/>
      <c r="B416" s="172"/>
      <c r="C416" s="173"/>
      <c r="D416" s="174"/>
      <c r="E416" s="174"/>
      <c r="F416" s="42"/>
      <c r="G416" s="42"/>
      <c r="H416" s="42"/>
      <c r="I416" s="42"/>
      <c r="J416" s="42"/>
      <c r="K416" s="175"/>
      <c r="L416" s="175"/>
      <c r="M416" s="42"/>
      <c r="N416" s="42"/>
      <c r="O416" s="42"/>
      <c r="P416" s="42"/>
      <c r="Q416" s="42"/>
      <c r="R416" s="42"/>
      <c r="S416" s="175"/>
      <c r="T416" s="42"/>
      <c r="U416" s="42"/>
    </row>
    <row r="417" ht="15.75" customHeight="1">
      <c r="A417" s="42"/>
      <c r="B417" s="172"/>
      <c r="C417" s="173"/>
      <c r="D417" s="174"/>
      <c r="E417" s="174"/>
      <c r="F417" s="42"/>
      <c r="G417" s="42"/>
      <c r="H417" s="42"/>
      <c r="I417" s="42"/>
      <c r="J417" s="42"/>
      <c r="K417" s="175"/>
      <c r="L417" s="175"/>
      <c r="M417" s="42"/>
      <c r="N417" s="42"/>
      <c r="O417" s="42"/>
      <c r="P417" s="42"/>
      <c r="Q417" s="42"/>
      <c r="R417" s="42"/>
      <c r="S417" s="175"/>
      <c r="T417" s="42"/>
      <c r="U417" s="42"/>
    </row>
    <row r="418" ht="15.75" customHeight="1">
      <c r="A418" s="42"/>
      <c r="B418" s="172"/>
      <c r="C418" s="173"/>
      <c r="D418" s="174"/>
      <c r="E418" s="174"/>
      <c r="F418" s="42"/>
      <c r="G418" s="42"/>
      <c r="H418" s="42"/>
      <c r="I418" s="42"/>
      <c r="J418" s="42"/>
      <c r="K418" s="175"/>
      <c r="L418" s="175"/>
      <c r="M418" s="42"/>
      <c r="N418" s="42"/>
      <c r="O418" s="42"/>
      <c r="P418" s="42"/>
      <c r="Q418" s="42"/>
      <c r="R418" s="42"/>
      <c r="S418" s="175"/>
      <c r="T418" s="42"/>
      <c r="U418" s="42"/>
    </row>
    <row r="419" ht="15.75" customHeight="1">
      <c r="A419" s="42"/>
      <c r="B419" s="172"/>
      <c r="C419" s="173"/>
      <c r="D419" s="174"/>
      <c r="E419" s="174"/>
      <c r="F419" s="42"/>
      <c r="G419" s="42"/>
      <c r="H419" s="42"/>
      <c r="I419" s="42"/>
      <c r="J419" s="42"/>
      <c r="K419" s="175"/>
      <c r="L419" s="175"/>
      <c r="M419" s="42"/>
      <c r="N419" s="42"/>
      <c r="O419" s="42"/>
      <c r="P419" s="42"/>
      <c r="Q419" s="42"/>
      <c r="R419" s="42"/>
      <c r="S419" s="175"/>
      <c r="T419" s="42"/>
      <c r="U419" s="42"/>
    </row>
    <row r="420" ht="15.75" customHeight="1">
      <c r="A420" s="42"/>
      <c r="B420" s="172"/>
      <c r="C420" s="173"/>
      <c r="D420" s="174"/>
      <c r="E420" s="174"/>
      <c r="F420" s="42"/>
      <c r="G420" s="42"/>
      <c r="H420" s="42"/>
      <c r="I420" s="42"/>
      <c r="J420" s="42"/>
      <c r="K420" s="175"/>
      <c r="L420" s="175"/>
      <c r="M420" s="42"/>
      <c r="N420" s="42"/>
      <c r="O420" s="42"/>
      <c r="P420" s="42"/>
      <c r="Q420" s="42"/>
      <c r="R420" s="42"/>
      <c r="S420" s="175"/>
      <c r="T420" s="42"/>
      <c r="U420" s="42"/>
    </row>
    <row r="421" ht="15.75" customHeight="1">
      <c r="A421" s="42"/>
      <c r="B421" s="172"/>
      <c r="C421" s="173"/>
      <c r="D421" s="174"/>
      <c r="E421" s="174"/>
      <c r="F421" s="42"/>
      <c r="G421" s="42"/>
      <c r="H421" s="42"/>
      <c r="I421" s="42"/>
      <c r="J421" s="42"/>
      <c r="K421" s="175"/>
      <c r="L421" s="175"/>
      <c r="M421" s="42"/>
      <c r="N421" s="42"/>
      <c r="O421" s="42"/>
      <c r="P421" s="42"/>
      <c r="Q421" s="42"/>
      <c r="R421" s="42"/>
      <c r="S421" s="175"/>
      <c r="T421" s="42"/>
      <c r="U421" s="42"/>
    </row>
    <row r="422" ht="15.75" customHeight="1">
      <c r="A422" s="42"/>
      <c r="B422" s="172"/>
      <c r="C422" s="173"/>
      <c r="D422" s="174"/>
      <c r="E422" s="174"/>
      <c r="F422" s="42"/>
      <c r="G422" s="42"/>
      <c r="H422" s="42"/>
      <c r="I422" s="42"/>
      <c r="J422" s="42"/>
      <c r="K422" s="175"/>
      <c r="L422" s="175"/>
      <c r="M422" s="42"/>
      <c r="N422" s="42"/>
      <c r="O422" s="42"/>
      <c r="P422" s="42"/>
      <c r="Q422" s="42"/>
      <c r="R422" s="42"/>
      <c r="S422" s="175"/>
      <c r="T422" s="42"/>
      <c r="U422" s="42"/>
    </row>
    <row r="423" ht="15.75" customHeight="1">
      <c r="A423" s="42"/>
      <c r="B423" s="172"/>
      <c r="C423" s="173"/>
      <c r="D423" s="174"/>
      <c r="E423" s="174"/>
      <c r="F423" s="42"/>
      <c r="G423" s="42"/>
      <c r="H423" s="42"/>
      <c r="I423" s="42"/>
      <c r="J423" s="42"/>
      <c r="K423" s="175"/>
      <c r="L423" s="175"/>
      <c r="M423" s="42"/>
      <c r="N423" s="42"/>
      <c r="O423" s="42"/>
      <c r="P423" s="42"/>
      <c r="Q423" s="42"/>
      <c r="R423" s="42"/>
      <c r="S423" s="175"/>
      <c r="T423" s="42"/>
      <c r="U423" s="42"/>
    </row>
    <row r="424" ht="15.75" customHeight="1">
      <c r="A424" s="42"/>
      <c r="B424" s="172"/>
      <c r="C424" s="173"/>
      <c r="D424" s="174"/>
      <c r="E424" s="174"/>
      <c r="F424" s="42"/>
      <c r="G424" s="42"/>
      <c r="H424" s="42"/>
      <c r="I424" s="42"/>
      <c r="J424" s="42"/>
      <c r="K424" s="175"/>
      <c r="L424" s="175"/>
      <c r="M424" s="42"/>
      <c r="N424" s="42"/>
      <c r="O424" s="42"/>
      <c r="P424" s="42"/>
      <c r="Q424" s="42"/>
      <c r="R424" s="42"/>
      <c r="S424" s="175"/>
      <c r="T424" s="42"/>
      <c r="U424" s="42"/>
    </row>
    <row r="425" ht="15.75" customHeight="1">
      <c r="A425" s="42"/>
      <c r="B425" s="172"/>
      <c r="C425" s="173"/>
      <c r="D425" s="174"/>
      <c r="E425" s="174"/>
      <c r="F425" s="42"/>
      <c r="G425" s="42"/>
      <c r="H425" s="42"/>
      <c r="I425" s="42"/>
      <c r="J425" s="42"/>
      <c r="K425" s="175"/>
      <c r="L425" s="175"/>
      <c r="M425" s="42"/>
      <c r="N425" s="42"/>
      <c r="O425" s="42"/>
      <c r="P425" s="42"/>
      <c r="Q425" s="42"/>
      <c r="R425" s="42"/>
      <c r="S425" s="175"/>
      <c r="T425" s="42"/>
      <c r="U425" s="42"/>
    </row>
    <row r="426" ht="15.75" customHeight="1">
      <c r="A426" s="42"/>
      <c r="B426" s="172"/>
      <c r="C426" s="173"/>
      <c r="D426" s="174"/>
      <c r="E426" s="174"/>
      <c r="F426" s="42"/>
      <c r="G426" s="42"/>
      <c r="H426" s="42"/>
      <c r="I426" s="42"/>
      <c r="J426" s="42"/>
      <c r="K426" s="175"/>
      <c r="L426" s="175"/>
      <c r="M426" s="42"/>
      <c r="N426" s="42"/>
      <c r="O426" s="42"/>
      <c r="P426" s="42"/>
      <c r="Q426" s="42"/>
      <c r="R426" s="42"/>
      <c r="S426" s="175"/>
      <c r="T426" s="42"/>
      <c r="U426" s="42"/>
    </row>
    <row r="427" ht="15.75" customHeight="1">
      <c r="A427" s="42"/>
      <c r="B427" s="172"/>
      <c r="C427" s="173"/>
      <c r="D427" s="174"/>
      <c r="E427" s="174"/>
      <c r="F427" s="42"/>
      <c r="G427" s="42"/>
      <c r="H427" s="42"/>
      <c r="I427" s="42"/>
      <c r="J427" s="42"/>
      <c r="K427" s="175"/>
      <c r="L427" s="175"/>
      <c r="M427" s="42"/>
      <c r="N427" s="42"/>
      <c r="O427" s="42"/>
      <c r="P427" s="42"/>
      <c r="Q427" s="42"/>
      <c r="R427" s="42"/>
      <c r="S427" s="175"/>
      <c r="T427" s="42"/>
      <c r="U427" s="42"/>
    </row>
    <row r="428" ht="15.75" customHeight="1">
      <c r="A428" s="42"/>
      <c r="B428" s="172"/>
      <c r="C428" s="173"/>
      <c r="D428" s="174"/>
      <c r="E428" s="174"/>
      <c r="F428" s="42"/>
      <c r="G428" s="42"/>
      <c r="H428" s="42"/>
      <c r="I428" s="42"/>
      <c r="J428" s="42"/>
      <c r="K428" s="175"/>
      <c r="L428" s="175"/>
      <c r="M428" s="42"/>
      <c r="N428" s="42"/>
      <c r="O428" s="42"/>
      <c r="P428" s="42"/>
      <c r="Q428" s="42"/>
      <c r="R428" s="42"/>
      <c r="S428" s="175"/>
      <c r="T428" s="42"/>
      <c r="U428" s="42"/>
    </row>
    <row r="429" ht="15.75" customHeight="1">
      <c r="A429" s="42"/>
      <c r="B429" s="172"/>
      <c r="C429" s="173"/>
      <c r="D429" s="174"/>
      <c r="E429" s="174"/>
      <c r="F429" s="42"/>
      <c r="G429" s="42"/>
      <c r="H429" s="42"/>
      <c r="I429" s="42"/>
      <c r="J429" s="42"/>
      <c r="K429" s="175"/>
      <c r="L429" s="175"/>
      <c r="M429" s="42"/>
      <c r="N429" s="42"/>
      <c r="O429" s="42"/>
      <c r="P429" s="42"/>
      <c r="Q429" s="42"/>
      <c r="R429" s="42"/>
      <c r="S429" s="175"/>
      <c r="T429" s="42"/>
      <c r="U429" s="42"/>
    </row>
    <row r="430" ht="15.75" customHeight="1">
      <c r="A430" s="42"/>
      <c r="B430" s="172"/>
      <c r="C430" s="173"/>
      <c r="D430" s="174"/>
      <c r="E430" s="174"/>
      <c r="F430" s="42"/>
      <c r="G430" s="42"/>
      <c r="H430" s="42"/>
      <c r="I430" s="42"/>
      <c r="J430" s="42"/>
      <c r="K430" s="175"/>
      <c r="L430" s="175"/>
      <c r="M430" s="42"/>
      <c r="N430" s="42"/>
      <c r="O430" s="42"/>
      <c r="P430" s="42"/>
      <c r="Q430" s="42"/>
      <c r="R430" s="42"/>
      <c r="S430" s="175"/>
      <c r="T430" s="42"/>
      <c r="U430" s="42"/>
    </row>
    <row r="431" ht="15.75" customHeight="1">
      <c r="A431" s="42"/>
      <c r="B431" s="172"/>
      <c r="C431" s="173"/>
      <c r="D431" s="174"/>
      <c r="E431" s="174"/>
      <c r="F431" s="42"/>
      <c r="G431" s="42"/>
      <c r="H431" s="42"/>
      <c r="I431" s="42"/>
      <c r="J431" s="42"/>
      <c r="K431" s="175"/>
      <c r="L431" s="175"/>
      <c r="M431" s="42"/>
      <c r="N431" s="42"/>
      <c r="O431" s="42"/>
      <c r="P431" s="42"/>
      <c r="Q431" s="42"/>
      <c r="R431" s="42"/>
      <c r="S431" s="175"/>
      <c r="T431" s="42"/>
      <c r="U431" s="42"/>
    </row>
    <row r="432" ht="15.75" customHeight="1">
      <c r="A432" s="42"/>
      <c r="B432" s="172"/>
      <c r="C432" s="173"/>
      <c r="D432" s="174"/>
      <c r="E432" s="174"/>
      <c r="F432" s="42"/>
      <c r="G432" s="42"/>
      <c r="H432" s="42"/>
      <c r="I432" s="42"/>
      <c r="J432" s="42"/>
      <c r="K432" s="175"/>
      <c r="L432" s="175"/>
      <c r="M432" s="42"/>
      <c r="N432" s="42"/>
      <c r="O432" s="42"/>
      <c r="P432" s="42"/>
      <c r="Q432" s="42"/>
      <c r="R432" s="42"/>
      <c r="S432" s="175"/>
      <c r="T432" s="42"/>
      <c r="U432" s="42"/>
    </row>
    <row r="433" ht="15.75" customHeight="1">
      <c r="A433" s="42"/>
      <c r="B433" s="172"/>
      <c r="C433" s="173"/>
      <c r="D433" s="174"/>
      <c r="E433" s="174"/>
      <c r="F433" s="42"/>
      <c r="G433" s="42"/>
      <c r="H433" s="42"/>
      <c r="I433" s="42"/>
      <c r="J433" s="42"/>
      <c r="K433" s="175"/>
      <c r="L433" s="175"/>
      <c r="M433" s="42"/>
      <c r="N433" s="42"/>
      <c r="O433" s="42"/>
      <c r="P433" s="42"/>
      <c r="Q433" s="42"/>
      <c r="R433" s="42"/>
      <c r="S433" s="175"/>
      <c r="T433" s="42"/>
      <c r="U433" s="42"/>
    </row>
    <row r="434" ht="15.75" customHeight="1">
      <c r="A434" s="42"/>
      <c r="B434" s="172"/>
      <c r="C434" s="173"/>
      <c r="D434" s="174"/>
      <c r="E434" s="174"/>
      <c r="F434" s="42"/>
      <c r="G434" s="42"/>
      <c r="H434" s="42"/>
      <c r="I434" s="42"/>
      <c r="J434" s="42"/>
      <c r="K434" s="175"/>
      <c r="L434" s="175"/>
      <c r="M434" s="42"/>
      <c r="N434" s="42"/>
      <c r="O434" s="42"/>
      <c r="P434" s="42"/>
      <c r="Q434" s="42"/>
      <c r="R434" s="42"/>
      <c r="S434" s="175"/>
      <c r="T434" s="42"/>
      <c r="U434" s="42"/>
    </row>
    <row r="435" ht="15.75" customHeight="1">
      <c r="A435" s="42"/>
      <c r="B435" s="172"/>
      <c r="C435" s="173"/>
      <c r="D435" s="174"/>
      <c r="E435" s="174"/>
      <c r="F435" s="42"/>
      <c r="G435" s="42"/>
      <c r="H435" s="42"/>
      <c r="I435" s="42"/>
      <c r="J435" s="42"/>
      <c r="K435" s="175"/>
      <c r="L435" s="175"/>
      <c r="M435" s="42"/>
      <c r="N435" s="42"/>
      <c r="O435" s="42"/>
      <c r="P435" s="42"/>
      <c r="Q435" s="42"/>
      <c r="R435" s="42"/>
      <c r="S435" s="175"/>
      <c r="T435" s="42"/>
      <c r="U435" s="42"/>
    </row>
    <row r="436" ht="15.75" customHeight="1">
      <c r="A436" s="42"/>
      <c r="B436" s="172"/>
      <c r="C436" s="173"/>
      <c r="D436" s="174"/>
      <c r="E436" s="174"/>
      <c r="F436" s="42"/>
      <c r="G436" s="42"/>
      <c r="H436" s="42"/>
      <c r="I436" s="42"/>
      <c r="J436" s="42"/>
      <c r="K436" s="175"/>
      <c r="L436" s="175"/>
      <c r="M436" s="42"/>
      <c r="N436" s="42"/>
      <c r="O436" s="42"/>
      <c r="P436" s="42"/>
      <c r="Q436" s="42"/>
      <c r="R436" s="42"/>
      <c r="S436" s="175"/>
      <c r="T436" s="42"/>
      <c r="U436" s="42"/>
    </row>
    <row r="437" ht="15.75" customHeight="1">
      <c r="A437" s="42"/>
      <c r="B437" s="172"/>
      <c r="C437" s="173"/>
      <c r="D437" s="174"/>
      <c r="E437" s="174"/>
      <c r="F437" s="42"/>
      <c r="G437" s="42"/>
      <c r="H437" s="42"/>
      <c r="I437" s="42"/>
      <c r="J437" s="42"/>
      <c r="K437" s="175"/>
      <c r="L437" s="175"/>
      <c r="M437" s="42"/>
      <c r="N437" s="42"/>
      <c r="O437" s="42"/>
      <c r="P437" s="42"/>
      <c r="Q437" s="42"/>
      <c r="R437" s="42"/>
      <c r="S437" s="175"/>
      <c r="T437" s="42"/>
      <c r="U437" s="42"/>
    </row>
    <row r="438" ht="15.75" customHeight="1">
      <c r="A438" s="42"/>
      <c r="B438" s="172"/>
      <c r="C438" s="173"/>
      <c r="D438" s="174"/>
      <c r="E438" s="174"/>
      <c r="F438" s="42"/>
      <c r="G438" s="42"/>
      <c r="H438" s="42"/>
      <c r="I438" s="42"/>
      <c r="J438" s="42"/>
      <c r="K438" s="175"/>
      <c r="L438" s="175"/>
      <c r="M438" s="42"/>
      <c r="N438" s="42"/>
      <c r="O438" s="42"/>
      <c r="P438" s="42"/>
      <c r="Q438" s="42"/>
      <c r="R438" s="42"/>
      <c r="S438" s="175"/>
      <c r="T438" s="42"/>
      <c r="U438" s="42"/>
    </row>
    <row r="439" ht="15.75" customHeight="1">
      <c r="A439" s="42"/>
      <c r="B439" s="172"/>
      <c r="C439" s="173"/>
      <c r="D439" s="174"/>
      <c r="E439" s="174"/>
      <c r="F439" s="42"/>
      <c r="G439" s="42"/>
      <c r="H439" s="42"/>
      <c r="I439" s="42"/>
      <c r="J439" s="42"/>
      <c r="K439" s="175"/>
      <c r="L439" s="175"/>
      <c r="M439" s="42"/>
      <c r="N439" s="42"/>
      <c r="O439" s="42"/>
      <c r="P439" s="42"/>
      <c r="Q439" s="42"/>
      <c r="R439" s="42"/>
      <c r="S439" s="175"/>
      <c r="T439" s="42"/>
      <c r="U439" s="42"/>
    </row>
    <row r="440" ht="15.75" customHeight="1">
      <c r="A440" s="42"/>
      <c r="B440" s="172"/>
      <c r="C440" s="173"/>
      <c r="D440" s="174"/>
      <c r="E440" s="174"/>
      <c r="F440" s="42"/>
      <c r="G440" s="42"/>
      <c r="H440" s="42"/>
      <c r="I440" s="42"/>
      <c r="J440" s="42"/>
      <c r="K440" s="175"/>
      <c r="L440" s="175"/>
      <c r="M440" s="42"/>
      <c r="N440" s="42"/>
      <c r="O440" s="42"/>
      <c r="P440" s="42"/>
      <c r="Q440" s="42"/>
      <c r="R440" s="42"/>
      <c r="S440" s="175"/>
      <c r="T440" s="42"/>
      <c r="U440" s="42"/>
    </row>
    <row r="441" ht="15.75" customHeight="1">
      <c r="A441" s="42"/>
      <c r="B441" s="172"/>
      <c r="C441" s="173"/>
      <c r="D441" s="174"/>
      <c r="E441" s="174"/>
      <c r="F441" s="42"/>
      <c r="G441" s="42"/>
      <c r="H441" s="42"/>
      <c r="I441" s="42"/>
      <c r="J441" s="42"/>
      <c r="K441" s="175"/>
      <c r="L441" s="175"/>
      <c r="M441" s="42"/>
      <c r="N441" s="42"/>
      <c r="O441" s="42"/>
      <c r="P441" s="42"/>
      <c r="Q441" s="42"/>
      <c r="R441" s="42"/>
      <c r="S441" s="175"/>
      <c r="T441" s="42"/>
      <c r="U441" s="42"/>
    </row>
    <row r="442" ht="15.75" customHeight="1">
      <c r="A442" s="42"/>
      <c r="B442" s="172"/>
      <c r="C442" s="173"/>
      <c r="D442" s="174"/>
      <c r="E442" s="174"/>
      <c r="F442" s="42"/>
      <c r="G442" s="42"/>
      <c r="H442" s="42"/>
      <c r="I442" s="42"/>
      <c r="J442" s="42"/>
      <c r="K442" s="175"/>
      <c r="L442" s="175"/>
      <c r="M442" s="42"/>
      <c r="N442" s="42"/>
      <c r="O442" s="42"/>
      <c r="P442" s="42"/>
      <c r="Q442" s="42"/>
      <c r="R442" s="42"/>
      <c r="S442" s="175"/>
      <c r="T442" s="42"/>
      <c r="U442" s="42"/>
    </row>
    <row r="443" ht="15.75" customHeight="1">
      <c r="A443" s="42"/>
      <c r="B443" s="172"/>
      <c r="C443" s="173"/>
      <c r="D443" s="174"/>
      <c r="E443" s="174"/>
      <c r="F443" s="42"/>
      <c r="G443" s="42"/>
      <c r="H443" s="42"/>
      <c r="I443" s="42"/>
      <c r="J443" s="42"/>
      <c r="K443" s="175"/>
      <c r="L443" s="175"/>
      <c r="M443" s="42"/>
      <c r="N443" s="42"/>
      <c r="O443" s="42"/>
      <c r="P443" s="42"/>
      <c r="Q443" s="42"/>
      <c r="R443" s="42"/>
      <c r="S443" s="175"/>
      <c r="T443" s="42"/>
      <c r="U443" s="42"/>
    </row>
    <row r="444" ht="15.75" customHeight="1">
      <c r="A444" s="42"/>
      <c r="B444" s="172"/>
      <c r="C444" s="173"/>
      <c r="D444" s="174"/>
      <c r="E444" s="174"/>
      <c r="F444" s="42"/>
      <c r="G444" s="42"/>
      <c r="H444" s="42"/>
      <c r="I444" s="42"/>
      <c r="J444" s="42"/>
      <c r="K444" s="175"/>
      <c r="L444" s="175"/>
      <c r="M444" s="42"/>
      <c r="N444" s="42"/>
      <c r="O444" s="42"/>
      <c r="P444" s="42"/>
      <c r="Q444" s="42"/>
      <c r="R444" s="42"/>
      <c r="S444" s="175"/>
      <c r="T444" s="42"/>
      <c r="U444" s="42"/>
    </row>
    <row r="445" ht="15.75" customHeight="1">
      <c r="A445" s="42"/>
      <c r="B445" s="172"/>
      <c r="C445" s="173"/>
      <c r="D445" s="174"/>
      <c r="E445" s="174"/>
      <c r="F445" s="42"/>
      <c r="G445" s="42"/>
      <c r="H445" s="42"/>
      <c r="I445" s="42"/>
      <c r="J445" s="42"/>
      <c r="K445" s="175"/>
      <c r="L445" s="175"/>
      <c r="M445" s="42"/>
      <c r="N445" s="42"/>
      <c r="O445" s="42"/>
      <c r="P445" s="42"/>
      <c r="Q445" s="42"/>
      <c r="R445" s="42"/>
      <c r="S445" s="175"/>
      <c r="T445" s="42"/>
      <c r="U445" s="42"/>
    </row>
    <row r="446" ht="15.75" customHeight="1">
      <c r="A446" s="42"/>
      <c r="B446" s="172"/>
      <c r="C446" s="173"/>
      <c r="D446" s="174"/>
      <c r="E446" s="174"/>
      <c r="F446" s="42"/>
      <c r="G446" s="42"/>
      <c r="H446" s="42"/>
      <c r="I446" s="42"/>
      <c r="J446" s="42"/>
      <c r="K446" s="175"/>
      <c r="L446" s="175"/>
      <c r="M446" s="42"/>
      <c r="N446" s="42"/>
      <c r="O446" s="42"/>
      <c r="P446" s="42"/>
      <c r="Q446" s="42"/>
      <c r="R446" s="42"/>
      <c r="S446" s="175"/>
      <c r="T446" s="42"/>
      <c r="U446" s="42"/>
    </row>
    <row r="447" ht="15.75" customHeight="1">
      <c r="A447" s="42"/>
      <c r="B447" s="172"/>
      <c r="C447" s="173"/>
      <c r="D447" s="174"/>
      <c r="E447" s="174"/>
      <c r="F447" s="42"/>
      <c r="G447" s="42"/>
      <c r="H447" s="42"/>
      <c r="I447" s="42"/>
      <c r="J447" s="42"/>
      <c r="K447" s="175"/>
      <c r="L447" s="175"/>
      <c r="M447" s="42"/>
      <c r="N447" s="42"/>
      <c r="O447" s="42"/>
      <c r="P447" s="42"/>
      <c r="Q447" s="42"/>
      <c r="R447" s="42"/>
      <c r="S447" s="175"/>
      <c r="T447" s="42"/>
      <c r="U447" s="42"/>
    </row>
    <row r="448" ht="15.75" customHeight="1">
      <c r="A448" s="42"/>
      <c r="B448" s="172"/>
      <c r="C448" s="173"/>
      <c r="D448" s="174"/>
      <c r="E448" s="174"/>
      <c r="F448" s="42"/>
      <c r="G448" s="42"/>
      <c r="H448" s="42"/>
      <c r="I448" s="42"/>
      <c r="J448" s="42"/>
      <c r="K448" s="175"/>
      <c r="L448" s="175"/>
      <c r="M448" s="42"/>
      <c r="N448" s="42"/>
      <c r="O448" s="42"/>
      <c r="P448" s="42"/>
      <c r="Q448" s="42"/>
      <c r="R448" s="42"/>
      <c r="S448" s="175"/>
      <c r="T448" s="42"/>
      <c r="U448" s="42"/>
    </row>
    <row r="449" ht="15.75" customHeight="1">
      <c r="A449" s="42"/>
      <c r="B449" s="172"/>
      <c r="C449" s="173"/>
      <c r="D449" s="174"/>
      <c r="E449" s="174"/>
      <c r="F449" s="42"/>
      <c r="G449" s="42"/>
      <c r="H449" s="42"/>
      <c r="I449" s="42"/>
      <c r="J449" s="42"/>
      <c r="K449" s="175"/>
      <c r="L449" s="175"/>
      <c r="M449" s="42"/>
      <c r="N449" s="42"/>
      <c r="O449" s="42"/>
      <c r="P449" s="42"/>
      <c r="Q449" s="42"/>
      <c r="R449" s="42"/>
      <c r="S449" s="175"/>
      <c r="T449" s="42"/>
      <c r="U449" s="42"/>
    </row>
    <row r="450" ht="15.75" customHeight="1">
      <c r="A450" s="42"/>
      <c r="B450" s="172"/>
      <c r="C450" s="173"/>
      <c r="D450" s="174"/>
      <c r="E450" s="174"/>
      <c r="F450" s="42"/>
      <c r="G450" s="42"/>
      <c r="H450" s="42"/>
      <c r="I450" s="42"/>
      <c r="J450" s="42"/>
      <c r="K450" s="175"/>
      <c r="L450" s="175"/>
      <c r="M450" s="42"/>
      <c r="N450" s="42"/>
      <c r="O450" s="42"/>
      <c r="P450" s="42"/>
      <c r="Q450" s="42"/>
      <c r="R450" s="42"/>
      <c r="S450" s="175"/>
      <c r="T450" s="42"/>
      <c r="U450" s="42"/>
    </row>
    <row r="451" ht="15.75" customHeight="1">
      <c r="A451" s="42"/>
      <c r="B451" s="172"/>
      <c r="C451" s="173"/>
      <c r="D451" s="174"/>
      <c r="E451" s="174"/>
      <c r="F451" s="42"/>
      <c r="G451" s="42"/>
      <c r="H451" s="42"/>
      <c r="I451" s="42"/>
      <c r="J451" s="42"/>
      <c r="K451" s="175"/>
      <c r="L451" s="175"/>
      <c r="M451" s="42"/>
      <c r="N451" s="42"/>
      <c r="O451" s="42"/>
      <c r="P451" s="42"/>
      <c r="Q451" s="42"/>
      <c r="R451" s="42"/>
      <c r="S451" s="175"/>
      <c r="T451" s="42"/>
      <c r="U451" s="42"/>
    </row>
    <row r="452" ht="15.75" customHeight="1">
      <c r="A452" s="42"/>
      <c r="B452" s="172"/>
      <c r="C452" s="173"/>
      <c r="D452" s="174"/>
      <c r="E452" s="174"/>
      <c r="F452" s="42"/>
      <c r="G452" s="42"/>
      <c r="H452" s="42"/>
      <c r="I452" s="42"/>
      <c r="J452" s="42"/>
      <c r="K452" s="175"/>
      <c r="L452" s="175"/>
      <c r="M452" s="42"/>
      <c r="N452" s="42"/>
      <c r="O452" s="42"/>
      <c r="P452" s="42"/>
      <c r="Q452" s="42"/>
      <c r="R452" s="42"/>
      <c r="S452" s="175"/>
      <c r="T452" s="42"/>
      <c r="U452" s="42"/>
    </row>
    <row r="453" ht="15.75" customHeight="1">
      <c r="A453" s="42"/>
      <c r="B453" s="172"/>
      <c r="C453" s="173"/>
      <c r="D453" s="174"/>
      <c r="E453" s="174"/>
      <c r="F453" s="42"/>
      <c r="G453" s="42"/>
      <c r="H453" s="42"/>
      <c r="I453" s="42"/>
      <c r="J453" s="42"/>
      <c r="K453" s="175"/>
      <c r="L453" s="175"/>
      <c r="M453" s="42"/>
      <c r="N453" s="42"/>
      <c r="O453" s="42"/>
      <c r="P453" s="42"/>
      <c r="Q453" s="42"/>
      <c r="R453" s="42"/>
      <c r="S453" s="175"/>
      <c r="T453" s="42"/>
      <c r="U453" s="42"/>
    </row>
    <row r="454" ht="15.75" customHeight="1">
      <c r="A454" s="42"/>
      <c r="B454" s="172"/>
      <c r="C454" s="173"/>
      <c r="D454" s="174"/>
      <c r="E454" s="174"/>
      <c r="F454" s="42"/>
      <c r="G454" s="42"/>
      <c r="H454" s="42"/>
      <c r="I454" s="42"/>
      <c r="J454" s="42"/>
      <c r="K454" s="175"/>
      <c r="L454" s="175"/>
      <c r="M454" s="42"/>
      <c r="N454" s="42"/>
      <c r="O454" s="42"/>
      <c r="P454" s="42"/>
      <c r="Q454" s="42"/>
      <c r="R454" s="42"/>
      <c r="S454" s="175"/>
      <c r="T454" s="42"/>
      <c r="U454" s="42"/>
    </row>
    <row r="455" ht="15.75" customHeight="1">
      <c r="A455" s="42"/>
      <c r="B455" s="172"/>
      <c r="C455" s="173"/>
      <c r="D455" s="174"/>
      <c r="E455" s="174"/>
      <c r="F455" s="42"/>
      <c r="G455" s="42"/>
      <c r="H455" s="42"/>
      <c r="I455" s="42"/>
      <c r="J455" s="42"/>
      <c r="K455" s="175"/>
      <c r="L455" s="175"/>
      <c r="M455" s="42"/>
      <c r="N455" s="42"/>
      <c r="O455" s="42"/>
      <c r="P455" s="42"/>
      <c r="Q455" s="42"/>
      <c r="R455" s="42"/>
      <c r="S455" s="175"/>
      <c r="T455" s="42"/>
      <c r="U455" s="42"/>
    </row>
    <row r="456" ht="15.75" customHeight="1">
      <c r="A456" s="42"/>
      <c r="B456" s="172"/>
      <c r="C456" s="173"/>
      <c r="D456" s="174"/>
      <c r="E456" s="174"/>
      <c r="F456" s="42"/>
      <c r="G456" s="42"/>
      <c r="H456" s="42"/>
      <c r="I456" s="42"/>
      <c r="J456" s="42"/>
      <c r="K456" s="175"/>
      <c r="L456" s="175"/>
      <c r="M456" s="42"/>
      <c r="N456" s="42"/>
      <c r="O456" s="42"/>
      <c r="P456" s="42"/>
      <c r="Q456" s="42"/>
      <c r="R456" s="42"/>
      <c r="S456" s="175"/>
      <c r="T456" s="42"/>
      <c r="U456" s="42"/>
    </row>
    <row r="457" ht="15.75" customHeight="1">
      <c r="A457" s="42"/>
      <c r="B457" s="172"/>
      <c r="C457" s="173"/>
      <c r="D457" s="174"/>
      <c r="E457" s="174"/>
      <c r="F457" s="42"/>
      <c r="G457" s="42"/>
      <c r="H457" s="42"/>
      <c r="I457" s="42"/>
      <c r="J457" s="42"/>
      <c r="K457" s="175"/>
      <c r="L457" s="175"/>
      <c r="M457" s="42"/>
      <c r="N457" s="42"/>
      <c r="O457" s="42"/>
      <c r="P457" s="42"/>
      <c r="Q457" s="42"/>
      <c r="R457" s="42"/>
      <c r="S457" s="175"/>
      <c r="T457" s="42"/>
      <c r="U457" s="42"/>
    </row>
    <row r="458" ht="15.75" customHeight="1">
      <c r="A458" s="42"/>
      <c r="B458" s="172"/>
      <c r="C458" s="173"/>
      <c r="D458" s="174"/>
      <c r="E458" s="174"/>
      <c r="F458" s="42"/>
      <c r="G458" s="42"/>
      <c r="H458" s="42"/>
      <c r="I458" s="42"/>
      <c r="J458" s="42"/>
      <c r="K458" s="175"/>
      <c r="L458" s="175"/>
      <c r="M458" s="42"/>
      <c r="N458" s="42"/>
      <c r="O458" s="42"/>
      <c r="P458" s="42"/>
      <c r="Q458" s="42"/>
      <c r="R458" s="42"/>
      <c r="S458" s="175"/>
      <c r="T458" s="42"/>
      <c r="U458" s="42"/>
    </row>
    <row r="459" ht="15.75" customHeight="1">
      <c r="A459" s="42"/>
      <c r="B459" s="172"/>
      <c r="C459" s="173"/>
      <c r="D459" s="174"/>
      <c r="E459" s="174"/>
      <c r="F459" s="42"/>
      <c r="G459" s="42"/>
      <c r="H459" s="42"/>
      <c r="I459" s="42"/>
      <c r="J459" s="42"/>
      <c r="K459" s="175"/>
      <c r="L459" s="175"/>
      <c r="M459" s="42"/>
      <c r="N459" s="42"/>
      <c r="O459" s="42"/>
      <c r="P459" s="42"/>
      <c r="Q459" s="42"/>
      <c r="R459" s="42"/>
      <c r="S459" s="175"/>
      <c r="T459" s="42"/>
      <c r="U459" s="42"/>
    </row>
    <row r="460" ht="15.75" customHeight="1">
      <c r="A460" s="42"/>
      <c r="B460" s="172"/>
      <c r="C460" s="173"/>
      <c r="D460" s="174"/>
      <c r="E460" s="174"/>
      <c r="F460" s="42"/>
      <c r="G460" s="42"/>
      <c r="H460" s="42"/>
      <c r="I460" s="42"/>
      <c r="J460" s="42"/>
      <c r="K460" s="175"/>
      <c r="L460" s="175"/>
      <c r="M460" s="42"/>
      <c r="N460" s="42"/>
      <c r="O460" s="42"/>
      <c r="P460" s="42"/>
      <c r="Q460" s="42"/>
      <c r="R460" s="42"/>
      <c r="S460" s="175"/>
      <c r="T460" s="42"/>
      <c r="U460" s="42"/>
    </row>
    <row r="461" ht="15.75" customHeight="1">
      <c r="A461" s="42"/>
      <c r="B461" s="172"/>
      <c r="C461" s="173"/>
      <c r="D461" s="174"/>
      <c r="E461" s="174"/>
      <c r="F461" s="42"/>
      <c r="G461" s="42"/>
      <c r="H461" s="42"/>
      <c r="I461" s="42"/>
      <c r="J461" s="42"/>
      <c r="K461" s="175"/>
      <c r="L461" s="175"/>
      <c r="M461" s="42"/>
      <c r="N461" s="42"/>
      <c r="O461" s="42"/>
      <c r="P461" s="42"/>
      <c r="Q461" s="42"/>
      <c r="R461" s="42"/>
      <c r="S461" s="175"/>
      <c r="T461" s="42"/>
      <c r="U461" s="42"/>
    </row>
    <row r="462" ht="15.75" customHeight="1">
      <c r="A462" s="42"/>
      <c r="B462" s="172"/>
      <c r="C462" s="173"/>
      <c r="D462" s="174"/>
      <c r="E462" s="174"/>
      <c r="F462" s="42"/>
      <c r="G462" s="42"/>
      <c r="H462" s="42"/>
      <c r="I462" s="42"/>
      <c r="J462" s="42"/>
      <c r="K462" s="175"/>
      <c r="L462" s="175"/>
      <c r="M462" s="42"/>
      <c r="N462" s="42"/>
      <c r="O462" s="42"/>
      <c r="P462" s="42"/>
      <c r="Q462" s="42"/>
      <c r="R462" s="42"/>
      <c r="S462" s="175"/>
      <c r="T462" s="42"/>
      <c r="U462" s="42"/>
    </row>
    <row r="463" ht="15.75" customHeight="1">
      <c r="A463" s="42"/>
      <c r="B463" s="172"/>
      <c r="C463" s="173"/>
      <c r="D463" s="174"/>
      <c r="E463" s="174"/>
      <c r="F463" s="42"/>
      <c r="G463" s="42"/>
      <c r="H463" s="42"/>
      <c r="I463" s="42"/>
      <c r="J463" s="42"/>
      <c r="K463" s="175"/>
      <c r="L463" s="175"/>
      <c r="M463" s="42"/>
      <c r="N463" s="42"/>
      <c r="O463" s="42"/>
      <c r="P463" s="42"/>
      <c r="Q463" s="42"/>
      <c r="R463" s="42"/>
      <c r="S463" s="175"/>
      <c r="T463" s="42"/>
      <c r="U463" s="42"/>
    </row>
    <row r="464" ht="15.75" customHeight="1">
      <c r="A464" s="42"/>
      <c r="B464" s="172"/>
      <c r="C464" s="173"/>
      <c r="D464" s="174"/>
      <c r="E464" s="174"/>
      <c r="F464" s="42"/>
      <c r="G464" s="42"/>
      <c r="H464" s="42"/>
      <c r="I464" s="42"/>
      <c r="J464" s="42"/>
      <c r="K464" s="175"/>
      <c r="L464" s="175"/>
      <c r="M464" s="42"/>
      <c r="N464" s="42"/>
      <c r="O464" s="42"/>
      <c r="P464" s="42"/>
      <c r="Q464" s="42"/>
      <c r="R464" s="42"/>
      <c r="S464" s="175"/>
      <c r="T464" s="42"/>
      <c r="U464" s="42"/>
    </row>
    <row r="465" ht="15.75" customHeight="1">
      <c r="A465" s="42"/>
      <c r="B465" s="172"/>
      <c r="C465" s="173"/>
      <c r="D465" s="174"/>
      <c r="E465" s="174"/>
      <c r="F465" s="42"/>
      <c r="G465" s="42"/>
      <c r="H465" s="42"/>
      <c r="I465" s="42"/>
      <c r="J465" s="42"/>
      <c r="K465" s="175"/>
      <c r="L465" s="175"/>
      <c r="M465" s="42"/>
      <c r="N465" s="42"/>
      <c r="O465" s="42"/>
      <c r="P465" s="42"/>
      <c r="Q465" s="42"/>
      <c r="R465" s="42"/>
      <c r="S465" s="175"/>
      <c r="T465" s="42"/>
      <c r="U465" s="42"/>
    </row>
    <row r="466" ht="15.75" customHeight="1">
      <c r="A466" s="42"/>
      <c r="B466" s="172"/>
      <c r="C466" s="173"/>
      <c r="D466" s="174"/>
      <c r="E466" s="174"/>
      <c r="F466" s="42"/>
      <c r="G466" s="42"/>
      <c r="H466" s="42"/>
      <c r="I466" s="42"/>
      <c r="J466" s="42"/>
      <c r="K466" s="175"/>
      <c r="L466" s="175"/>
      <c r="M466" s="42"/>
      <c r="N466" s="42"/>
      <c r="O466" s="42"/>
      <c r="P466" s="42"/>
      <c r="Q466" s="42"/>
      <c r="R466" s="42"/>
      <c r="S466" s="175"/>
      <c r="T466" s="42"/>
      <c r="U466" s="42"/>
    </row>
    <row r="467" ht="15.75" customHeight="1">
      <c r="A467" s="42"/>
      <c r="B467" s="172"/>
      <c r="C467" s="173"/>
      <c r="D467" s="174"/>
      <c r="E467" s="174"/>
      <c r="F467" s="42"/>
      <c r="G467" s="42"/>
      <c r="H467" s="42"/>
      <c r="I467" s="42"/>
      <c r="J467" s="42"/>
      <c r="K467" s="175"/>
      <c r="L467" s="175"/>
      <c r="M467" s="42"/>
      <c r="N467" s="42"/>
      <c r="O467" s="42"/>
      <c r="P467" s="42"/>
      <c r="Q467" s="42"/>
      <c r="R467" s="42"/>
      <c r="S467" s="175"/>
      <c r="T467" s="42"/>
      <c r="U467" s="42"/>
    </row>
    <row r="468" ht="15.75" customHeight="1">
      <c r="A468" s="42"/>
      <c r="B468" s="172"/>
      <c r="C468" s="173"/>
      <c r="D468" s="174"/>
      <c r="E468" s="174"/>
      <c r="F468" s="42"/>
      <c r="G468" s="42"/>
      <c r="H468" s="42"/>
      <c r="I468" s="42"/>
      <c r="J468" s="42"/>
      <c r="K468" s="175"/>
      <c r="L468" s="175"/>
      <c r="M468" s="42"/>
      <c r="N468" s="42"/>
      <c r="O468" s="42"/>
      <c r="P468" s="42"/>
      <c r="Q468" s="42"/>
      <c r="R468" s="42"/>
      <c r="S468" s="175"/>
      <c r="T468" s="42"/>
      <c r="U468" s="42"/>
    </row>
    <row r="469" ht="15.75" customHeight="1">
      <c r="A469" s="42"/>
      <c r="B469" s="172"/>
      <c r="C469" s="173"/>
      <c r="D469" s="174"/>
      <c r="E469" s="174"/>
      <c r="F469" s="42"/>
      <c r="G469" s="42"/>
      <c r="H469" s="42"/>
      <c r="I469" s="42"/>
      <c r="J469" s="42"/>
      <c r="K469" s="175"/>
      <c r="L469" s="175"/>
      <c r="M469" s="42"/>
      <c r="N469" s="42"/>
      <c r="O469" s="42"/>
      <c r="P469" s="42"/>
      <c r="Q469" s="42"/>
      <c r="R469" s="42"/>
      <c r="S469" s="175"/>
      <c r="T469" s="42"/>
      <c r="U469" s="42"/>
    </row>
    <row r="470" ht="15.75" customHeight="1">
      <c r="A470" s="42"/>
      <c r="B470" s="172"/>
      <c r="C470" s="173"/>
      <c r="D470" s="174"/>
      <c r="E470" s="174"/>
      <c r="F470" s="42"/>
      <c r="G470" s="42"/>
      <c r="H470" s="42"/>
      <c r="I470" s="42"/>
      <c r="J470" s="42"/>
      <c r="K470" s="175"/>
      <c r="L470" s="175"/>
      <c r="M470" s="42"/>
      <c r="N470" s="42"/>
      <c r="O470" s="42"/>
      <c r="P470" s="42"/>
      <c r="Q470" s="42"/>
      <c r="R470" s="42"/>
      <c r="S470" s="175"/>
      <c r="T470" s="42"/>
      <c r="U470" s="42"/>
    </row>
    <row r="471" ht="15.75" customHeight="1">
      <c r="A471" s="42"/>
      <c r="B471" s="172"/>
      <c r="C471" s="173"/>
      <c r="D471" s="174"/>
      <c r="E471" s="174"/>
      <c r="F471" s="42"/>
      <c r="G471" s="42"/>
      <c r="H471" s="42"/>
      <c r="I471" s="42"/>
      <c r="J471" s="42"/>
      <c r="K471" s="175"/>
      <c r="L471" s="175"/>
      <c r="M471" s="42"/>
      <c r="N471" s="42"/>
      <c r="O471" s="42"/>
      <c r="P471" s="42"/>
      <c r="Q471" s="42"/>
      <c r="R471" s="42"/>
      <c r="S471" s="175"/>
      <c r="T471" s="42"/>
      <c r="U471" s="42"/>
    </row>
    <row r="472" ht="15.75" customHeight="1">
      <c r="A472" s="42"/>
      <c r="B472" s="172"/>
      <c r="C472" s="173"/>
      <c r="D472" s="174"/>
      <c r="E472" s="174"/>
      <c r="F472" s="42"/>
      <c r="G472" s="42"/>
      <c r="H472" s="42"/>
      <c r="I472" s="42"/>
      <c r="J472" s="42"/>
      <c r="K472" s="175"/>
      <c r="L472" s="175"/>
      <c r="M472" s="42"/>
      <c r="N472" s="42"/>
      <c r="O472" s="42"/>
      <c r="P472" s="42"/>
      <c r="Q472" s="42"/>
      <c r="R472" s="42"/>
      <c r="S472" s="175"/>
      <c r="T472" s="42"/>
      <c r="U472" s="42"/>
    </row>
    <row r="473" ht="15.75" customHeight="1">
      <c r="A473" s="42"/>
      <c r="B473" s="172"/>
      <c r="C473" s="173"/>
      <c r="D473" s="174"/>
      <c r="E473" s="174"/>
      <c r="F473" s="42"/>
      <c r="G473" s="42"/>
      <c r="H473" s="42"/>
      <c r="I473" s="42"/>
      <c r="J473" s="42"/>
      <c r="K473" s="175"/>
      <c r="L473" s="175"/>
      <c r="M473" s="42"/>
      <c r="N473" s="42"/>
      <c r="O473" s="42"/>
      <c r="P473" s="42"/>
      <c r="Q473" s="42"/>
      <c r="R473" s="42"/>
      <c r="S473" s="175"/>
      <c r="T473" s="42"/>
      <c r="U473" s="42"/>
    </row>
    <row r="474" ht="15.75" customHeight="1">
      <c r="A474" s="42"/>
      <c r="B474" s="172"/>
      <c r="C474" s="173"/>
      <c r="D474" s="174"/>
      <c r="E474" s="174"/>
      <c r="F474" s="42"/>
      <c r="G474" s="42"/>
      <c r="H474" s="42"/>
      <c r="I474" s="42"/>
      <c r="J474" s="42"/>
      <c r="K474" s="175"/>
      <c r="L474" s="175"/>
      <c r="M474" s="42"/>
      <c r="N474" s="42"/>
      <c r="O474" s="42"/>
      <c r="P474" s="42"/>
      <c r="Q474" s="42"/>
      <c r="R474" s="42"/>
      <c r="S474" s="175"/>
      <c r="T474" s="42"/>
      <c r="U474" s="42"/>
    </row>
    <row r="475" ht="15.75" customHeight="1">
      <c r="A475" s="42"/>
      <c r="B475" s="172"/>
      <c r="C475" s="173"/>
      <c r="D475" s="174"/>
      <c r="E475" s="174"/>
      <c r="F475" s="42"/>
      <c r="G475" s="42"/>
      <c r="H475" s="42"/>
      <c r="I475" s="42"/>
      <c r="J475" s="42"/>
      <c r="K475" s="175"/>
      <c r="L475" s="175"/>
      <c r="M475" s="42"/>
      <c r="N475" s="42"/>
      <c r="O475" s="42"/>
      <c r="P475" s="42"/>
      <c r="Q475" s="42"/>
      <c r="R475" s="42"/>
      <c r="S475" s="175"/>
      <c r="T475" s="42"/>
      <c r="U475" s="42"/>
    </row>
    <row r="476" ht="15.75" customHeight="1">
      <c r="A476" s="42"/>
      <c r="B476" s="172"/>
      <c r="C476" s="173"/>
      <c r="D476" s="174"/>
      <c r="E476" s="174"/>
      <c r="F476" s="42"/>
      <c r="G476" s="42"/>
      <c r="H476" s="42"/>
      <c r="I476" s="42"/>
      <c r="J476" s="42"/>
      <c r="K476" s="175"/>
      <c r="L476" s="175"/>
      <c r="M476" s="42"/>
      <c r="N476" s="42"/>
      <c r="O476" s="42"/>
      <c r="P476" s="42"/>
      <c r="Q476" s="42"/>
      <c r="R476" s="42"/>
      <c r="S476" s="175"/>
      <c r="T476" s="42"/>
      <c r="U476" s="42"/>
    </row>
    <row r="477" ht="15.75" customHeight="1">
      <c r="A477" s="42"/>
      <c r="B477" s="172"/>
      <c r="C477" s="173"/>
      <c r="D477" s="174"/>
      <c r="E477" s="174"/>
      <c r="F477" s="42"/>
      <c r="G477" s="42"/>
      <c r="H477" s="42"/>
      <c r="I477" s="42"/>
      <c r="J477" s="42"/>
      <c r="K477" s="175"/>
      <c r="L477" s="175"/>
      <c r="M477" s="42"/>
      <c r="N477" s="42"/>
      <c r="O477" s="42"/>
      <c r="P477" s="42"/>
      <c r="Q477" s="42"/>
      <c r="R477" s="42"/>
      <c r="S477" s="175"/>
      <c r="T477" s="42"/>
      <c r="U477" s="42"/>
    </row>
    <row r="478" ht="15.75" customHeight="1">
      <c r="A478" s="42"/>
      <c r="B478" s="172"/>
      <c r="C478" s="173"/>
      <c r="D478" s="174"/>
      <c r="E478" s="174"/>
      <c r="F478" s="42"/>
      <c r="G478" s="42"/>
      <c r="H478" s="42"/>
      <c r="I478" s="42"/>
      <c r="J478" s="42"/>
      <c r="K478" s="175"/>
      <c r="L478" s="175"/>
      <c r="M478" s="42"/>
      <c r="N478" s="42"/>
      <c r="O478" s="42"/>
      <c r="P478" s="42"/>
      <c r="Q478" s="42"/>
      <c r="R478" s="42"/>
      <c r="S478" s="175"/>
      <c r="T478" s="42"/>
      <c r="U478" s="42"/>
    </row>
    <row r="479" ht="15.75" customHeight="1">
      <c r="A479" s="42"/>
      <c r="B479" s="172"/>
      <c r="C479" s="173"/>
      <c r="D479" s="174"/>
      <c r="E479" s="174"/>
      <c r="F479" s="42"/>
      <c r="G479" s="42"/>
      <c r="H479" s="42"/>
      <c r="I479" s="42"/>
      <c r="J479" s="42"/>
      <c r="K479" s="175"/>
      <c r="L479" s="175"/>
      <c r="M479" s="42"/>
      <c r="N479" s="42"/>
      <c r="O479" s="42"/>
      <c r="P479" s="42"/>
      <c r="Q479" s="42"/>
      <c r="R479" s="42"/>
      <c r="S479" s="175"/>
      <c r="T479" s="42"/>
      <c r="U479" s="42"/>
    </row>
    <row r="480" ht="15.75" customHeight="1">
      <c r="A480" s="42"/>
      <c r="B480" s="172"/>
      <c r="C480" s="173"/>
      <c r="D480" s="174"/>
      <c r="E480" s="174"/>
      <c r="F480" s="42"/>
      <c r="G480" s="42"/>
      <c r="H480" s="42"/>
      <c r="I480" s="42"/>
      <c r="J480" s="42"/>
      <c r="K480" s="175"/>
      <c r="L480" s="175"/>
      <c r="M480" s="42"/>
      <c r="N480" s="42"/>
      <c r="O480" s="42"/>
      <c r="P480" s="42"/>
      <c r="Q480" s="42"/>
      <c r="R480" s="42"/>
      <c r="S480" s="175"/>
      <c r="T480" s="42"/>
      <c r="U480" s="42"/>
    </row>
    <row r="481" ht="15.75" customHeight="1">
      <c r="B481" s="177"/>
      <c r="C481" s="14"/>
      <c r="D481" s="22"/>
      <c r="E481" s="22"/>
      <c r="K481" s="16"/>
      <c r="L481" s="16"/>
      <c r="M481" s="9"/>
      <c r="S481" s="16"/>
    </row>
    <row r="482" ht="15.75" customHeight="1">
      <c r="B482" s="177"/>
      <c r="C482" s="14"/>
      <c r="D482" s="22"/>
      <c r="E482" s="22"/>
      <c r="K482" s="16"/>
      <c r="L482" s="16"/>
      <c r="M482" s="9"/>
      <c r="S482" s="16"/>
    </row>
    <row r="483" ht="15.75" customHeight="1">
      <c r="B483" s="177"/>
      <c r="C483" s="14"/>
      <c r="D483" s="22"/>
      <c r="E483" s="22"/>
      <c r="K483" s="16"/>
      <c r="L483" s="16"/>
      <c r="M483" s="9"/>
      <c r="S483" s="16"/>
    </row>
    <row r="484" ht="15.75" customHeight="1">
      <c r="B484" s="177"/>
      <c r="C484" s="14"/>
      <c r="D484" s="22"/>
      <c r="E484" s="22"/>
      <c r="K484" s="16"/>
      <c r="L484" s="16"/>
      <c r="M484" s="9"/>
      <c r="S484" s="16"/>
    </row>
    <row r="485" ht="15.75" customHeight="1">
      <c r="B485" s="177"/>
      <c r="C485" s="14"/>
      <c r="D485" s="22"/>
      <c r="E485" s="22"/>
      <c r="K485" s="16"/>
      <c r="L485" s="16"/>
      <c r="M485" s="9"/>
      <c r="S485" s="16"/>
    </row>
    <row r="486" ht="15.75" customHeight="1">
      <c r="B486" s="177"/>
      <c r="C486" s="14"/>
      <c r="D486" s="22"/>
      <c r="E486" s="22"/>
      <c r="K486" s="16"/>
      <c r="L486" s="16"/>
      <c r="M486" s="9"/>
      <c r="S486" s="16"/>
    </row>
    <row r="487" ht="15.75" customHeight="1">
      <c r="B487" s="177"/>
      <c r="C487" s="14"/>
      <c r="D487" s="22"/>
      <c r="E487" s="22"/>
      <c r="K487" s="16"/>
      <c r="L487" s="16"/>
      <c r="M487" s="9"/>
      <c r="S487" s="16"/>
    </row>
    <row r="488" ht="15.75" customHeight="1">
      <c r="B488" s="177"/>
      <c r="C488" s="14"/>
      <c r="D488" s="22"/>
      <c r="E488" s="22"/>
      <c r="K488" s="16"/>
      <c r="L488" s="16"/>
      <c r="M488" s="9"/>
      <c r="S488" s="16"/>
    </row>
    <row r="489" ht="15.75" customHeight="1">
      <c r="B489" s="177"/>
      <c r="C489" s="14"/>
      <c r="D489" s="22"/>
      <c r="E489" s="22"/>
      <c r="K489" s="16"/>
      <c r="L489" s="16"/>
      <c r="M489" s="9"/>
      <c r="S489" s="16"/>
    </row>
    <row r="490" ht="15.75" customHeight="1">
      <c r="B490" s="177"/>
      <c r="C490" s="14"/>
      <c r="D490" s="22"/>
      <c r="E490" s="22"/>
      <c r="K490" s="16"/>
      <c r="L490" s="16"/>
      <c r="M490" s="9"/>
      <c r="S490" s="16"/>
    </row>
    <row r="491" ht="15.75" customHeight="1">
      <c r="B491" s="177"/>
      <c r="C491" s="14"/>
      <c r="D491" s="22"/>
      <c r="E491" s="22"/>
      <c r="K491" s="16"/>
      <c r="L491" s="16"/>
      <c r="M491" s="9"/>
      <c r="S491" s="16"/>
    </row>
    <row r="492" ht="15.75" customHeight="1">
      <c r="B492" s="177"/>
      <c r="C492" s="14"/>
      <c r="D492" s="22"/>
      <c r="E492" s="22"/>
      <c r="K492" s="16"/>
      <c r="L492" s="16"/>
      <c r="M492" s="9"/>
      <c r="S492" s="16"/>
    </row>
    <row r="493" ht="15.75" customHeight="1">
      <c r="B493" s="177"/>
      <c r="C493" s="14"/>
      <c r="D493" s="22"/>
      <c r="E493" s="22"/>
      <c r="K493" s="16"/>
      <c r="L493" s="16"/>
      <c r="M493" s="9"/>
      <c r="S493" s="16"/>
    </row>
    <row r="494" ht="15.75" customHeight="1">
      <c r="B494" s="177"/>
      <c r="C494" s="14"/>
      <c r="D494" s="22"/>
      <c r="E494" s="22"/>
      <c r="K494" s="16"/>
      <c r="L494" s="16"/>
      <c r="M494" s="9"/>
      <c r="S494" s="16"/>
    </row>
    <row r="495" ht="15.75" customHeight="1">
      <c r="B495" s="177"/>
      <c r="C495" s="14"/>
      <c r="D495" s="22"/>
      <c r="E495" s="22"/>
      <c r="K495" s="16"/>
      <c r="L495" s="16"/>
      <c r="M495" s="9"/>
      <c r="S495" s="16"/>
    </row>
    <row r="496" ht="15.75" customHeight="1">
      <c r="B496" s="177"/>
      <c r="C496" s="14"/>
      <c r="D496" s="22"/>
      <c r="E496" s="22"/>
      <c r="K496" s="16"/>
      <c r="L496" s="16"/>
      <c r="M496" s="9"/>
      <c r="S496" s="16"/>
    </row>
    <row r="497" ht="15.75" customHeight="1">
      <c r="B497" s="177"/>
      <c r="C497" s="14"/>
      <c r="D497" s="22"/>
      <c r="E497" s="22"/>
      <c r="K497" s="16"/>
      <c r="L497" s="16"/>
      <c r="M497" s="9"/>
      <c r="S497" s="16"/>
    </row>
    <row r="498" ht="15.75" customHeight="1">
      <c r="B498" s="177"/>
      <c r="C498" s="14"/>
      <c r="D498" s="22"/>
      <c r="E498" s="22"/>
      <c r="K498" s="16"/>
      <c r="L498" s="16"/>
      <c r="M498" s="9"/>
      <c r="S498" s="16"/>
    </row>
    <row r="499" ht="15.75" customHeight="1">
      <c r="B499" s="177"/>
      <c r="C499" s="14"/>
      <c r="D499" s="22"/>
      <c r="E499" s="22"/>
      <c r="K499" s="16"/>
      <c r="L499" s="16"/>
      <c r="M499" s="9"/>
      <c r="S499" s="16"/>
    </row>
    <row r="500" ht="15.75" customHeight="1">
      <c r="B500" s="177"/>
      <c r="C500" s="14"/>
      <c r="D500" s="22"/>
      <c r="E500" s="22"/>
      <c r="K500" s="16"/>
      <c r="L500" s="16"/>
      <c r="M500" s="9"/>
      <c r="S500" s="16"/>
    </row>
    <row r="501" ht="15.75" customHeight="1">
      <c r="B501" s="177"/>
      <c r="C501" s="14"/>
      <c r="D501" s="22"/>
      <c r="E501" s="22"/>
      <c r="K501" s="16"/>
      <c r="L501" s="16"/>
      <c r="M501" s="9"/>
      <c r="S501" s="16"/>
    </row>
    <row r="502" ht="15.75" customHeight="1">
      <c r="B502" s="177"/>
      <c r="C502" s="14"/>
      <c r="D502" s="22"/>
      <c r="E502" s="22"/>
      <c r="K502" s="16"/>
      <c r="L502" s="16"/>
      <c r="M502" s="9"/>
      <c r="S502" s="16"/>
    </row>
    <row r="503" ht="15.75" customHeight="1">
      <c r="B503" s="177"/>
      <c r="C503" s="14"/>
      <c r="D503" s="22"/>
      <c r="E503" s="22"/>
      <c r="K503" s="16"/>
      <c r="L503" s="16"/>
      <c r="M503" s="9"/>
      <c r="S503" s="16"/>
    </row>
    <row r="504" ht="15.75" customHeight="1">
      <c r="B504" s="177"/>
      <c r="C504" s="14"/>
      <c r="D504" s="22"/>
      <c r="E504" s="22"/>
      <c r="K504" s="16"/>
      <c r="L504" s="16"/>
      <c r="M504" s="9"/>
      <c r="S504" s="16"/>
    </row>
    <row r="505" ht="15.75" customHeight="1">
      <c r="B505" s="177"/>
      <c r="C505" s="14"/>
      <c r="D505" s="22"/>
      <c r="E505" s="22"/>
      <c r="K505" s="16"/>
      <c r="L505" s="16"/>
      <c r="M505" s="9"/>
      <c r="S505" s="16"/>
    </row>
    <row r="506" ht="15.75" customHeight="1">
      <c r="B506" s="177"/>
      <c r="C506" s="14"/>
      <c r="D506" s="22"/>
      <c r="E506" s="22"/>
      <c r="K506" s="16"/>
      <c r="L506" s="16"/>
      <c r="M506" s="9"/>
      <c r="S506" s="16"/>
    </row>
    <row r="507" ht="15.75" customHeight="1">
      <c r="B507" s="177"/>
      <c r="C507" s="14"/>
      <c r="D507" s="22"/>
      <c r="E507" s="22"/>
      <c r="K507" s="16"/>
      <c r="L507" s="16"/>
      <c r="M507" s="9"/>
      <c r="S507" s="16"/>
    </row>
    <row r="508" ht="15.75" customHeight="1">
      <c r="B508" s="177"/>
      <c r="C508" s="14"/>
      <c r="D508" s="22"/>
      <c r="E508" s="22"/>
      <c r="K508" s="16"/>
      <c r="L508" s="16"/>
      <c r="M508" s="9"/>
      <c r="S508" s="16"/>
    </row>
    <row r="509" ht="15.75" customHeight="1">
      <c r="B509" s="177"/>
      <c r="C509" s="14"/>
      <c r="D509" s="22"/>
      <c r="E509" s="22"/>
      <c r="K509" s="16"/>
      <c r="L509" s="16"/>
      <c r="M509" s="9"/>
      <c r="S509" s="16"/>
    </row>
    <row r="510" ht="15.75" customHeight="1">
      <c r="B510" s="177"/>
      <c r="C510" s="14"/>
      <c r="D510" s="22"/>
      <c r="E510" s="22"/>
      <c r="K510" s="16"/>
      <c r="L510" s="16"/>
      <c r="M510" s="9"/>
      <c r="S510" s="16"/>
    </row>
    <row r="511" ht="15.75" customHeight="1">
      <c r="B511" s="177"/>
      <c r="C511" s="14"/>
      <c r="D511" s="22"/>
      <c r="E511" s="22"/>
      <c r="K511" s="16"/>
      <c r="L511" s="16"/>
      <c r="M511" s="9"/>
      <c r="S511" s="16"/>
    </row>
    <row r="512" ht="15.75" customHeight="1">
      <c r="B512" s="177"/>
      <c r="C512" s="14"/>
      <c r="D512" s="22"/>
      <c r="E512" s="22"/>
      <c r="K512" s="16"/>
      <c r="L512" s="16"/>
      <c r="M512" s="9"/>
      <c r="S512" s="16"/>
    </row>
    <row r="513" ht="15.75" customHeight="1">
      <c r="B513" s="177"/>
      <c r="C513" s="14"/>
      <c r="D513" s="22"/>
      <c r="E513" s="22"/>
      <c r="K513" s="16"/>
      <c r="L513" s="16"/>
      <c r="M513" s="9"/>
      <c r="S513" s="16"/>
    </row>
    <row r="514" ht="15.75" customHeight="1">
      <c r="B514" s="177"/>
      <c r="C514" s="14"/>
      <c r="D514" s="22"/>
      <c r="E514" s="22"/>
      <c r="K514" s="16"/>
      <c r="L514" s="16"/>
      <c r="M514" s="9"/>
      <c r="S514" s="16"/>
    </row>
    <row r="515" ht="15.75" customHeight="1">
      <c r="B515" s="177"/>
      <c r="C515" s="14"/>
      <c r="D515" s="22"/>
      <c r="E515" s="22"/>
      <c r="K515" s="16"/>
      <c r="L515" s="16"/>
      <c r="M515" s="9"/>
      <c r="S515" s="16"/>
    </row>
    <row r="516" ht="15.75" customHeight="1">
      <c r="B516" s="177"/>
      <c r="C516" s="14"/>
      <c r="D516" s="22"/>
      <c r="E516" s="22"/>
      <c r="K516" s="16"/>
      <c r="L516" s="16"/>
      <c r="M516" s="9"/>
      <c r="S516" s="16"/>
    </row>
    <row r="517" ht="15.75" customHeight="1">
      <c r="B517" s="177"/>
      <c r="C517" s="14"/>
      <c r="D517" s="22"/>
      <c r="E517" s="22"/>
      <c r="K517" s="16"/>
      <c r="L517" s="16"/>
      <c r="M517" s="9"/>
      <c r="S517" s="16"/>
    </row>
    <row r="518" ht="15.75" customHeight="1">
      <c r="B518" s="177"/>
      <c r="C518" s="14"/>
      <c r="D518" s="22"/>
      <c r="E518" s="22"/>
      <c r="K518" s="16"/>
      <c r="L518" s="16"/>
      <c r="M518" s="9"/>
      <c r="S518" s="16"/>
    </row>
    <row r="519" ht="15.75" customHeight="1">
      <c r="B519" s="177"/>
      <c r="C519" s="14"/>
      <c r="D519" s="22"/>
      <c r="E519" s="22"/>
      <c r="K519" s="16"/>
      <c r="L519" s="16"/>
      <c r="M519" s="9"/>
      <c r="S519" s="16"/>
    </row>
    <row r="520" ht="15.75" customHeight="1">
      <c r="B520" s="177"/>
      <c r="C520" s="14"/>
      <c r="D520" s="22"/>
      <c r="E520" s="22"/>
      <c r="K520" s="16"/>
      <c r="L520" s="16"/>
      <c r="M520" s="9"/>
      <c r="S520" s="16"/>
    </row>
    <row r="521" ht="15.75" customHeight="1">
      <c r="B521" s="177"/>
      <c r="C521" s="14"/>
      <c r="D521" s="22"/>
      <c r="E521" s="22"/>
      <c r="K521" s="16"/>
      <c r="L521" s="16"/>
      <c r="M521" s="9"/>
      <c r="S521" s="16"/>
    </row>
    <row r="522" ht="15.75" customHeight="1">
      <c r="B522" s="177"/>
      <c r="C522" s="14"/>
      <c r="D522" s="22"/>
      <c r="E522" s="22"/>
      <c r="K522" s="16"/>
      <c r="L522" s="16"/>
      <c r="M522" s="9"/>
      <c r="S522" s="16"/>
    </row>
    <row r="523" ht="15.75" customHeight="1">
      <c r="B523" s="177"/>
      <c r="C523" s="14"/>
      <c r="D523" s="22"/>
      <c r="E523" s="22"/>
      <c r="K523" s="16"/>
      <c r="L523" s="16"/>
      <c r="M523" s="9"/>
      <c r="S523" s="16"/>
    </row>
    <row r="524" ht="15.75" customHeight="1">
      <c r="B524" s="177"/>
      <c r="C524" s="14"/>
      <c r="D524" s="22"/>
      <c r="E524" s="22"/>
      <c r="K524" s="16"/>
      <c r="L524" s="16"/>
      <c r="M524" s="9"/>
      <c r="S524" s="16"/>
    </row>
    <row r="525" ht="15.75" customHeight="1">
      <c r="B525" s="177"/>
      <c r="C525" s="14"/>
      <c r="D525" s="22"/>
      <c r="E525" s="22"/>
      <c r="K525" s="16"/>
      <c r="L525" s="16"/>
      <c r="M525" s="9"/>
      <c r="S525" s="16"/>
    </row>
    <row r="526" ht="15.75" customHeight="1">
      <c r="B526" s="177"/>
      <c r="C526" s="14"/>
      <c r="D526" s="22"/>
      <c r="E526" s="22"/>
      <c r="K526" s="16"/>
      <c r="L526" s="16"/>
      <c r="M526" s="9"/>
      <c r="S526" s="16"/>
    </row>
    <row r="527" ht="15.75" customHeight="1">
      <c r="B527" s="177"/>
      <c r="C527" s="14"/>
      <c r="D527" s="22"/>
      <c r="E527" s="22"/>
      <c r="K527" s="16"/>
      <c r="L527" s="16"/>
      <c r="M527" s="9"/>
      <c r="S527" s="16"/>
    </row>
    <row r="528" ht="15.75" customHeight="1">
      <c r="B528" s="177"/>
      <c r="C528" s="14"/>
      <c r="D528" s="22"/>
      <c r="E528" s="22"/>
      <c r="K528" s="16"/>
      <c r="L528" s="16"/>
      <c r="M528" s="9"/>
      <c r="S528" s="16"/>
    </row>
    <row r="529" ht="15.75" customHeight="1">
      <c r="B529" s="177"/>
      <c r="C529" s="14"/>
      <c r="D529" s="22"/>
      <c r="E529" s="22"/>
      <c r="K529" s="16"/>
      <c r="L529" s="16"/>
      <c r="M529" s="9"/>
      <c r="S529" s="16"/>
    </row>
    <row r="530" ht="15.75" customHeight="1">
      <c r="B530" s="177"/>
      <c r="C530" s="14"/>
      <c r="D530" s="22"/>
      <c r="E530" s="22"/>
      <c r="K530" s="16"/>
      <c r="L530" s="16"/>
      <c r="M530" s="9"/>
      <c r="S530" s="16"/>
    </row>
    <row r="531" ht="15.75" customHeight="1">
      <c r="B531" s="177"/>
      <c r="C531" s="14"/>
      <c r="D531" s="22"/>
      <c r="E531" s="22"/>
      <c r="K531" s="16"/>
      <c r="L531" s="16"/>
      <c r="M531" s="9"/>
      <c r="S531" s="16"/>
    </row>
    <row r="532" ht="15.75" customHeight="1">
      <c r="B532" s="177"/>
      <c r="C532" s="14"/>
      <c r="D532" s="22"/>
      <c r="E532" s="22"/>
      <c r="K532" s="16"/>
      <c r="L532" s="16"/>
      <c r="M532" s="9"/>
      <c r="S532" s="16"/>
    </row>
    <row r="533" ht="15.75" customHeight="1">
      <c r="B533" s="177"/>
      <c r="C533" s="14"/>
      <c r="D533" s="22"/>
      <c r="E533" s="22"/>
      <c r="K533" s="16"/>
      <c r="L533" s="16"/>
      <c r="M533" s="9"/>
      <c r="S533" s="16"/>
    </row>
    <row r="534" ht="15.75" customHeight="1">
      <c r="B534" s="177"/>
      <c r="C534" s="14"/>
      <c r="D534" s="22"/>
      <c r="E534" s="22"/>
      <c r="K534" s="16"/>
      <c r="L534" s="16"/>
      <c r="M534" s="9"/>
      <c r="S534" s="16"/>
    </row>
    <row r="535" ht="15.75" customHeight="1">
      <c r="B535" s="177"/>
      <c r="C535" s="14"/>
      <c r="D535" s="22"/>
      <c r="E535" s="22"/>
      <c r="K535" s="16"/>
      <c r="L535" s="16"/>
      <c r="M535" s="9"/>
      <c r="S535" s="16"/>
    </row>
    <row r="536" ht="15.75" customHeight="1">
      <c r="B536" s="177"/>
      <c r="C536" s="14"/>
      <c r="D536" s="22"/>
      <c r="E536" s="22"/>
      <c r="K536" s="16"/>
      <c r="L536" s="16"/>
      <c r="M536" s="9"/>
      <c r="S536" s="16"/>
    </row>
    <row r="537" ht="15.75" customHeight="1">
      <c r="B537" s="177"/>
      <c r="C537" s="14"/>
      <c r="D537" s="22"/>
      <c r="E537" s="22"/>
      <c r="K537" s="16"/>
      <c r="L537" s="16"/>
      <c r="M537" s="9"/>
      <c r="S537" s="16"/>
    </row>
    <row r="538" ht="15.75" customHeight="1">
      <c r="B538" s="177"/>
      <c r="C538" s="14"/>
      <c r="D538" s="22"/>
      <c r="E538" s="22"/>
      <c r="K538" s="16"/>
      <c r="L538" s="16"/>
      <c r="M538" s="9"/>
      <c r="S538" s="16"/>
    </row>
    <row r="539" ht="15.75" customHeight="1">
      <c r="B539" s="177"/>
      <c r="C539" s="14"/>
      <c r="D539" s="22"/>
      <c r="E539" s="22"/>
      <c r="K539" s="16"/>
      <c r="L539" s="16"/>
      <c r="M539" s="9"/>
      <c r="S539" s="16"/>
    </row>
    <row r="540" ht="15.75" customHeight="1">
      <c r="B540" s="177"/>
      <c r="C540" s="14"/>
      <c r="D540" s="22"/>
      <c r="E540" s="22"/>
      <c r="K540" s="16"/>
      <c r="L540" s="16"/>
      <c r="M540" s="9"/>
      <c r="S540" s="16"/>
    </row>
    <row r="541" ht="15.75" customHeight="1">
      <c r="B541" s="177"/>
      <c r="C541" s="14"/>
      <c r="D541" s="22"/>
      <c r="E541" s="22"/>
      <c r="K541" s="16"/>
      <c r="L541" s="16"/>
      <c r="M541" s="9"/>
      <c r="S541" s="16"/>
    </row>
    <row r="542" ht="15.75" customHeight="1">
      <c r="B542" s="177"/>
      <c r="C542" s="14"/>
      <c r="D542" s="22"/>
      <c r="E542" s="22"/>
      <c r="K542" s="16"/>
      <c r="L542" s="16"/>
      <c r="M542" s="9"/>
      <c r="S542" s="16"/>
    </row>
    <row r="543" ht="15.75" customHeight="1">
      <c r="B543" s="177"/>
      <c r="C543" s="14"/>
      <c r="D543" s="22"/>
      <c r="E543" s="22"/>
      <c r="K543" s="16"/>
      <c r="L543" s="16"/>
      <c r="M543" s="9"/>
      <c r="S543" s="16"/>
    </row>
    <row r="544" ht="15.75" customHeight="1">
      <c r="B544" s="177"/>
      <c r="C544" s="14"/>
      <c r="D544" s="22"/>
      <c r="E544" s="22"/>
      <c r="K544" s="16"/>
      <c r="L544" s="16"/>
      <c r="M544" s="9"/>
      <c r="S544" s="16"/>
    </row>
    <row r="545" ht="15.75" customHeight="1">
      <c r="B545" s="177"/>
      <c r="C545" s="14"/>
      <c r="D545" s="22"/>
      <c r="E545" s="22"/>
      <c r="K545" s="16"/>
      <c r="L545" s="16"/>
      <c r="M545" s="9"/>
      <c r="S545" s="16"/>
    </row>
    <row r="546" ht="15.75" customHeight="1">
      <c r="B546" s="177"/>
      <c r="C546" s="14"/>
      <c r="D546" s="22"/>
      <c r="E546" s="22"/>
      <c r="K546" s="16"/>
      <c r="L546" s="16"/>
      <c r="M546" s="9"/>
      <c r="S546" s="16"/>
    </row>
    <row r="547" ht="15.75" customHeight="1">
      <c r="B547" s="177"/>
      <c r="C547" s="14"/>
      <c r="D547" s="22"/>
      <c r="E547" s="22"/>
      <c r="K547" s="16"/>
      <c r="L547" s="16"/>
      <c r="M547" s="9"/>
      <c r="S547" s="16"/>
    </row>
    <row r="548" ht="15.75" customHeight="1">
      <c r="B548" s="177"/>
      <c r="C548" s="14"/>
      <c r="D548" s="22"/>
      <c r="E548" s="22"/>
      <c r="K548" s="16"/>
      <c r="L548" s="16"/>
      <c r="M548" s="9"/>
      <c r="S548" s="16"/>
    </row>
    <row r="549" ht="15.75" customHeight="1">
      <c r="B549" s="177"/>
      <c r="C549" s="14"/>
      <c r="D549" s="22"/>
      <c r="E549" s="22"/>
      <c r="K549" s="16"/>
      <c r="L549" s="16"/>
      <c r="M549" s="9"/>
      <c r="S549" s="16"/>
    </row>
    <row r="550" ht="15.75" customHeight="1">
      <c r="B550" s="177"/>
      <c r="C550" s="14"/>
      <c r="D550" s="22"/>
      <c r="E550" s="22"/>
      <c r="K550" s="16"/>
      <c r="L550" s="16"/>
      <c r="M550" s="9"/>
      <c r="S550" s="16"/>
    </row>
    <row r="551" ht="15.75" customHeight="1">
      <c r="B551" s="177"/>
      <c r="C551" s="14"/>
      <c r="D551" s="22"/>
      <c r="E551" s="22"/>
      <c r="K551" s="16"/>
      <c r="L551" s="16"/>
      <c r="M551" s="9"/>
      <c r="S551" s="16"/>
    </row>
    <row r="552" ht="15.75" customHeight="1">
      <c r="B552" s="177"/>
      <c r="C552" s="14"/>
      <c r="D552" s="22"/>
      <c r="E552" s="22"/>
      <c r="K552" s="16"/>
      <c r="L552" s="16"/>
      <c r="M552" s="9"/>
      <c r="S552" s="16"/>
    </row>
    <row r="553" ht="15.75" customHeight="1">
      <c r="B553" s="177"/>
      <c r="C553" s="14"/>
      <c r="D553" s="22"/>
      <c r="E553" s="22"/>
      <c r="K553" s="16"/>
      <c r="L553" s="16"/>
      <c r="M553" s="9"/>
      <c r="S553" s="16"/>
    </row>
    <row r="554" ht="15.75" customHeight="1">
      <c r="B554" s="177"/>
      <c r="C554" s="14"/>
      <c r="D554" s="22"/>
      <c r="E554" s="22"/>
      <c r="K554" s="16"/>
      <c r="L554" s="16"/>
      <c r="M554" s="9"/>
      <c r="S554" s="16"/>
    </row>
    <row r="555" ht="15.75" customHeight="1">
      <c r="B555" s="177"/>
      <c r="C555" s="14"/>
      <c r="D555" s="22"/>
      <c r="E555" s="22"/>
      <c r="K555" s="16"/>
      <c r="L555" s="16"/>
      <c r="M555" s="9"/>
      <c r="S555" s="16"/>
    </row>
    <row r="556" ht="15.75" customHeight="1">
      <c r="B556" s="177"/>
      <c r="C556" s="14"/>
      <c r="D556" s="22"/>
      <c r="E556" s="22"/>
      <c r="K556" s="16"/>
      <c r="L556" s="16"/>
      <c r="M556" s="9"/>
      <c r="S556" s="16"/>
    </row>
    <row r="557" ht="15.75" customHeight="1">
      <c r="B557" s="177"/>
      <c r="C557" s="14"/>
      <c r="D557" s="22"/>
      <c r="E557" s="22"/>
      <c r="K557" s="16"/>
      <c r="L557" s="16"/>
      <c r="M557" s="9"/>
      <c r="S557" s="16"/>
    </row>
    <row r="558" ht="15.75" customHeight="1">
      <c r="B558" s="177"/>
      <c r="C558" s="14"/>
      <c r="D558" s="22"/>
      <c r="E558" s="22"/>
      <c r="K558" s="16"/>
      <c r="L558" s="16"/>
      <c r="M558" s="9"/>
      <c r="S558" s="16"/>
    </row>
    <row r="559" ht="15.75" customHeight="1">
      <c r="B559" s="177"/>
      <c r="C559" s="14"/>
      <c r="D559" s="22"/>
      <c r="E559" s="22"/>
      <c r="K559" s="16"/>
      <c r="L559" s="16"/>
      <c r="M559" s="9"/>
      <c r="S559" s="16"/>
    </row>
    <row r="560" ht="15.75" customHeight="1">
      <c r="B560" s="177"/>
      <c r="C560" s="14"/>
      <c r="D560" s="22"/>
      <c r="E560" s="22"/>
      <c r="K560" s="16"/>
      <c r="L560" s="16"/>
      <c r="M560" s="9"/>
      <c r="S560" s="16"/>
    </row>
    <row r="561" ht="15.75" customHeight="1">
      <c r="B561" s="177"/>
      <c r="C561" s="14"/>
      <c r="D561" s="22"/>
      <c r="E561" s="22"/>
      <c r="K561" s="16"/>
      <c r="L561" s="16"/>
      <c r="M561" s="9"/>
      <c r="S561" s="16"/>
    </row>
    <row r="562" ht="15.75" customHeight="1">
      <c r="B562" s="177"/>
      <c r="C562" s="14"/>
      <c r="D562" s="22"/>
      <c r="E562" s="22"/>
      <c r="K562" s="16"/>
      <c r="L562" s="16"/>
      <c r="M562" s="9"/>
      <c r="S562" s="16"/>
    </row>
    <row r="563" ht="15.75" customHeight="1">
      <c r="B563" s="177"/>
      <c r="C563" s="14"/>
      <c r="D563" s="22"/>
      <c r="E563" s="22"/>
      <c r="K563" s="16"/>
      <c r="L563" s="16"/>
      <c r="M563" s="9"/>
      <c r="S563" s="16"/>
    </row>
    <row r="564" ht="15.75" customHeight="1">
      <c r="B564" s="177"/>
      <c r="C564" s="14"/>
      <c r="D564" s="22"/>
      <c r="E564" s="22"/>
      <c r="K564" s="16"/>
      <c r="L564" s="16"/>
      <c r="M564" s="9"/>
      <c r="S564" s="16"/>
    </row>
    <row r="565" ht="15.75" customHeight="1">
      <c r="B565" s="177"/>
      <c r="C565" s="14"/>
      <c r="D565" s="22"/>
      <c r="E565" s="22"/>
      <c r="K565" s="16"/>
      <c r="L565" s="16"/>
      <c r="M565" s="9"/>
      <c r="S565" s="16"/>
    </row>
    <row r="566" ht="15.75" customHeight="1">
      <c r="B566" s="177"/>
      <c r="C566" s="14"/>
      <c r="D566" s="22"/>
      <c r="E566" s="22"/>
      <c r="K566" s="16"/>
      <c r="L566" s="16"/>
      <c r="M566" s="9"/>
      <c r="S566" s="16"/>
    </row>
    <row r="567" ht="15.75" customHeight="1">
      <c r="B567" s="177"/>
      <c r="C567" s="14"/>
      <c r="D567" s="22"/>
      <c r="E567" s="22"/>
      <c r="K567" s="16"/>
      <c r="L567" s="16"/>
      <c r="M567" s="9"/>
      <c r="S567" s="16"/>
    </row>
    <row r="568" ht="15.75" customHeight="1">
      <c r="B568" s="177"/>
      <c r="C568" s="14"/>
      <c r="D568" s="22"/>
      <c r="E568" s="22"/>
      <c r="K568" s="16"/>
      <c r="L568" s="16"/>
      <c r="M568" s="9"/>
      <c r="S568" s="16"/>
    </row>
    <row r="569" ht="15.75" customHeight="1">
      <c r="B569" s="177"/>
      <c r="C569" s="14"/>
      <c r="D569" s="22"/>
      <c r="E569" s="22"/>
      <c r="K569" s="16"/>
      <c r="L569" s="16"/>
      <c r="M569" s="9"/>
      <c r="S569" s="16"/>
    </row>
    <row r="570" ht="15.75" customHeight="1">
      <c r="B570" s="177"/>
      <c r="C570" s="14"/>
      <c r="D570" s="22"/>
      <c r="E570" s="22"/>
      <c r="K570" s="16"/>
      <c r="L570" s="16"/>
      <c r="M570" s="9"/>
      <c r="S570" s="16"/>
    </row>
    <row r="571" ht="15.75" customHeight="1">
      <c r="B571" s="177"/>
      <c r="C571" s="14"/>
      <c r="D571" s="22"/>
      <c r="E571" s="22"/>
      <c r="K571" s="16"/>
      <c r="L571" s="16"/>
      <c r="M571" s="9"/>
      <c r="S571" s="16"/>
    </row>
    <row r="572" ht="15.75" customHeight="1">
      <c r="B572" s="177"/>
      <c r="C572" s="14"/>
      <c r="D572" s="22"/>
      <c r="E572" s="22"/>
      <c r="K572" s="16"/>
      <c r="L572" s="16"/>
      <c r="M572" s="9"/>
      <c r="S572" s="16"/>
    </row>
    <row r="573" ht="15.75" customHeight="1">
      <c r="B573" s="177"/>
      <c r="C573" s="14"/>
      <c r="D573" s="22"/>
      <c r="E573" s="22"/>
      <c r="K573" s="16"/>
      <c r="L573" s="16"/>
      <c r="M573" s="9"/>
      <c r="S573" s="16"/>
    </row>
    <row r="574" ht="15.75" customHeight="1">
      <c r="B574" s="177"/>
      <c r="C574" s="14"/>
      <c r="D574" s="22"/>
      <c r="E574" s="22"/>
      <c r="K574" s="16"/>
      <c r="L574" s="16"/>
      <c r="M574" s="9"/>
      <c r="S574" s="16"/>
    </row>
    <row r="575" ht="15.75" customHeight="1">
      <c r="B575" s="177"/>
      <c r="C575" s="14"/>
      <c r="D575" s="22"/>
      <c r="E575" s="22"/>
      <c r="K575" s="16"/>
      <c r="L575" s="16"/>
      <c r="M575" s="9"/>
      <c r="S575" s="16"/>
    </row>
    <row r="576" ht="15.75" customHeight="1">
      <c r="B576" s="177"/>
      <c r="C576" s="14"/>
      <c r="D576" s="22"/>
      <c r="E576" s="22"/>
      <c r="K576" s="16"/>
      <c r="L576" s="16"/>
      <c r="M576" s="9"/>
      <c r="S576" s="16"/>
    </row>
    <row r="577" ht="15.75" customHeight="1">
      <c r="B577" s="177"/>
      <c r="C577" s="14"/>
      <c r="D577" s="22"/>
      <c r="E577" s="22"/>
      <c r="K577" s="16"/>
      <c r="L577" s="16"/>
      <c r="M577" s="9"/>
      <c r="S577" s="16"/>
    </row>
    <row r="578" ht="15.75" customHeight="1">
      <c r="B578" s="177"/>
      <c r="C578" s="14"/>
      <c r="D578" s="22"/>
      <c r="E578" s="22"/>
      <c r="K578" s="16"/>
      <c r="L578" s="16"/>
      <c r="M578" s="9"/>
      <c r="S578" s="16"/>
    </row>
    <row r="579" ht="15.75" customHeight="1">
      <c r="B579" s="177"/>
      <c r="C579" s="14"/>
      <c r="D579" s="22"/>
      <c r="E579" s="22"/>
      <c r="K579" s="16"/>
      <c r="L579" s="16"/>
      <c r="M579" s="9"/>
      <c r="S579" s="16"/>
    </row>
    <row r="580" ht="15.75" customHeight="1">
      <c r="B580" s="177"/>
      <c r="C580" s="14"/>
      <c r="D580" s="22"/>
      <c r="E580" s="22"/>
      <c r="K580" s="16"/>
      <c r="L580" s="16"/>
      <c r="M580" s="9"/>
      <c r="S580" s="16"/>
    </row>
    <row r="581" ht="15.75" customHeight="1">
      <c r="B581" s="177"/>
      <c r="C581" s="14"/>
      <c r="D581" s="22"/>
      <c r="E581" s="22"/>
      <c r="K581" s="16"/>
      <c r="L581" s="16"/>
      <c r="M581" s="9"/>
      <c r="S581" s="16"/>
    </row>
    <row r="582" ht="15.75" customHeight="1">
      <c r="B582" s="177"/>
      <c r="C582" s="14"/>
      <c r="D582" s="22"/>
      <c r="E582" s="22"/>
      <c r="K582" s="16"/>
      <c r="L582" s="16"/>
      <c r="M582" s="9"/>
      <c r="S582" s="16"/>
    </row>
    <row r="583" ht="15.75" customHeight="1">
      <c r="B583" s="177"/>
      <c r="C583" s="14"/>
      <c r="D583" s="22"/>
      <c r="E583" s="22"/>
      <c r="K583" s="16"/>
      <c r="L583" s="16"/>
      <c r="M583" s="9"/>
      <c r="S583" s="16"/>
    </row>
    <row r="584" ht="15.75" customHeight="1">
      <c r="B584" s="177"/>
      <c r="C584" s="14"/>
      <c r="D584" s="22"/>
      <c r="E584" s="22"/>
      <c r="K584" s="16"/>
      <c r="L584" s="16"/>
      <c r="M584" s="9"/>
      <c r="S584" s="16"/>
    </row>
    <row r="585" ht="15.75" customHeight="1">
      <c r="B585" s="177"/>
      <c r="C585" s="14"/>
      <c r="D585" s="22"/>
      <c r="E585" s="22"/>
      <c r="K585" s="16"/>
      <c r="L585" s="16"/>
      <c r="M585" s="9"/>
      <c r="S585" s="16"/>
    </row>
    <row r="586" ht="15.75" customHeight="1">
      <c r="B586" s="177"/>
      <c r="C586" s="14"/>
      <c r="D586" s="22"/>
      <c r="E586" s="22"/>
      <c r="K586" s="16"/>
      <c r="L586" s="16"/>
      <c r="M586" s="9"/>
      <c r="S586" s="16"/>
    </row>
    <row r="587" ht="15.75" customHeight="1">
      <c r="B587" s="177"/>
      <c r="C587" s="14"/>
      <c r="D587" s="22"/>
      <c r="E587" s="22"/>
      <c r="K587" s="16"/>
      <c r="L587" s="16"/>
      <c r="M587" s="9"/>
      <c r="S587" s="16"/>
    </row>
    <row r="588" ht="15.75" customHeight="1">
      <c r="B588" s="177"/>
      <c r="C588" s="14"/>
      <c r="D588" s="22"/>
      <c r="E588" s="22"/>
      <c r="K588" s="16"/>
      <c r="L588" s="16"/>
      <c r="M588" s="9"/>
      <c r="S588" s="16"/>
    </row>
    <row r="589" ht="15.75" customHeight="1">
      <c r="B589" s="177"/>
      <c r="C589" s="14"/>
      <c r="D589" s="22"/>
      <c r="E589" s="22"/>
      <c r="K589" s="16"/>
      <c r="L589" s="16"/>
      <c r="M589" s="9"/>
      <c r="S589" s="16"/>
    </row>
    <row r="590" ht="15.75" customHeight="1">
      <c r="B590" s="177"/>
      <c r="C590" s="14"/>
      <c r="D590" s="22"/>
      <c r="E590" s="22"/>
      <c r="K590" s="16"/>
      <c r="L590" s="16"/>
      <c r="M590" s="9"/>
      <c r="S590" s="16"/>
    </row>
    <row r="591" ht="15.75" customHeight="1">
      <c r="B591" s="177"/>
      <c r="C591" s="14"/>
      <c r="D591" s="22"/>
      <c r="E591" s="22"/>
      <c r="K591" s="16"/>
      <c r="L591" s="16"/>
      <c r="M591" s="9"/>
      <c r="S591" s="16"/>
    </row>
    <row r="592" ht="15.75" customHeight="1">
      <c r="B592" s="177"/>
      <c r="C592" s="14"/>
      <c r="D592" s="22"/>
      <c r="E592" s="22"/>
      <c r="K592" s="16"/>
      <c r="L592" s="16"/>
      <c r="M592" s="9"/>
      <c r="S592" s="16"/>
    </row>
    <row r="593" ht="15.75" customHeight="1">
      <c r="B593" s="177"/>
      <c r="C593" s="14"/>
      <c r="D593" s="22"/>
      <c r="E593" s="22"/>
      <c r="K593" s="16"/>
      <c r="L593" s="16"/>
      <c r="M593" s="9"/>
      <c r="S593" s="16"/>
    </row>
    <row r="594" ht="15.75" customHeight="1">
      <c r="B594" s="177"/>
      <c r="C594" s="14"/>
      <c r="D594" s="22"/>
      <c r="E594" s="22"/>
      <c r="K594" s="16"/>
      <c r="L594" s="16"/>
      <c r="M594" s="9"/>
      <c r="S594" s="16"/>
    </row>
    <row r="595" ht="15.75" customHeight="1">
      <c r="B595" s="177"/>
      <c r="C595" s="14"/>
      <c r="D595" s="22"/>
      <c r="E595" s="22"/>
      <c r="K595" s="16"/>
      <c r="L595" s="16"/>
      <c r="M595" s="9"/>
      <c r="S595" s="16"/>
    </row>
    <row r="596" ht="15.75" customHeight="1">
      <c r="B596" s="177"/>
      <c r="C596" s="14"/>
      <c r="D596" s="22"/>
      <c r="E596" s="22"/>
      <c r="K596" s="16"/>
      <c r="L596" s="16"/>
      <c r="M596" s="9"/>
      <c r="S596" s="16"/>
    </row>
    <row r="597" ht="15.75" customHeight="1">
      <c r="B597" s="177"/>
      <c r="C597" s="14"/>
      <c r="D597" s="22"/>
      <c r="E597" s="22"/>
      <c r="K597" s="16"/>
      <c r="L597" s="16"/>
      <c r="M597" s="9"/>
      <c r="S597" s="16"/>
    </row>
    <row r="598" ht="15.75" customHeight="1">
      <c r="B598" s="177"/>
      <c r="C598" s="14"/>
      <c r="D598" s="22"/>
      <c r="E598" s="22"/>
      <c r="K598" s="16"/>
      <c r="L598" s="16"/>
      <c r="M598" s="9"/>
      <c r="S598" s="16"/>
    </row>
    <row r="599" ht="15.75" customHeight="1">
      <c r="B599" s="177"/>
      <c r="C599" s="14"/>
      <c r="D599" s="22"/>
      <c r="E599" s="22"/>
      <c r="K599" s="16"/>
      <c r="L599" s="16"/>
      <c r="M599" s="9"/>
      <c r="S599" s="16"/>
    </row>
    <row r="600" ht="15.75" customHeight="1">
      <c r="B600" s="177"/>
      <c r="C600" s="14"/>
      <c r="D600" s="22"/>
      <c r="E600" s="22"/>
      <c r="K600" s="16"/>
      <c r="L600" s="16"/>
      <c r="M600" s="9"/>
      <c r="S600" s="16"/>
    </row>
    <row r="601" ht="15.75" customHeight="1">
      <c r="B601" s="177"/>
      <c r="C601" s="14"/>
      <c r="D601" s="22"/>
      <c r="E601" s="22"/>
      <c r="K601" s="16"/>
      <c r="L601" s="16"/>
      <c r="M601" s="9"/>
      <c r="S601" s="16"/>
    </row>
    <row r="602" ht="15.75" customHeight="1">
      <c r="B602" s="177"/>
      <c r="C602" s="14"/>
      <c r="D602" s="22"/>
      <c r="E602" s="22"/>
      <c r="K602" s="16"/>
      <c r="L602" s="16"/>
      <c r="M602" s="9"/>
      <c r="S602" s="16"/>
    </row>
    <row r="603" ht="15.75" customHeight="1">
      <c r="B603" s="177"/>
      <c r="C603" s="14"/>
      <c r="D603" s="22"/>
      <c r="E603" s="22"/>
      <c r="K603" s="16"/>
      <c r="L603" s="16"/>
      <c r="M603" s="9"/>
      <c r="S603" s="16"/>
    </row>
    <row r="604" ht="15.75" customHeight="1">
      <c r="B604" s="177"/>
      <c r="C604" s="14"/>
      <c r="D604" s="22"/>
      <c r="E604" s="22"/>
      <c r="K604" s="16"/>
      <c r="L604" s="16"/>
      <c r="M604" s="9"/>
      <c r="S604" s="16"/>
    </row>
    <row r="605" ht="15.75" customHeight="1">
      <c r="B605" s="177"/>
      <c r="C605" s="14"/>
      <c r="D605" s="22"/>
      <c r="E605" s="22"/>
      <c r="K605" s="16"/>
      <c r="L605" s="16"/>
      <c r="M605" s="9"/>
      <c r="S605" s="16"/>
    </row>
    <row r="606" ht="15.75" customHeight="1">
      <c r="B606" s="177"/>
      <c r="C606" s="14"/>
      <c r="D606" s="22"/>
      <c r="E606" s="22"/>
      <c r="K606" s="16"/>
      <c r="L606" s="16"/>
      <c r="M606" s="9"/>
      <c r="S606" s="16"/>
    </row>
    <row r="607" ht="15.75" customHeight="1">
      <c r="B607" s="177"/>
      <c r="C607" s="14"/>
      <c r="D607" s="22"/>
      <c r="E607" s="22"/>
      <c r="K607" s="16"/>
      <c r="L607" s="16"/>
      <c r="M607" s="9"/>
      <c r="S607" s="16"/>
    </row>
    <row r="608" ht="15.75" customHeight="1">
      <c r="B608" s="177"/>
      <c r="C608" s="14"/>
      <c r="D608" s="22"/>
      <c r="E608" s="22"/>
      <c r="K608" s="16"/>
      <c r="L608" s="16"/>
      <c r="M608" s="9"/>
      <c r="S608" s="16"/>
    </row>
    <row r="609" ht="15.75" customHeight="1">
      <c r="B609" s="177"/>
      <c r="C609" s="14"/>
      <c r="D609" s="22"/>
      <c r="E609" s="22"/>
      <c r="K609" s="16"/>
      <c r="L609" s="16"/>
      <c r="M609" s="9"/>
      <c r="S609" s="16"/>
    </row>
    <row r="610" ht="15.75" customHeight="1">
      <c r="B610" s="177"/>
      <c r="C610" s="14"/>
      <c r="D610" s="22"/>
      <c r="E610" s="22"/>
      <c r="K610" s="16"/>
      <c r="L610" s="16"/>
      <c r="M610" s="9"/>
      <c r="S610" s="16"/>
    </row>
    <row r="611" ht="15.75" customHeight="1">
      <c r="B611" s="177"/>
      <c r="C611" s="14"/>
      <c r="D611" s="22"/>
      <c r="E611" s="22"/>
      <c r="K611" s="16"/>
      <c r="L611" s="16"/>
      <c r="M611" s="9"/>
      <c r="S611" s="16"/>
    </row>
    <row r="612" ht="15.75" customHeight="1">
      <c r="B612" s="177"/>
      <c r="C612" s="14"/>
      <c r="D612" s="22"/>
      <c r="E612" s="22"/>
      <c r="K612" s="16"/>
      <c r="L612" s="16"/>
      <c r="M612" s="9"/>
      <c r="S612" s="16"/>
    </row>
    <row r="613" ht="15.75" customHeight="1">
      <c r="B613" s="177"/>
      <c r="C613" s="14"/>
      <c r="D613" s="22"/>
      <c r="E613" s="22"/>
      <c r="K613" s="16"/>
      <c r="L613" s="16"/>
      <c r="M613" s="9"/>
      <c r="S613" s="16"/>
    </row>
    <row r="614" ht="15.75" customHeight="1">
      <c r="B614" s="177"/>
      <c r="C614" s="14"/>
      <c r="D614" s="22"/>
      <c r="E614" s="22"/>
      <c r="K614" s="16"/>
      <c r="L614" s="16"/>
      <c r="M614" s="9"/>
      <c r="S614" s="16"/>
    </row>
    <row r="615" ht="15.75" customHeight="1">
      <c r="B615" s="177"/>
      <c r="C615" s="14"/>
      <c r="D615" s="22"/>
      <c r="E615" s="22"/>
      <c r="K615" s="16"/>
      <c r="L615" s="16"/>
      <c r="M615" s="9"/>
      <c r="S615" s="16"/>
    </row>
    <row r="616" ht="15.75" customHeight="1">
      <c r="B616" s="177"/>
      <c r="C616" s="14"/>
      <c r="D616" s="22"/>
      <c r="E616" s="22"/>
      <c r="K616" s="16"/>
      <c r="L616" s="16"/>
      <c r="M616" s="9"/>
      <c r="S616" s="16"/>
    </row>
    <row r="617" ht="15.75" customHeight="1">
      <c r="B617" s="177"/>
      <c r="C617" s="14"/>
      <c r="D617" s="22"/>
      <c r="E617" s="22"/>
      <c r="K617" s="16"/>
      <c r="L617" s="16"/>
      <c r="M617" s="9"/>
      <c r="S617" s="16"/>
    </row>
    <row r="618" ht="15.75" customHeight="1">
      <c r="B618" s="177"/>
      <c r="C618" s="14"/>
      <c r="D618" s="22"/>
      <c r="E618" s="22"/>
      <c r="K618" s="16"/>
      <c r="L618" s="16"/>
      <c r="M618" s="9"/>
      <c r="S618" s="16"/>
    </row>
    <row r="619" ht="15.75" customHeight="1">
      <c r="B619" s="177"/>
      <c r="C619" s="14"/>
      <c r="D619" s="22"/>
      <c r="E619" s="22"/>
      <c r="K619" s="16"/>
      <c r="L619" s="16"/>
      <c r="M619" s="9"/>
      <c r="S619" s="16"/>
    </row>
    <row r="620" ht="15.75" customHeight="1">
      <c r="B620" s="177"/>
      <c r="C620" s="14"/>
      <c r="D620" s="22"/>
      <c r="E620" s="22"/>
      <c r="K620" s="16"/>
      <c r="L620" s="16"/>
      <c r="M620" s="9"/>
      <c r="S620" s="16"/>
    </row>
    <row r="621" ht="15.75" customHeight="1">
      <c r="B621" s="177"/>
      <c r="C621" s="14"/>
      <c r="D621" s="22"/>
      <c r="E621" s="22"/>
      <c r="K621" s="16"/>
      <c r="L621" s="16"/>
      <c r="M621" s="9"/>
      <c r="S621" s="16"/>
    </row>
    <row r="622" ht="15.75" customHeight="1">
      <c r="B622" s="177"/>
      <c r="C622" s="14"/>
      <c r="D622" s="22"/>
      <c r="E622" s="22"/>
      <c r="K622" s="16"/>
      <c r="L622" s="16"/>
      <c r="M622" s="9"/>
      <c r="S622" s="16"/>
    </row>
    <row r="623" ht="15.75" customHeight="1">
      <c r="B623" s="177"/>
      <c r="C623" s="14"/>
      <c r="D623" s="22"/>
      <c r="E623" s="22"/>
      <c r="K623" s="16"/>
      <c r="L623" s="16"/>
      <c r="M623" s="9"/>
      <c r="S623" s="16"/>
    </row>
    <row r="624" ht="15.75" customHeight="1">
      <c r="B624" s="177"/>
      <c r="C624" s="14"/>
      <c r="D624" s="22"/>
      <c r="E624" s="22"/>
      <c r="K624" s="16"/>
      <c r="L624" s="16"/>
      <c r="M624" s="9"/>
      <c r="S624" s="16"/>
    </row>
    <row r="625" ht="15.75" customHeight="1">
      <c r="B625" s="177"/>
      <c r="C625" s="14"/>
      <c r="D625" s="22"/>
      <c r="E625" s="22"/>
      <c r="K625" s="16"/>
      <c r="L625" s="16"/>
      <c r="M625" s="9"/>
      <c r="S625" s="16"/>
    </row>
    <row r="626" ht="15.75" customHeight="1">
      <c r="B626" s="177"/>
      <c r="C626" s="14"/>
      <c r="D626" s="22"/>
      <c r="E626" s="22"/>
      <c r="K626" s="16"/>
      <c r="L626" s="16"/>
      <c r="M626" s="9"/>
      <c r="S626" s="16"/>
    </row>
    <row r="627" ht="15.75" customHeight="1">
      <c r="B627" s="177"/>
      <c r="C627" s="14"/>
      <c r="D627" s="22"/>
      <c r="E627" s="22"/>
      <c r="K627" s="16"/>
      <c r="L627" s="16"/>
      <c r="M627" s="9"/>
      <c r="S627" s="16"/>
    </row>
    <row r="628" ht="15.75" customHeight="1">
      <c r="B628" s="177"/>
      <c r="C628" s="14"/>
      <c r="D628" s="22"/>
      <c r="E628" s="22"/>
      <c r="K628" s="16"/>
      <c r="L628" s="16"/>
      <c r="M628" s="9"/>
      <c r="S628" s="16"/>
    </row>
    <row r="629" ht="15.75" customHeight="1">
      <c r="B629" s="177"/>
      <c r="C629" s="14"/>
      <c r="D629" s="22"/>
      <c r="E629" s="22"/>
      <c r="K629" s="16"/>
      <c r="L629" s="16"/>
      <c r="M629" s="9"/>
      <c r="S629" s="16"/>
    </row>
    <row r="630" ht="15.75" customHeight="1">
      <c r="B630" s="177"/>
      <c r="C630" s="14"/>
      <c r="D630" s="22"/>
      <c r="E630" s="22"/>
      <c r="K630" s="16"/>
      <c r="L630" s="16"/>
      <c r="M630" s="9"/>
      <c r="S630" s="16"/>
    </row>
    <row r="631" ht="15.75" customHeight="1">
      <c r="B631" s="177"/>
      <c r="C631" s="14"/>
      <c r="D631" s="22"/>
      <c r="E631" s="22"/>
      <c r="K631" s="16"/>
      <c r="L631" s="16"/>
      <c r="M631" s="9"/>
      <c r="S631" s="16"/>
    </row>
    <row r="632" ht="15.75" customHeight="1">
      <c r="B632" s="177"/>
      <c r="C632" s="14"/>
      <c r="D632" s="22"/>
      <c r="E632" s="22"/>
      <c r="K632" s="16"/>
      <c r="L632" s="16"/>
      <c r="M632" s="9"/>
      <c r="S632" s="16"/>
    </row>
    <row r="633" ht="15.75" customHeight="1">
      <c r="B633" s="177"/>
      <c r="C633" s="14"/>
      <c r="D633" s="22"/>
      <c r="E633" s="22"/>
      <c r="K633" s="16"/>
      <c r="L633" s="16"/>
      <c r="M633" s="9"/>
      <c r="S633" s="16"/>
    </row>
    <row r="634" ht="15.75" customHeight="1">
      <c r="B634" s="177"/>
      <c r="C634" s="14"/>
      <c r="D634" s="22"/>
      <c r="E634" s="22"/>
      <c r="K634" s="16"/>
      <c r="L634" s="16"/>
      <c r="M634" s="9"/>
      <c r="S634" s="16"/>
    </row>
    <row r="635" ht="15.75" customHeight="1">
      <c r="B635" s="177"/>
      <c r="C635" s="14"/>
      <c r="D635" s="22"/>
      <c r="E635" s="22"/>
      <c r="K635" s="16"/>
      <c r="L635" s="16"/>
      <c r="M635" s="9"/>
      <c r="S635" s="16"/>
    </row>
    <row r="636" ht="15.75" customHeight="1">
      <c r="B636" s="177"/>
      <c r="C636" s="14"/>
      <c r="D636" s="22"/>
      <c r="E636" s="22"/>
      <c r="K636" s="16"/>
      <c r="L636" s="16"/>
      <c r="M636" s="9"/>
      <c r="S636" s="16"/>
    </row>
    <row r="637" ht="15.75" customHeight="1">
      <c r="B637" s="177"/>
      <c r="C637" s="14"/>
      <c r="D637" s="22"/>
      <c r="E637" s="22"/>
      <c r="K637" s="16"/>
      <c r="L637" s="16"/>
      <c r="M637" s="9"/>
      <c r="S637" s="16"/>
    </row>
    <row r="638" ht="15.75" customHeight="1">
      <c r="B638" s="177"/>
      <c r="C638" s="14"/>
      <c r="D638" s="22"/>
      <c r="E638" s="22"/>
      <c r="K638" s="16"/>
      <c r="L638" s="16"/>
      <c r="M638" s="9"/>
      <c r="S638" s="16"/>
    </row>
    <row r="639" ht="15.75" customHeight="1">
      <c r="B639" s="177"/>
      <c r="C639" s="14"/>
      <c r="D639" s="22"/>
      <c r="E639" s="22"/>
      <c r="K639" s="16"/>
      <c r="L639" s="16"/>
      <c r="M639" s="9"/>
      <c r="S639" s="16"/>
    </row>
    <row r="640" ht="15.75" customHeight="1">
      <c r="B640" s="177"/>
      <c r="C640" s="14"/>
      <c r="D640" s="22"/>
      <c r="E640" s="22"/>
      <c r="K640" s="16"/>
      <c r="L640" s="16"/>
      <c r="M640" s="9"/>
      <c r="S640" s="16"/>
    </row>
    <row r="641" ht="15.75" customHeight="1">
      <c r="B641" s="177"/>
      <c r="C641" s="14"/>
      <c r="D641" s="22"/>
      <c r="E641" s="22"/>
      <c r="K641" s="16"/>
      <c r="L641" s="16"/>
      <c r="M641" s="9"/>
      <c r="S641" s="16"/>
    </row>
    <row r="642" ht="15.75" customHeight="1">
      <c r="B642" s="177"/>
      <c r="C642" s="14"/>
      <c r="D642" s="22"/>
      <c r="E642" s="22"/>
      <c r="K642" s="16"/>
      <c r="L642" s="16"/>
      <c r="M642" s="9"/>
      <c r="S642" s="16"/>
    </row>
    <row r="643" ht="15.75" customHeight="1">
      <c r="B643" s="177"/>
      <c r="C643" s="14"/>
      <c r="D643" s="22"/>
      <c r="E643" s="22"/>
      <c r="K643" s="16"/>
      <c r="L643" s="16"/>
      <c r="M643" s="9"/>
      <c r="S643" s="16"/>
    </row>
    <row r="644" ht="15.75" customHeight="1">
      <c r="B644" s="177"/>
      <c r="C644" s="14"/>
      <c r="D644" s="22"/>
      <c r="E644" s="22"/>
      <c r="K644" s="16"/>
      <c r="L644" s="16"/>
      <c r="M644" s="9"/>
      <c r="S644" s="16"/>
    </row>
    <row r="645" ht="15.75" customHeight="1">
      <c r="B645" s="177"/>
      <c r="C645" s="14"/>
      <c r="D645" s="22"/>
      <c r="E645" s="22"/>
      <c r="K645" s="16"/>
      <c r="L645" s="16"/>
      <c r="M645" s="9"/>
      <c r="S645" s="16"/>
    </row>
    <row r="646" ht="15.75" customHeight="1">
      <c r="B646" s="177"/>
      <c r="C646" s="14"/>
      <c r="D646" s="22"/>
      <c r="E646" s="22"/>
      <c r="K646" s="16"/>
      <c r="L646" s="16"/>
      <c r="M646" s="9"/>
      <c r="S646" s="16"/>
    </row>
    <row r="647" ht="15.75" customHeight="1">
      <c r="B647" s="177"/>
      <c r="C647" s="14"/>
      <c r="D647" s="22"/>
      <c r="E647" s="22"/>
      <c r="K647" s="16"/>
      <c r="L647" s="16"/>
      <c r="M647" s="9"/>
      <c r="S647" s="16"/>
    </row>
    <row r="648" ht="15.75" customHeight="1">
      <c r="B648" s="177"/>
      <c r="C648" s="14"/>
      <c r="D648" s="22"/>
      <c r="E648" s="22"/>
      <c r="K648" s="16"/>
      <c r="L648" s="16"/>
      <c r="M648" s="9"/>
      <c r="S648" s="16"/>
    </row>
    <row r="649" ht="15.75" customHeight="1">
      <c r="B649" s="177"/>
      <c r="C649" s="14"/>
      <c r="D649" s="22"/>
      <c r="E649" s="22"/>
      <c r="K649" s="16"/>
      <c r="L649" s="16"/>
      <c r="M649" s="9"/>
      <c r="S649" s="16"/>
    </row>
    <row r="650" ht="15.75" customHeight="1">
      <c r="B650" s="177"/>
      <c r="C650" s="14"/>
      <c r="D650" s="22"/>
      <c r="E650" s="22"/>
      <c r="K650" s="16"/>
      <c r="L650" s="16"/>
      <c r="M650" s="9"/>
      <c r="S650" s="16"/>
    </row>
    <row r="651" ht="15.75" customHeight="1">
      <c r="B651" s="177"/>
      <c r="C651" s="14"/>
      <c r="D651" s="22"/>
      <c r="E651" s="22"/>
      <c r="K651" s="16"/>
      <c r="L651" s="16"/>
      <c r="M651" s="9"/>
      <c r="S651" s="16"/>
    </row>
    <row r="652" ht="15.75" customHeight="1">
      <c r="B652" s="177"/>
      <c r="C652" s="14"/>
      <c r="D652" s="22"/>
      <c r="E652" s="22"/>
      <c r="K652" s="16"/>
      <c r="L652" s="16"/>
      <c r="M652" s="9"/>
      <c r="S652" s="16"/>
    </row>
    <row r="653" ht="15.75" customHeight="1">
      <c r="B653" s="177"/>
      <c r="C653" s="14"/>
      <c r="D653" s="22"/>
      <c r="E653" s="22"/>
      <c r="K653" s="16"/>
      <c r="L653" s="16"/>
      <c r="M653" s="9"/>
      <c r="S653" s="16"/>
    </row>
    <row r="654" ht="15.75" customHeight="1">
      <c r="B654" s="177"/>
      <c r="C654" s="14"/>
      <c r="D654" s="22"/>
      <c r="E654" s="22"/>
      <c r="K654" s="16"/>
      <c r="L654" s="16"/>
      <c r="M654" s="9"/>
      <c r="S654" s="16"/>
    </row>
    <row r="655" ht="15.75" customHeight="1">
      <c r="B655" s="177"/>
      <c r="C655" s="14"/>
      <c r="D655" s="22"/>
      <c r="E655" s="22"/>
      <c r="K655" s="16"/>
      <c r="L655" s="16"/>
      <c r="M655" s="9"/>
      <c r="S655" s="16"/>
    </row>
    <row r="656" ht="15.75" customHeight="1">
      <c r="B656" s="177"/>
      <c r="C656" s="14"/>
      <c r="D656" s="22"/>
      <c r="E656" s="22"/>
      <c r="K656" s="16"/>
      <c r="L656" s="16"/>
      <c r="M656" s="9"/>
      <c r="S656" s="16"/>
    </row>
    <row r="657" ht="15.75" customHeight="1">
      <c r="B657" s="177"/>
      <c r="C657" s="14"/>
      <c r="D657" s="22"/>
      <c r="E657" s="22"/>
      <c r="K657" s="16"/>
      <c r="L657" s="16"/>
      <c r="M657" s="9"/>
      <c r="S657" s="16"/>
    </row>
    <row r="658" ht="15.75" customHeight="1">
      <c r="B658" s="177"/>
      <c r="C658" s="14"/>
      <c r="D658" s="22"/>
      <c r="E658" s="22"/>
      <c r="K658" s="16"/>
      <c r="L658" s="16"/>
      <c r="M658" s="9"/>
      <c r="S658" s="16"/>
    </row>
    <row r="659" ht="15.75" customHeight="1">
      <c r="B659" s="177"/>
      <c r="C659" s="14"/>
      <c r="D659" s="22"/>
      <c r="E659" s="22"/>
      <c r="K659" s="16"/>
      <c r="L659" s="16"/>
      <c r="M659" s="9"/>
      <c r="S659" s="16"/>
    </row>
    <row r="660" ht="15.75" customHeight="1">
      <c r="B660" s="177"/>
      <c r="C660" s="14"/>
      <c r="D660" s="22"/>
      <c r="E660" s="22"/>
      <c r="K660" s="16"/>
      <c r="L660" s="16"/>
      <c r="M660" s="9"/>
      <c r="S660" s="16"/>
    </row>
    <row r="661" ht="15.75" customHeight="1">
      <c r="B661" s="177"/>
      <c r="C661" s="14"/>
      <c r="D661" s="22"/>
      <c r="E661" s="22"/>
      <c r="K661" s="16"/>
      <c r="L661" s="16"/>
      <c r="M661" s="9"/>
      <c r="S661" s="16"/>
    </row>
    <row r="662" ht="15.75" customHeight="1">
      <c r="B662" s="177"/>
      <c r="C662" s="14"/>
      <c r="D662" s="22"/>
      <c r="E662" s="22"/>
      <c r="K662" s="16"/>
      <c r="L662" s="16"/>
      <c r="M662" s="9"/>
      <c r="S662" s="16"/>
    </row>
    <row r="663" ht="15.75" customHeight="1">
      <c r="B663" s="177"/>
      <c r="C663" s="14"/>
      <c r="D663" s="22"/>
      <c r="E663" s="22"/>
      <c r="K663" s="16"/>
      <c r="L663" s="16"/>
      <c r="M663" s="9"/>
      <c r="S663" s="16"/>
    </row>
    <row r="664" ht="15.75" customHeight="1">
      <c r="B664" s="177"/>
      <c r="C664" s="14"/>
      <c r="D664" s="22"/>
      <c r="E664" s="22"/>
      <c r="K664" s="16"/>
      <c r="L664" s="16"/>
      <c r="M664" s="9"/>
      <c r="S664" s="16"/>
    </row>
    <row r="665" ht="15.75" customHeight="1">
      <c r="B665" s="177"/>
      <c r="C665" s="14"/>
      <c r="D665" s="22"/>
      <c r="E665" s="22"/>
      <c r="K665" s="16"/>
      <c r="L665" s="16"/>
      <c r="M665" s="9"/>
      <c r="S665" s="16"/>
    </row>
    <row r="666" ht="15.75" customHeight="1">
      <c r="B666" s="177"/>
      <c r="C666" s="14"/>
      <c r="D666" s="22"/>
      <c r="E666" s="22"/>
      <c r="K666" s="16"/>
      <c r="L666" s="16"/>
      <c r="M666" s="9"/>
      <c r="S666" s="16"/>
    </row>
    <row r="667" ht="15.75" customHeight="1">
      <c r="B667" s="177"/>
      <c r="C667" s="14"/>
      <c r="D667" s="22"/>
      <c r="E667" s="22"/>
      <c r="K667" s="16"/>
      <c r="L667" s="16"/>
      <c r="M667" s="9"/>
      <c r="S667" s="16"/>
    </row>
    <row r="668" ht="15.75" customHeight="1">
      <c r="B668" s="177"/>
      <c r="C668" s="14"/>
      <c r="D668" s="22"/>
      <c r="E668" s="22"/>
      <c r="K668" s="16"/>
      <c r="L668" s="16"/>
      <c r="M668" s="9"/>
      <c r="S668" s="16"/>
    </row>
    <row r="669" ht="15.75" customHeight="1">
      <c r="B669" s="177"/>
      <c r="C669" s="14"/>
      <c r="D669" s="22"/>
      <c r="E669" s="22"/>
      <c r="K669" s="16"/>
      <c r="L669" s="16"/>
      <c r="M669" s="9"/>
      <c r="S669" s="16"/>
    </row>
    <row r="670" ht="15.75" customHeight="1">
      <c r="B670" s="177"/>
      <c r="C670" s="14"/>
      <c r="D670" s="22"/>
      <c r="E670" s="22"/>
      <c r="K670" s="16"/>
      <c r="L670" s="16"/>
      <c r="M670" s="9"/>
      <c r="S670" s="16"/>
    </row>
    <row r="671" ht="15.75" customHeight="1">
      <c r="B671" s="177"/>
      <c r="C671" s="14"/>
      <c r="D671" s="22"/>
      <c r="E671" s="22"/>
      <c r="K671" s="16"/>
      <c r="L671" s="16"/>
      <c r="M671" s="9"/>
      <c r="S671" s="16"/>
    </row>
    <row r="672" ht="15.75" customHeight="1">
      <c r="B672" s="177"/>
      <c r="C672" s="14"/>
      <c r="D672" s="22"/>
      <c r="E672" s="22"/>
      <c r="K672" s="16"/>
      <c r="L672" s="16"/>
      <c r="M672" s="9"/>
      <c r="S672" s="16"/>
    </row>
    <row r="673" ht="15.75" customHeight="1">
      <c r="B673" s="177"/>
      <c r="C673" s="14"/>
      <c r="D673" s="22"/>
      <c r="E673" s="22"/>
      <c r="K673" s="16"/>
      <c r="L673" s="16"/>
      <c r="M673" s="9"/>
      <c r="S673" s="16"/>
    </row>
    <row r="674" ht="15.75" customHeight="1">
      <c r="B674" s="177"/>
      <c r="C674" s="14"/>
      <c r="D674" s="22"/>
      <c r="E674" s="22"/>
      <c r="K674" s="16"/>
      <c r="L674" s="16"/>
      <c r="M674" s="9"/>
      <c r="S674" s="16"/>
    </row>
    <row r="675" ht="15.75" customHeight="1">
      <c r="B675" s="177"/>
      <c r="C675" s="14"/>
      <c r="D675" s="22"/>
      <c r="E675" s="22"/>
      <c r="K675" s="16"/>
      <c r="L675" s="16"/>
      <c r="M675" s="9"/>
      <c r="S675" s="16"/>
    </row>
    <row r="676" ht="15.75" customHeight="1">
      <c r="B676" s="177"/>
      <c r="C676" s="14"/>
      <c r="D676" s="22"/>
      <c r="E676" s="22"/>
      <c r="K676" s="16"/>
      <c r="L676" s="16"/>
      <c r="M676" s="9"/>
      <c r="S676" s="16"/>
    </row>
    <row r="677" ht="15.75" customHeight="1">
      <c r="B677" s="177"/>
      <c r="C677" s="14"/>
      <c r="D677" s="22"/>
      <c r="E677" s="22"/>
      <c r="K677" s="16"/>
      <c r="L677" s="16"/>
      <c r="M677" s="9"/>
      <c r="S677" s="16"/>
    </row>
    <row r="678" ht="15.75" customHeight="1">
      <c r="B678" s="177"/>
      <c r="C678" s="14"/>
      <c r="D678" s="22"/>
      <c r="E678" s="22"/>
      <c r="K678" s="16"/>
      <c r="L678" s="16"/>
      <c r="M678" s="9"/>
      <c r="S678" s="16"/>
    </row>
    <row r="679" ht="15.75" customHeight="1">
      <c r="B679" s="177"/>
      <c r="C679" s="14"/>
      <c r="D679" s="22"/>
      <c r="E679" s="22"/>
      <c r="K679" s="16"/>
      <c r="L679" s="16"/>
      <c r="M679" s="9"/>
      <c r="S679" s="16"/>
    </row>
    <row r="680" ht="15.75" customHeight="1">
      <c r="B680" s="177"/>
      <c r="C680" s="14"/>
      <c r="D680" s="22"/>
      <c r="E680" s="22"/>
      <c r="K680" s="16"/>
      <c r="L680" s="16"/>
      <c r="M680" s="9"/>
      <c r="S680" s="16"/>
    </row>
    <row r="681" ht="15.75" customHeight="1">
      <c r="B681" s="177"/>
      <c r="C681" s="14"/>
      <c r="D681" s="22"/>
      <c r="E681" s="22"/>
      <c r="K681" s="16"/>
      <c r="L681" s="16"/>
      <c r="M681" s="9"/>
      <c r="S681" s="16"/>
    </row>
    <row r="682" ht="15.75" customHeight="1">
      <c r="B682" s="177"/>
      <c r="C682" s="14"/>
      <c r="D682" s="22"/>
      <c r="E682" s="22"/>
      <c r="K682" s="16"/>
      <c r="L682" s="16"/>
      <c r="M682" s="9"/>
      <c r="S682" s="16"/>
    </row>
    <row r="683" ht="15.75" customHeight="1">
      <c r="B683" s="177"/>
      <c r="C683" s="14"/>
      <c r="D683" s="22"/>
      <c r="E683" s="22"/>
      <c r="K683" s="16"/>
      <c r="L683" s="16"/>
      <c r="M683" s="9"/>
      <c r="S683" s="16"/>
    </row>
    <row r="684" ht="15.75" customHeight="1">
      <c r="B684" s="177"/>
      <c r="C684" s="14"/>
      <c r="D684" s="22"/>
      <c r="E684" s="22"/>
      <c r="K684" s="16"/>
      <c r="L684" s="16"/>
      <c r="M684" s="9"/>
      <c r="S684" s="16"/>
    </row>
    <row r="685" ht="15.75" customHeight="1">
      <c r="B685" s="177"/>
      <c r="C685" s="14"/>
      <c r="D685" s="22"/>
      <c r="E685" s="22"/>
      <c r="K685" s="16"/>
      <c r="L685" s="16"/>
      <c r="M685" s="9"/>
      <c r="S685" s="16"/>
    </row>
    <row r="686" ht="15.75" customHeight="1">
      <c r="B686" s="177"/>
      <c r="C686" s="14"/>
      <c r="D686" s="22"/>
      <c r="E686" s="22"/>
      <c r="K686" s="16"/>
      <c r="L686" s="16"/>
      <c r="M686" s="9"/>
      <c r="S686" s="16"/>
    </row>
    <row r="687" ht="15.75" customHeight="1">
      <c r="B687" s="177"/>
      <c r="C687" s="14"/>
      <c r="D687" s="22"/>
      <c r="E687" s="22"/>
      <c r="K687" s="16"/>
      <c r="L687" s="16"/>
      <c r="M687" s="9"/>
      <c r="S687" s="16"/>
    </row>
    <row r="688" ht="15.75" customHeight="1">
      <c r="B688" s="177"/>
      <c r="C688" s="14"/>
      <c r="D688" s="22"/>
      <c r="E688" s="22"/>
      <c r="K688" s="16"/>
      <c r="L688" s="16"/>
      <c r="M688" s="9"/>
      <c r="S688" s="16"/>
    </row>
    <row r="689" ht="15.75" customHeight="1">
      <c r="B689" s="177"/>
      <c r="C689" s="14"/>
      <c r="D689" s="22"/>
      <c r="E689" s="22"/>
      <c r="K689" s="16"/>
      <c r="L689" s="16"/>
      <c r="M689" s="9"/>
      <c r="S689" s="16"/>
    </row>
    <row r="690" ht="15.75" customHeight="1">
      <c r="B690" s="177"/>
      <c r="C690" s="14"/>
      <c r="D690" s="22"/>
      <c r="E690" s="22"/>
      <c r="K690" s="16"/>
      <c r="L690" s="16"/>
      <c r="M690" s="9"/>
      <c r="S690" s="16"/>
    </row>
    <row r="691" ht="15.75" customHeight="1">
      <c r="B691" s="177"/>
      <c r="C691" s="14"/>
      <c r="D691" s="22"/>
      <c r="E691" s="22"/>
      <c r="K691" s="16"/>
      <c r="L691" s="16"/>
      <c r="M691" s="9"/>
      <c r="S691" s="16"/>
    </row>
    <row r="692" ht="15.75" customHeight="1">
      <c r="B692" s="177"/>
      <c r="C692" s="14"/>
      <c r="D692" s="22"/>
      <c r="E692" s="22"/>
      <c r="K692" s="16"/>
      <c r="L692" s="16"/>
      <c r="M692" s="9"/>
      <c r="S692" s="16"/>
    </row>
    <row r="693" ht="15.75" customHeight="1">
      <c r="B693" s="177"/>
      <c r="C693" s="14"/>
      <c r="D693" s="22"/>
      <c r="E693" s="22"/>
      <c r="K693" s="16"/>
      <c r="L693" s="16"/>
      <c r="M693" s="9"/>
      <c r="S693" s="16"/>
    </row>
    <row r="694" ht="15.75" customHeight="1">
      <c r="B694" s="177"/>
      <c r="C694" s="14"/>
      <c r="D694" s="22"/>
      <c r="E694" s="22"/>
      <c r="K694" s="16"/>
      <c r="L694" s="16"/>
      <c r="M694" s="9"/>
      <c r="S694" s="16"/>
    </row>
    <row r="695" ht="15.75" customHeight="1">
      <c r="B695" s="177"/>
      <c r="C695" s="14"/>
      <c r="D695" s="22"/>
      <c r="E695" s="22"/>
      <c r="K695" s="16"/>
      <c r="L695" s="16"/>
      <c r="M695" s="9"/>
      <c r="S695" s="16"/>
    </row>
    <row r="696" ht="15.75" customHeight="1">
      <c r="B696" s="177"/>
      <c r="C696" s="14"/>
      <c r="D696" s="22"/>
      <c r="E696" s="22"/>
      <c r="K696" s="16"/>
      <c r="L696" s="16"/>
      <c r="M696" s="9"/>
      <c r="S696" s="16"/>
    </row>
    <row r="697" ht="15.75" customHeight="1">
      <c r="B697" s="177"/>
      <c r="C697" s="14"/>
      <c r="D697" s="22"/>
      <c r="E697" s="22"/>
      <c r="K697" s="16"/>
      <c r="L697" s="16"/>
      <c r="M697" s="9"/>
      <c r="S697" s="16"/>
    </row>
    <row r="698" ht="15.75" customHeight="1">
      <c r="B698" s="177"/>
      <c r="C698" s="14"/>
      <c r="D698" s="22"/>
      <c r="E698" s="22"/>
      <c r="K698" s="16"/>
      <c r="L698" s="16"/>
      <c r="M698" s="9"/>
      <c r="S698" s="16"/>
    </row>
    <row r="699" ht="15.75" customHeight="1">
      <c r="B699" s="177"/>
      <c r="C699" s="14"/>
      <c r="D699" s="22"/>
      <c r="E699" s="22"/>
      <c r="K699" s="16"/>
      <c r="L699" s="16"/>
      <c r="M699" s="9"/>
      <c r="S699" s="16"/>
    </row>
    <row r="700" ht="15.75" customHeight="1">
      <c r="B700" s="177"/>
      <c r="C700" s="14"/>
      <c r="D700" s="22"/>
      <c r="E700" s="22"/>
      <c r="K700" s="16"/>
      <c r="L700" s="16"/>
      <c r="M700" s="9"/>
      <c r="S700" s="16"/>
    </row>
    <row r="701" ht="15.75" customHeight="1">
      <c r="B701" s="177"/>
      <c r="C701" s="14"/>
      <c r="D701" s="22"/>
      <c r="E701" s="22"/>
      <c r="K701" s="16"/>
      <c r="L701" s="16"/>
      <c r="M701" s="9"/>
      <c r="S701" s="16"/>
    </row>
    <row r="702" ht="15.75" customHeight="1">
      <c r="B702" s="177"/>
      <c r="C702" s="14"/>
      <c r="D702" s="22"/>
      <c r="E702" s="22"/>
      <c r="K702" s="16"/>
      <c r="L702" s="16"/>
      <c r="M702" s="9"/>
      <c r="S702" s="16"/>
    </row>
    <row r="703" ht="15.75" customHeight="1">
      <c r="B703" s="177"/>
      <c r="C703" s="14"/>
      <c r="D703" s="22"/>
      <c r="E703" s="22"/>
      <c r="K703" s="16"/>
      <c r="L703" s="16"/>
      <c r="M703" s="9"/>
      <c r="S703" s="16"/>
    </row>
    <row r="704" ht="15.75" customHeight="1">
      <c r="B704" s="177"/>
      <c r="C704" s="14"/>
      <c r="D704" s="22"/>
      <c r="E704" s="22"/>
      <c r="K704" s="16"/>
      <c r="L704" s="16"/>
      <c r="M704" s="9"/>
      <c r="S704" s="16"/>
    </row>
    <row r="705" ht="15.75" customHeight="1">
      <c r="B705" s="177"/>
      <c r="C705" s="14"/>
      <c r="D705" s="22"/>
      <c r="E705" s="22"/>
      <c r="K705" s="16"/>
      <c r="L705" s="16"/>
      <c r="M705" s="9"/>
      <c r="S705" s="16"/>
    </row>
    <row r="706" ht="15.75" customHeight="1">
      <c r="B706" s="177"/>
      <c r="C706" s="14"/>
      <c r="D706" s="22"/>
      <c r="E706" s="22"/>
      <c r="K706" s="16"/>
      <c r="L706" s="16"/>
      <c r="M706" s="9"/>
      <c r="S706" s="16"/>
    </row>
    <row r="707" ht="15.75" customHeight="1">
      <c r="B707" s="177"/>
      <c r="C707" s="14"/>
      <c r="D707" s="22"/>
      <c r="E707" s="22"/>
      <c r="K707" s="16"/>
      <c r="L707" s="16"/>
      <c r="M707" s="9"/>
      <c r="S707" s="16"/>
    </row>
    <row r="708" ht="15.75" customHeight="1">
      <c r="B708" s="177"/>
      <c r="C708" s="14"/>
      <c r="D708" s="22"/>
      <c r="E708" s="22"/>
      <c r="K708" s="16"/>
      <c r="L708" s="16"/>
      <c r="M708" s="9"/>
      <c r="S708" s="16"/>
    </row>
    <row r="709" ht="15.75" customHeight="1">
      <c r="B709" s="177"/>
      <c r="C709" s="14"/>
      <c r="D709" s="22"/>
      <c r="E709" s="22"/>
      <c r="K709" s="16"/>
      <c r="L709" s="16"/>
      <c r="M709" s="9"/>
      <c r="S709" s="16"/>
    </row>
    <row r="710" ht="15.75" customHeight="1">
      <c r="B710" s="177"/>
      <c r="C710" s="14"/>
      <c r="D710" s="22"/>
      <c r="E710" s="22"/>
      <c r="K710" s="16"/>
      <c r="L710" s="16"/>
      <c r="M710" s="9"/>
      <c r="S710" s="16"/>
    </row>
    <row r="711" ht="15.75" customHeight="1">
      <c r="B711" s="177"/>
      <c r="C711" s="14"/>
      <c r="D711" s="22"/>
      <c r="E711" s="22"/>
      <c r="K711" s="16"/>
      <c r="L711" s="16"/>
      <c r="M711" s="9"/>
      <c r="S711" s="16"/>
    </row>
    <row r="712" ht="15.75" customHeight="1">
      <c r="B712" s="177"/>
      <c r="C712" s="14"/>
      <c r="D712" s="22"/>
      <c r="E712" s="22"/>
      <c r="K712" s="16"/>
      <c r="L712" s="16"/>
      <c r="M712" s="9"/>
      <c r="S712" s="16"/>
    </row>
    <row r="713" ht="15.75" customHeight="1">
      <c r="B713" s="177"/>
      <c r="C713" s="14"/>
      <c r="D713" s="22"/>
      <c r="E713" s="22"/>
      <c r="K713" s="16"/>
      <c r="L713" s="16"/>
      <c r="M713" s="9"/>
      <c r="S713" s="16"/>
    </row>
    <row r="714" ht="15.75" customHeight="1">
      <c r="B714" s="177"/>
      <c r="C714" s="14"/>
      <c r="D714" s="22"/>
      <c r="E714" s="22"/>
      <c r="K714" s="16"/>
      <c r="L714" s="16"/>
      <c r="M714" s="9"/>
      <c r="S714" s="16"/>
    </row>
    <row r="715" ht="15.75" customHeight="1">
      <c r="B715" s="177"/>
      <c r="C715" s="14"/>
      <c r="D715" s="22"/>
      <c r="E715" s="22"/>
      <c r="K715" s="16"/>
      <c r="L715" s="16"/>
      <c r="M715" s="9"/>
      <c r="S715" s="16"/>
    </row>
    <row r="716" ht="15.75" customHeight="1">
      <c r="B716" s="177"/>
      <c r="C716" s="14"/>
      <c r="D716" s="22"/>
      <c r="E716" s="22"/>
      <c r="K716" s="16"/>
      <c r="L716" s="16"/>
      <c r="M716" s="9"/>
      <c r="S716" s="16"/>
    </row>
    <row r="717" ht="15.75" customHeight="1">
      <c r="B717" s="177"/>
      <c r="C717" s="14"/>
      <c r="D717" s="22"/>
      <c r="E717" s="22"/>
      <c r="K717" s="16"/>
      <c r="L717" s="16"/>
      <c r="M717" s="9"/>
      <c r="S717" s="16"/>
    </row>
    <row r="718" ht="15.75" customHeight="1">
      <c r="B718" s="177"/>
      <c r="C718" s="14"/>
      <c r="D718" s="22"/>
      <c r="E718" s="22"/>
      <c r="K718" s="16"/>
      <c r="L718" s="16"/>
      <c r="M718" s="9"/>
      <c r="S718" s="16"/>
    </row>
    <row r="719" ht="15.75" customHeight="1">
      <c r="B719" s="177"/>
      <c r="C719" s="14"/>
      <c r="D719" s="22"/>
      <c r="E719" s="22"/>
      <c r="K719" s="16"/>
      <c r="L719" s="16"/>
      <c r="M719" s="9"/>
      <c r="S719" s="16"/>
    </row>
    <row r="720" ht="15.75" customHeight="1">
      <c r="B720" s="177"/>
      <c r="C720" s="14"/>
      <c r="D720" s="22"/>
      <c r="E720" s="22"/>
      <c r="K720" s="16"/>
      <c r="L720" s="16"/>
      <c r="M720" s="9"/>
      <c r="S720" s="16"/>
    </row>
    <row r="721" ht="15.75" customHeight="1">
      <c r="B721" s="177"/>
      <c r="C721" s="14"/>
      <c r="D721" s="22"/>
      <c r="E721" s="22"/>
      <c r="K721" s="16"/>
      <c r="L721" s="16"/>
      <c r="M721" s="9"/>
      <c r="S721" s="16"/>
    </row>
    <row r="722" ht="15.75" customHeight="1">
      <c r="B722" s="177"/>
      <c r="C722" s="14"/>
      <c r="D722" s="22"/>
      <c r="E722" s="22"/>
      <c r="K722" s="16"/>
      <c r="L722" s="16"/>
      <c r="M722" s="9"/>
      <c r="S722" s="16"/>
    </row>
    <row r="723" ht="15.75" customHeight="1">
      <c r="B723" s="177"/>
      <c r="C723" s="14"/>
      <c r="D723" s="22"/>
      <c r="E723" s="22"/>
      <c r="K723" s="16"/>
      <c r="L723" s="16"/>
      <c r="M723" s="9"/>
      <c r="S723" s="16"/>
    </row>
    <row r="724" ht="15.75" customHeight="1">
      <c r="B724" s="177"/>
      <c r="C724" s="14"/>
      <c r="D724" s="22"/>
      <c r="E724" s="22"/>
      <c r="K724" s="16"/>
      <c r="L724" s="16"/>
      <c r="M724" s="9"/>
      <c r="S724" s="16"/>
    </row>
    <row r="725" ht="15.75" customHeight="1">
      <c r="B725" s="177"/>
      <c r="C725" s="14"/>
      <c r="D725" s="22"/>
      <c r="E725" s="22"/>
      <c r="K725" s="16"/>
      <c r="L725" s="16"/>
      <c r="M725" s="9"/>
      <c r="S725" s="16"/>
    </row>
    <row r="726" ht="15.75" customHeight="1">
      <c r="B726" s="177"/>
      <c r="C726" s="14"/>
      <c r="D726" s="22"/>
      <c r="E726" s="22"/>
      <c r="K726" s="16"/>
      <c r="L726" s="16"/>
      <c r="M726" s="9"/>
      <c r="S726" s="16"/>
    </row>
    <row r="727" ht="15.75" customHeight="1">
      <c r="B727" s="177"/>
      <c r="C727" s="14"/>
      <c r="D727" s="22"/>
      <c r="E727" s="22"/>
      <c r="K727" s="16"/>
      <c r="L727" s="16"/>
      <c r="M727" s="9"/>
      <c r="S727" s="16"/>
    </row>
    <row r="728" ht="15.75" customHeight="1">
      <c r="B728" s="177"/>
      <c r="C728" s="14"/>
      <c r="D728" s="22"/>
      <c r="E728" s="22"/>
      <c r="K728" s="16"/>
      <c r="L728" s="16"/>
      <c r="M728" s="9"/>
      <c r="S728" s="16"/>
    </row>
    <row r="729" ht="15.75" customHeight="1">
      <c r="B729" s="177"/>
      <c r="C729" s="14"/>
      <c r="D729" s="22"/>
      <c r="E729" s="22"/>
      <c r="K729" s="16"/>
      <c r="L729" s="16"/>
      <c r="M729" s="9"/>
      <c r="S729" s="16"/>
    </row>
    <row r="730" ht="15.75" customHeight="1">
      <c r="B730" s="177"/>
      <c r="C730" s="14"/>
      <c r="D730" s="22"/>
      <c r="E730" s="22"/>
      <c r="K730" s="16"/>
      <c r="L730" s="16"/>
      <c r="M730" s="9"/>
      <c r="S730" s="16"/>
    </row>
    <row r="731" ht="15.75" customHeight="1">
      <c r="B731" s="177"/>
      <c r="C731" s="14"/>
      <c r="D731" s="22"/>
      <c r="E731" s="22"/>
      <c r="K731" s="16"/>
      <c r="L731" s="16"/>
      <c r="M731" s="9"/>
      <c r="S731" s="16"/>
    </row>
    <row r="732" ht="15.75" customHeight="1">
      <c r="B732" s="177"/>
      <c r="C732" s="14"/>
      <c r="D732" s="22"/>
      <c r="E732" s="22"/>
      <c r="K732" s="16"/>
      <c r="L732" s="16"/>
      <c r="M732" s="9"/>
      <c r="S732" s="16"/>
    </row>
    <row r="733" ht="15.75" customHeight="1">
      <c r="B733" s="177"/>
      <c r="C733" s="14"/>
      <c r="D733" s="22"/>
      <c r="E733" s="22"/>
      <c r="K733" s="16"/>
      <c r="L733" s="16"/>
      <c r="M733" s="9"/>
      <c r="S733" s="16"/>
    </row>
    <row r="734" ht="15.75" customHeight="1">
      <c r="B734" s="177"/>
      <c r="C734" s="14"/>
      <c r="D734" s="22"/>
      <c r="E734" s="22"/>
      <c r="K734" s="16"/>
      <c r="L734" s="16"/>
      <c r="M734" s="9"/>
      <c r="S734" s="16"/>
    </row>
    <row r="735" ht="15.75" customHeight="1">
      <c r="B735" s="177"/>
      <c r="C735" s="14"/>
      <c r="D735" s="22"/>
      <c r="E735" s="22"/>
      <c r="K735" s="16"/>
      <c r="L735" s="16"/>
      <c r="M735" s="9"/>
      <c r="S735" s="16"/>
    </row>
    <row r="736" ht="15.75" customHeight="1">
      <c r="B736" s="177"/>
      <c r="C736" s="14"/>
      <c r="D736" s="22"/>
      <c r="E736" s="22"/>
      <c r="K736" s="16"/>
      <c r="L736" s="16"/>
      <c r="M736" s="9"/>
      <c r="S736" s="16"/>
    </row>
    <row r="737" ht="15.75" customHeight="1">
      <c r="B737" s="177"/>
      <c r="C737" s="14"/>
      <c r="D737" s="22"/>
      <c r="E737" s="22"/>
      <c r="K737" s="16"/>
      <c r="L737" s="16"/>
      <c r="M737" s="9"/>
      <c r="S737" s="16"/>
    </row>
    <row r="738" ht="15.75" customHeight="1">
      <c r="B738" s="177"/>
      <c r="C738" s="14"/>
      <c r="D738" s="22"/>
      <c r="E738" s="22"/>
      <c r="K738" s="16"/>
      <c r="L738" s="16"/>
      <c r="M738" s="9"/>
      <c r="S738" s="16"/>
    </row>
    <row r="739" ht="15.75" customHeight="1">
      <c r="B739" s="177"/>
      <c r="C739" s="14"/>
      <c r="D739" s="22"/>
      <c r="E739" s="22"/>
      <c r="K739" s="16"/>
      <c r="L739" s="16"/>
      <c r="M739" s="9"/>
      <c r="S739" s="16"/>
    </row>
    <row r="740" ht="15.75" customHeight="1">
      <c r="B740" s="177"/>
      <c r="C740" s="14"/>
      <c r="D740" s="22"/>
      <c r="E740" s="22"/>
      <c r="K740" s="16"/>
      <c r="L740" s="16"/>
      <c r="M740" s="9"/>
      <c r="S740" s="16"/>
    </row>
    <row r="741" ht="15.75" customHeight="1">
      <c r="B741" s="177"/>
      <c r="C741" s="14"/>
      <c r="D741" s="22"/>
      <c r="E741" s="22"/>
      <c r="K741" s="16"/>
      <c r="L741" s="16"/>
      <c r="M741" s="9"/>
      <c r="S741" s="16"/>
    </row>
    <row r="742" ht="15.75" customHeight="1">
      <c r="B742" s="177"/>
      <c r="C742" s="14"/>
      <c r="D742" s="22"/>
      <c r="E742" s="22"/>
      <c r="K742" s="16"/>
      <c r="L742" s="16"/>
      <c r="M742" s="9"/>
      <c r="S742" s="16"/>
    </row>
    <row r="743" ht="15.75" customHeight="1">
      <c r="B743" s="177"/>
      <c r="C743" s="14"/>
      <c r="D743" s="22"/>
      <c r="E743" s="22"/>
      <c r="K743" s="16"/>
      <c r="L743" s="16"/>
      <c r="M743" s="9"/>
      <c r="S743" s="16"/>
    </row>
    <row r="744" ht="15.75" customHeight="1">
      <c r="B744" s="177"/>
      <c r="C744" s="14"/>
      <c r="D744" s="22"/>
      <c r="E744" s="22"/>
      <c r="K744" s="16"/>
      <c r="L744" s="16"/>
      <c r="M744" s="9"/>
      <c r="S744" s="16"/>
    </row>
    <row r="745" ht="15.75" customHeight="1">
      <c r="B745" s="177"/>
      <c r="C745" s="14"/>
      <c r="D745" s="22"/>
      <c r="E745" s="22"/>
      <c r="K745" s="16"/>
      <c r="L745" s="16"/>
      <c r="M745" s="9"/>
      <c r="S745" s="16"/>
    </row>
    <row r="746" ht="15.75" customHeight="1">
      <c r="B746" s="177"/>
      <c r="C746" s="14"/>
      <c r="D746" s="22"/>
      <c r="E746" s="22"/>
      <c r="K746" s="16"/>
      <c r="L746" s="16"/>
      <c r="M746" s="9"/>
      <c r="S746" s="16"/>
    </row>
    <row r="747" ht="15.75" customHeight="1">
      <c r="B747" s="177"/>
      <c r="C747" s="14"/>
      <c r="D747" s="22"/>
      <c r="E747" s="22"/>
      <c r="K747" s="16"/>
      <c r="L747" s="16"/>
      <c r="M747" s="9"/>
      <c r="S747" s="16"/>
    </row>
    <row r="748" ht="15.75" customHeight="1">
      <c r="B748" s="177"/>
      <c r="C748" s="14"/>
      <c r="D748" s="22"/>
      <c r="E748" s="22"/>
      <c r="K748" s="16"/>
      <c r="L748" s="16"/>
      <c r="M748" s="9"/>
      <c r="S748" s="16"/>
    </row>
    <row r="749" ht="15.75" customHeight="1">
      <c r="B749" s="177"/>
      <c r="C749" s="14"/>
      <c r="D749" s="22"/>
      <c r="E749" s="22"/>
      <c r="K749" s="16"/>
      <c r="L749" s="16"/>
      <c r="M749" s="9"/>
      <c r="S749" s="16"/>
    </row>
    <row r="750" ht="15.75" customHeight="1">
      <c r="B750" s="177"/>
      <c r="C750" s="14"/>
      <c r="D750" s="22"/>
      <c r="E750" s="22"/>
      <c r="K750" s="16"/>
      <c r="L750" s="16"/>
      <c r="M750" s="9"/>
      <c r="S750" s="16"/>
    </row>
    <row r="751" ht="15.75" customHeight="1">
      <c r="B751" s="177"/>
      <c r="C751" s="14"/>
      <c r="D751" s="22"/>
      <c r="E751" s="22"/>
      <c r="K751" s="16"/>
      <c r="L751" s="16"/>
      <c r="M751" s="9"/>
      <c r="S751" s="16"/>
    </row>
    <row r="752" ht="15.75" customHeight="1">
      <c r="B752" s="177"/>
      <c r="C752" s="14"/>
      <c r="D752" s="22"/>
      <c r="E752" s="22"/>
      <c r="K752" s="16"/>
      <c r="L752" s="16"/>
      <c r="M752" s="9"/>
      <c r="S752" s="16"/>
    </row>
    <row r="753" ht="15.75" customHeight="1">
      <c r="B753" s="177"/>
      <c r="C753" s="14"/>
      <c r="D753" s="22"/>
      <c r="E753" s="22"/>
      <c r="K753" s="16"/>
      <c r="L753" s="16"/>
      <c r="M753" s="9"/>
      <c r="S753" s="16"/>
    </row>
    <row r="754" ht="15.75" customHeight="1">
      <c r="B754" s="177"/>
      <c r="C754" s="14"/>
      <c r="D754" s="22"/>
      <c r="E754" s="22"/>
      <c r="K754" s="16"/>
      <c r="L754" s="16"/>
      <c r="M754" s="9"/>
      <c r="S754" s="16"/>
    </row>
    <row r="755" ht="15.75" customHeight="1">
      <c r="B755" s="177"/>
      <c r="C755" s="14"/>
      <c r="D755" s="22"/>
      <c r="E755" s="22"/>
      <c r="K755" s="16"/>
      <c r="L755" s="16"/>
      <c r="M755" s="9"/>
      <c r="S755" s="16"/>
    </row>
    <row r="756" ht="15.75" customHeight="1">
      <c r="B756" s="177"/>
      <c r="C756" s="14"/>
      <c r="D756" s="22"/>
      <c r="E756" s="22"/>
      <c r="K756" s="16"/>
      <c r="L756" s="16"/>
      <c r="M756" s="9"/>
      <c r="S756" s="16"/>
    </row>
    <row r="757" ht="15.75" customHeight="1">
      <c r="B757" s="177"/>
      <c r="C757" s="14"/>
      <c r="D757" s="22"/>
      <c r="E757" s="22"/>
      <c r="K757" s="16"/>
      <c r="L757" s="16"/>
      <c r="M757" s="9"/>
      <c r="S757" s="16"/>
    </row>
    <row r="758" ht="15.75" customHeight="1">
      <c r="B758" s="177"/>
      <c r="C758" s="14"/>
      <c r="D758" s="22"/>
      <c r="E758" s="22"/>
      <c r="K758" s="16"/>
      <c r="L758" s="16"/>
      <c r="M758" s="9"/>
      <c r="S758" s="16"/>
    </row>
    <row r="759" ht="15.75" customHeight="1">
      <c r="B759" s="177"/>
      <c r="C759" s="14"/>
      <c r="D759" s="22"/>
      <c r="E759" s="22"/>
      <c r="K759" s="16"/>
      <c r="L759" s="16"/>
      <c r="M759" s="9"/>
      <c r="S759" s="16"/>
    </row>
    <row r="760" ht="15.75" customHeight="1">
      <c r="B760" s="177"/>
      <c r="C760" s="14"/>
      <c r="D760" s="22"/>
      <c r="E760" s="22"/>
      <c r="K760" s="16"/>
      <c r="L760" s="16"/>
      <c r="M760" s="9"/>
      <c r="S760" s="16"/>
    </row>
    <row r="761" ht="15.75" customHeight="1">
      <c r="B761" s="177"/>
      <c r="C761" s="14"/>
      <c r="D761" s="22"/>
      <c r="E761" s="22"/>
      <c r="K761" s="16"/>
      <c r="L761" s="16"/>
      <c r="M761" s="9"/>
      <c r="S761" s="16"/>
    </row>
    <row r="762" ht="15.75" customHeight="1">
      <c r="B762" s="177"/>
      <c r="C762" s="14"/>
      <c r="D762" s="22"/>
      <c r="E762" s="22"/>
      <c r="K762" s="16"/>
      <c r="L762" s="16"/>
      <c r="M762" s="9"/>
      <c r="S762" s="16"/>
    </row>
    <row r="763" ht="15.75" customHeight="1">
      <c r="B763" s="177"/>
      <c r="C763" s="14"/>
      <c r="D763" s="22"/>
      <c r="E763" s="22"/>
      <c r="K763" s="16"/>
      <c r="L763" s="16"/>
      <c r="M763" s="9"/>
      <c r="S763" s="16"/>
    </row>
    <row r="764" ht="15.75" customHeight="1">
      <c r="B764" s="177"/>
      <c r="C764" s="14"/>
      <c r="D764" s="22"/>
      <c r="E764" s="22"/>
      <c r="K764" s="16"/>
      <c r="L764" s="16"/>
      <c r="M764" s="9"/>
      <c r="S764" s="16"/>
    </row>
    <row r="765" ht="15.75" customHeight="1">
      <c r="B765" s="177"/>
      <c r="C765" s="14"/>
      <c r="D765" s="22"/>
      <c r="E765" s="22"/>
      <c r="K765" s="16"/>
      <c r="L765" s="16"/>
      <c r="M765" s="9"/>
      <c r="S765" s="16"/>
    </row>
    <row r="766" ht="15.75" customHeight="1">
      <c r="B766" s="177"/>
      <c r="C766" s="14"/>
      <c r="D766" s="22"/>
      <c r="E766" s="22"/>
      <c r="K766" s="16"/>
      <c r="L766" s="16"/>
      <c r="M766" s="9"/>
      <c r="S766" s="16"/>
    </row>
    <row r="767" ht="15.75" customHeight="1">
      <c r="B767" s="177"/>
      <c r="C767" s="14"/>
      <c r="D767" s="22"/>
      <c r="E767" s="22"/>
      <c r="K767" s="16"/>
      <c r="L767" s="16"/>
      <c r="M767" s="9"/>
      <c r="S767" s="16"/>
    </row>
    <row r="768" ht="15.75" customHeight="1">
      <c r="B768" s="177"/>
      <c r="C768" s="14"/>
      <c r="D768" s="22"/>
      <c r="E768" s="22"/>
      <c r="K768" s="16"/>
      <c r="L768" s="16"/>
      <c r="M768" s="9"/>
      <c r="S768" s="16"/>
    </row>
    <row r="769" ht="15.75" customHeight="1">
      <c r="B769" s="177"/>
      <c r="C769" s="14"/>
      <c r="D769" s="22"/>
      <c r="E769" s="22"/>
      <c r="K769" s="16"/>
      <c r="L769" s="16"/>
      <c r="M769" s="9"/>
      <c r="S769" s="16"/>
    </row>
    <row r="770" ht="15.75" customHeight="1">
      <c r="B770" s="177"/>
      <c r="C770" s="14"/>
      <c r="D770" s="22"/>
      <c r="E770" s="22"/>
      <c r="K770" s="16"/>
      <c r="L770" s="16"/>
      <c r="M770" s="9"/>
      <c r="S770" s="16"/>
    </row>
    <row r="771" ht="15.75" customHeight="1">
      <c r="B771" s="177"/>
      <c r="C771" s="14"/>
      <c r="D771" s="22"/>
      <c r="E771" s="22"/>
      <c r="K771" s="16"/>
      <c r="L771" s="16"/>
      <c r="M771" s="9"/>
      <c r="S771" s="16"/>
    </row>
    <row r="772" ht="15.75" customHeight="1">
      <c r="B772" s="177"/>
      <c r="C772" s="14"/>
      <c r="D772" s="22"/>
      <c r="E772" s="22"/>
      <c r="K772" s="16"/>
      <c r="L772" s="16"/>
      <c r="M772" s="9"/>
      <c r="S772" s="16"/>
    </row>
    <row r="773" ht="15.75" customHeight="1">
      <c r="B773" s="177"/>
      <c r="C773" s="14"/>
      <c r="D773" s="22"/>
      <c r="E773" s="22"/>
      <c r="K773" s="16"/>
      <c r="L773" s="16"/>
      <c r="M773" s="9"/>
      <c r="S773" s="16"/>
    </row>
    <row r="774" ht="15.75" customHeight="1">
      <c r="B774" s="177"/>
      <c r="C774" s="14"/>
      <c r="D774" s="22"/>
      <c r="E774" s="22"/>
      <c r="K774" s="16"/>
      <c r="L774" s="16"/>
      <c r="M774" s="9"/>
      <c r="S774" s="16"/>
    </row>
    <row r="775" ht="15.75" customHeight="1">
      <c r="B775" s="177"/>
      <c r="C775" s="14"/>
      <c r="D775" s="22"/>
      <c r="E775" s="22"/>
      <c r="K775" s="16"/>
      <c r="L775" s="16"/>
      <c r="M775" s="9"/>
      <c r="S775" s="16"/>
    </row>
    <row r="776" ht="15.75" customHeight="1">
      <c r="B776" s="177"/>
      <c r="C776" s="14"/>
      <c r="D776" s="22"/>
      <c r="E776" s="22"/>
      <c r="K776" s="16"/>
      <c r="L776" s="16"/>
      <c r="M776" s="9"/>
      <c r="S776" s="16"/>
    </row>
    <row r="777" ht="15.75" customHeight="1">
      <c r="B777" s="177"/>
      <c r="C777" s="14"/>
      <c r="D777" s="22"/>
      <c r="E777" s="22"/>
      <c r="K777" s="16"/>
      <c r="L777" s="16"/>
      <c r="M777" s="9"/>
      <c r="S777" s="16"/>
    </row>
    <row r="778" ht="15.75" customHeight="1">
      <c r="B778" s="177"/>
      <c r="C778" s="14"/>
      <c r="D778" s="22"/>
      <c r="E778" s="22"/>
      <c r="K778" s="16"/>
      <c r="L778" s="16"/>
      <c r="M778" s="9"/>
      <c r="S778" s="16"/>
    </row>
    <row r="779" ht="15.75" customHeight="1">
      <c r="B779" s="177"/>
      <c r="C779" s="14"/>
      <c r="D779" s="22"/>
      <c r="E779" s="22"/>
      <c r="K779" s="16"/>
      <c r="L779" s="16"/>
      <c r="M779" s="9"/>
      <c r="S779" s="16"/>
    </row>
    <row r="780" ht="15.75" customHeight="1">
      <c r="B780" s="177"/>
      <c r="C780" s="14"/>
      <c r="D780" s="22"/>
      <c r="E780" s="22"/>
      <c r="K780" s="16"/>
      <c r="L780" s="16"/>
      <c r="M780" s="9"/>
      <c r="S780" s="16"/>
    </row>
    <row r="781" ht="15.75" customHeight="1">
      <c r="B781" s="177"/>
      <c r="C781" s="14"/>
      <c r="D781" s="22"/>
      <c r="E781" s="22"/>
      <c r="K781" s="16"/>
      <c r="L781" s="16"/>
      <c r="M781" s="9"/>
      <c r="S781" s="16"/>
    </row>
    <row r="782" ht="15.75" customHeight="1">
      <c r="B782" s="177"/>
      <c r="C782" s="14"/>
      <c r="D782" s="22"/>
      <c r="E782" s="22"/>
      <c r="K782" s="16"/>
      <c r="L782" s="16"/>
      <c r="M782" s="9"/>
      <c r="S782" s="16"/>
    </row>
    <row r="783" ht="15.75" customHeight="1">
      <c r="B783" s="177"/>
      <c r="C783" s="14"/>
      <c r="D783" s="22"/>
      <c r="E783" s="22"/>
      <c r="K783" s="16"/>
      <c r="L783" s="16"/>
      <c r="M783" s="9"/>
      <c r="S783" s="16"/>
    </row>
    <row r="784" ht="15.75" customHeight="1">
      <c r="B784" s="177"/>
      <c r="C784" s="14"/>
      <c r="D784" s="22"/>
      <c r="E784" s="22"/>
      <c r="K784" s="16"/>
      <c r="L784" s="16"/>
      <c r="M784" s="9"/>
      <c r="S784" s="16"/>
    </row>
    <row r="785" ht="15.75" customHeight="1">
      <c r="B785" s="177"/>
      <c r="C785" s="14"/>
      <c r="D785" s="22"/>
      <c r="E785" s="22"/>
      <c r="K785" s="16"/>
      <c r="L785" s="16"/>
      <c r="M785" s="9"/>
      <c r="S785" s="16"/>
    </row>
    <row r="786" ht="15.75" customHeight="1">
      <c r="B786" s="177"/>
      <c r="C786" s="14"/>
      <c r="D786" s="22"/>
      <c r="E786" s="22"/>
      <c r="K786" s="16"/>
      <c r="L786" s="16"/>
      <c r="M786" s="9"/>
      <c r="S786" s="16"/>
    </row>
    <row r="787" ht="15.75" customHeight="1">
      <c r="B787" s="177"/>
      <c r="C787" s="14"/>
      <c r="D787" s="22"/>
      <c r="E787" s="22"/>
      <c r="K787" s="16"/>
      <c r="L787" s="16"/>
      <c r="M787" s="9"/>
      <c r="S787" s="16"/>
    </row>
    <row r="788" ht="15.75" customHeight="1">
      <c r="B788" s="177"/>
      <c r="C788" s="14"/>
      <c r="D788" s="22"/>
      <c r="E788" s="22"/>
      <c r="K788" s="16"/>
      <c r="L788" s="16"/>
      <c r="M788" s="9"/>
      <c r="S788" s="16"/>
    </row>
    <row r="789" ht="15.75" customHeight="1">
      <c r="B789" s="177"/>
      <c r="C789" s="14"/>
      <c r="D789" s="22"/>
      <c r="E789" s="22"/>
      <c r="K789" s="16"/>
      <c r="L789" s="16"/>
      <c r="M789" s="9"/>
      <c r="S789" s="16"/>
    </row>
    <row r="790" ht="15.75" customHeight="1">
      <c r="B790" s="177"/>
      <c r="C790" s="14"/>
      <c r="D790" s="22"/>
      <c r="E790" s="22"/>
      <c r="K790" s="16"/>
      <c r="L790" s="16"/>
      <c r="M790" s="9"/>
      <c r="S790" s="16"/>
    </row>
    <row r="791" ht="15.75" customHeight="1">
      <c r="B791" s="177"/>
      <c r="C791" s="14"/>
      <c r="D791" s="22"/>
      <c r="E791" s="22"/>
      <c r="K791" s="16"/>
      <c r="L791" s="16"/>
      <c r="M791" s="9"/>
      <c r="S791" s="16"/>
    </row>
    <row r="792" ht="15.75" customHeight="1">
      <c r="B792" s="177"/>
      <c r="C792" s="14"/>
      <c r="D792" s="22"/>
      <c r="E792" s="22"/>
      <c r="K792" s="16"/>
      <c r="L792" s="16"/>
      <c r="M792" s="9"/>
      <c r="S792" s="16"/>
    </row>
    <row r="793" ht="15.75" customHeight="1">
      <c r="B793" s="177"/>
      <c r="C793" s="14"/>
      <c r="D793" s="22"/>
      <c r="E793" s="22"/>
      <c r="K793" s="16"/>
      <c r="L793" s="16"/>
      <c r="M793" s="9"/>
      <c r="S793" s="16"/>
    </row>
    <row r="794" ht="15.75" customHeight="1">
      <c r="B794" s="177"/>
      <c r="C794" s="14"/>
      <c r="D794" s="22"/>
      <c r="E794" s="22"/>
      <c r="K794" s="16"/>
      <c r="L794" s="16"/>
      <c r="M794" s="9"/>
      <c r="S794" s="16"/>
    </row>
    <row r="795" ht="15.75" customHeight="1">
      <c r="B795" s="177"/>
      <c r="C795" s="14"/>
      <c r="D795" s="22"/>
      <c r="E795" s="22"/>
      <c r="K795" s="16"/>
      <c r="L795" s="16"/>
      <c r="M795" s="9"/>
      <c r="S795" s="16"/>
    </row>
    <row r="796" ht="15.75" customHeight="1">
      <c r="B796" s="177"/>
      <c r="C796" s="14"/>
      <c r="D796" s="22"/>
      <c r="E796" s="22"/>
      <c r="K796" s="16"/>
      <c r="L796" s="16"/>
      <c r="M796" s="9"/>
      <c r="S796" s="16"/>
    </row>
    <row r="797" ht="15.75" customHeight="1">
      <c r="B797" s="177"/>
      <c r="C797" s="14"/>
      <c r="D797" s="22"/>
      <c r="E797" s="22"/>
      <c r="K797" s="16"/>
      <c r="L797" s="16"/>
      <c r="M797" s="9"/>
      <c r="S797" s="16"/>
    </row>
    <row r="798" ht="15.75" customHeight="1">
      <c r="B798" s="177"/>
      <c r="C798" s="14"/>
      <c r="D798" s="22"/>
      <c r="E798" s="22"/>
      <c r="K798" s="16"/>
      <c r="L798" s="16"/>
      <c r="M798" s="9"/>
      <c r="S798" s="16"/>
    </row>
    <row r="799" ht="15.75" customHeight="1">
      <c r="B799" s="177"/>
      <c r="C799" s="14"/>
      <c r="D799" s="22"/>
      <c r="E799" s="22"/>
      <c r="K799" s="16"/>
      <c r="L799" s="16"/>
      <c r="M799" s="9"/>
      <c r="S799" s="16"/>
    </row>
    <row r="800" ht="15.75" customHeight="1">
      <c r="B800" s="177"/>
      <c r="C800" s="14"/>
      <c r="D800" s="22"/>
      <c r="E800" s="22"/>
      <c r="K800" s="16"/>
      <c r="L800" s="16"/>
      <c r="M800" s="9"/>
      <c r="S800" s="16"/>
    </row>
    <row r="801" ht="15.75" customHeight="1">
      <c r="B801" s="177"/>
      <c r="C801" s="14"/>
      <c r="D801" s="22"/>
      <c r="E801" s="22"/>
      <c r="K801" s="16"/>
      <c r="L801" s="16"/>
      <c r="M801" s="9"/>
      <c r="S801" s="16"/>
    </row>
    <row r="802" ht="15.75" customHeight="1">
      <c r="B802" s="177"/>
      <c r="C802" s="14"/>
      <c r="D802" s="22"/>
      <c r="E802" s="22"/>
      <c r="K802" s="16"/>
      <c r="L802" s="16"/>
      <c r="M802" s="9"/>
      <c r="S802" s="16"/>
    </row>
    <row r="803" ht="15.75" customHeight="1">
      <c r="B803" s="177"/>
      <c r="C803" s="14"/>
      <c r="D803" s="22"/>
      <c r="E803" s="22"/>
      <c r="K803" s="16"/>
      <c r="L803" s="16"/>
      <c r="M803" s="9"/>
      <c r="S803" s="16"/>
    </row>
    <row r="804" ht="15.75" customHeight="1">
      <c r="B804" s="177"/>
      <c r="C804" s="14"/>
      <c r="D804" s="22"/>
      <c r="E804" s="22"/>
      <c r="K804" s="16"/>
      <c r="L804" s="16"/>
      <c r="M804" s="9"/>
      <c r="S804" s="16"/>
    </row>
    <row r="805" ht="15.75" customHeight="1">
      <c r="B805" s="177"/>
      <c r="C805" s="14"/>
      <c r="D805" s="22"/>
      <c r="E805" s="22"/>
      <c r="K805" s="16"/>
      <c r="L805" s="16"/>
      <c r="M805" s="9"/>
      <c r="S805" s="16"/>
    </row>
    <row r="806" ht="15.75" customHeight="1">
      <c r="B806" s="177"/>
      <c r="C806" s="14"/>
      <c r="D806" s="22"/>
      <c r="E806" s="22"/>
      <c r="K806" s="16"/>
      <c r="L806" s="16"/>
      <c r="M806" s="9"/>
      <c r="S806" s="16"/>
    </row>
    <row r="807" ht="15.75" customHeight="1">
      <c r="B807" s="177"/>
      <c r="C807" s="14"/>
      <c r="D807" s="22"/>
      <c r="E807" s="22"/>
      <c r="K807" s="16"/>
      <c r="L807" s="16"/>
      <c r="M807" s="9"/>
      <c r="S807" s="16"/>
    </row>
    <row r="808" ht="15.75" customHeight="1">
      <c r="B808" s="177"/>
      <c r="C808" s="14"/>
      <c r="D808" s="22"/>
      <c r="E808" s="22"/>
      <c r="K808" s="16"/>
      <c r="L808" s="16"/>
      <c r="M808" s="9"/>
      <c r="S808" s="16"/>
    </row>
    <row r="809" ht="15.75" customHeight="1">
      <c r="B809" s="177"/>
      <c r="C809" s="14"/>
      <c r="D809" s="22"/>
      <c r="E809" s="22"/>
      <c r="K809" s="16"/>
      <c r="L809" s="16"/>
      <c r="M809" s="9"/>
      <c r="S809" s="16"/>
    </row>
    <row r="810" ht="15.75" customHeight="1">
      <c r="B810" s="177"/>
      <c r="C810" s="14"/>
      <c r="D810" s="22"/>
      <c r="E810" s="22"/>
      <c r="K810" s="16"/>
      <c r="L810" s="16"/>
      <c r="M810" s="9"/>
      <c r="S810" s="16"/>
    </row>
    <row r="811" ht="15.75" customHeight="1">
      <c r="B811" s="177"/>
      <c r="C811" s="14"/>
      <c r="D811" s="22"/>
      <c r="E811" s="22"/>
      <c r="K811" s="16"/>
      <c r="L811" s="16"/>
      <c r="M811" s="9"/>
      <c r="S811" s="16"/>
    </row>
    <row r="812" ht="15.75" customHeight="1">
      <c r="B812" s="177"/>
      <c r="C812" s="14"/>
      <c r="D812" s="22"/>
      <c r="E812" s="22"/>
      <c r="K812" s="16"/>
      <c r="L812" s="16"/>
      <c r="M812" s="9"/>
      <c r="S812" s="16"/>
    </row>
    <row r="813" ht="15.75" customHeight="1">
      <c r="B813" s="177"/>
      <c r="C813" s="14"/>
      <c r="D813" s="22"/>
      <c r="E813" s="22"/>
      <c r="K813" s="16"/>
      <c r="L813" s="16"/>
      <c r="M813" s="9"/>
      <c r="S813" s="16"/>
    </row>
    <row r="814" ht="15.75" customHeight="1">
      <c r="B814" s="177"/>
      <c r="C814" s="14"/>
      <c r="D814" s="22"/>
      <c r="E814" s="22"/>
      <c r="K814" s="16"/>
      <c r="L814" s="16"/>
      <c r="M814" s="9"/>
      <c r="S814" s="16"/>
    </row>
    <row r="815" ht="15.75" customHeight="1">
      <c r="B815" s="177"/>
      <c r="C815" s="14"/>
      <c r="D815" s="22"/>
      <c r="E815" s="22"/>
      <c r="K815" s="16"/>
      <c r="L815" s="16"/>
      <c r="M815" s="9"/>
      <c r="S815" s="16"/>
    </row>
    <row r="816" ht="15.75" customHeight="1">
      <c r="B816" s="177"/>
      <c r="C816" s="14"/>
      <c r="D816" s="22"/>
      <c r="E816" s="22"/>
      <c r="K816" s="16"/>
      <c r="L816" s="16"/>
      <c r="M816" s="9"/>
      <c r="S816" s="16"/>
    </row>
    <row r="817" ht="15.75" customHeight="1">
      <c r="B817" s="177"/>
      <c r="C817" s="14"/>
      <c r="D817" s="22"/>
      <c r="E817" s="22"/>
      <c r="K817" s="16"/>
      <c r="L817" s="16"/>
      <c r="M817" s="9"/>
      <c r="S817" s="16"/>
    </row>
    <row r="818" ht="15.75" customHeight="1">
      <c r="B818" s="177"/>
      <c r="C818" s="14"/>
      <c r="D818" s="22"/>
      <c r="E818" s="22"/>
      <c r="K818" s="16"/>
      <c r="L818" s="16"/>
      <c r="M818" s="9"/>
      <c r="S818" s="16"/>
    </row>
    <row r="819" ht="15.75" customHeight="1">
      <c r="B819" s="177"/>
      <c r="C819" s="14"/>
      <c r="D819" s="22"/>
      <c r="E819" s="22"/>
      <c r="K819" s="16"/>
      <c r="L819" s="16"/>
      <c r="M819" s="9"/>
      <c r="S819" s="16"/>
    </row>
    <row r="820" ht="15.75" customHeight="1">
      <c r="B820" s="177"/>
      <c r="C820" s="14"/>
      <c r="D820" s="22"/>
      <c r="E820" s="22"/>
      <c r="K820" s="16"/>
      <c r="L820" s="16"/>
      <c r="M820" s="9"/>
      <c r="S820" s="16"/>
    </row>
    <row r="821" ht="15.75" customHeight="1">
      <c r="B821" s="177"/>
      <c r="C821" s="14"/>
      <c r="D821" s="22"/>
      <c r="E821" s="22"/>
      <c r="K821" s="16"/>
      <c r="L821" s="16"/>
      <c r="M821" s="9"/>
      <c r="S821" s="16"/>
    </row>
    <row r="822" ht="15.75" customHeight="1">
      <c r="B822" s="177"/>
      <c r="C822" s="14"/>
      <c r="D822" s="22"/>
      <c r="E822" s="22"/>
      <c r="K822" s="16"/>
      <c r="L822" s="16"/>
      <c r="M822" s="9"/>
      <c r="S822" s="16"/>
    </row>
    <row r="823" ht="15.75" customHeight="1">
      <c r="B823" s="177"/>
      <c r="C823" s="14"/>
      <c r="D823" s="22"/>
      <c r="E823" s="22"/>
      <c r="K823" s="16"/>
      <c r="L823" s="16"/>
      <c r="M823" s="9"/>
      <c r="S823" s="16"/>
    </row>
    <row r="824" ht="15.75" customHeight="1">
      <c r="B824" s="177"/>
      <c r="C824" s="14"/>
      <c r="D824" s="22"/>
      <c r="E824" s="22"/>
      <c r="K824" s="16"/>
      <c r="L824" s="16"/>
      <c r="M824" s="9"/>
      <c r="S824" s="16"/>
    </row>
    <row r="825" ht="15.75" customHeight="1">
      <c r="B825" s="177"/>
      <c r="C825" s="14"/>
      <c r="D825" s="22"/>
      <c r="E825" s="22"/>
      <c r="K825" s="16"/>
      <c r="L825" s="16"/>
      <c r="M825" s="9"/>
      <c r="S825" s="16"/>
    </row>
    <row r="826" ht="15.75" customHeight="1">
      <c r="B826" s="177"/>
      <c r="C826" s="14"/>
      <c r="D826" s="22"/>
      <c r="E826" s="22"/>
      <c r="K826" s="16"/>
      <c r="L826" s="16"/>
      <c r="M826" s="9"/>
      <c r="S826" s="16"/>
    </row>
    <row r="827" ht="15.75" customHeight="1">
      <c r="B827" s="177"/>
      <c r="C827" s="14"/>
      <c r="D827" s="22"/>
      <c r="E827" s="22"/>
      <c r="K827" s="16"/>
      <c r="L827" s="16"/>
      <c r="M827" s="9"/>
      <c r="S827" s="16"/>
    </row>
    <row r="828" ht="15.75" customHeight="1">
      <c r="B828" s="177"/>
      <c r="C828" s="14"/>
      <c r="D828" s="22"/>
      <c r="E828" s="22"/>
      <c r="K828" s="16"/>
      <c r="L828" s="16"/>
      <c r="M828" s="9"/>
      <c r="S828" s="16"/>
    </row>
    <row r="829" ht="15.75" customHeight="1">
      <c r="B829" s="177"/>
      <c r="C829" s="14"/>
      <c r="D829" s="22"/>
      <c r="E829" s="22"/>
      <c r="K829" s="16"/>
      <c r="L829" s="16"/>
      <c r="M829" s="9"/>
      <c r="S829" s="16"/>
    </row>
    <row r="830" ht="15.75" customHeight="1">
      <c r="B830" s="177"/>
      <c r="C830" s="14"/>
      <c r="D830" s="22"/>
      <c r="E830" s="22"/>
      <c r="K830" s="16"/>
      <c r="L830" s="16"/>
      <c r="M830" s="9"/>
      <c r="S830" s="16"/>
    </row>
    <row r="831" ht="15.75" customHeight="1">
      <c r="B831" s="177"/>
      <c r="C831" s="14"/>
      <c r="D831" s="22"/>
      <c r="E831" s="22"/>
      <c r="K831" s="16"/>
      <c r="L831" s="16"/>
      <c r="M831" s="9"/>
      <c r="S831" s="16"/>
    </row>
    <row r="832" ht="15.75" customHeight="1">
      <c r="B832" s="177"/>
      <c r="C832" s="14"/>
      <c r="D832" s="22"/>
      <c r="E832" s="22"/>
      <c r="K832" s="16"/>
      <c r="L832" s="16"/>
      <c r="M832" s="9"/>
      <c r="S832" s="16"/>
    </row>
    <row r="833" ht="15.75" customHeight="1">
      <c r="B833" s="177"/>
      <c r="C833" s="14"/>
      <c r="D833" s="22"/>
      <c r="E833" s="22"/>
      <c r="K833" s="16"/>
      <c r="L833" s="16"/>
      <c r="M833" s="9"/>
      <c r="S833" s="16"/>
    </row>
    <row r="834" ht="15.75" customHeight="1">
      <c r="B834" s="177"/>
      <c r="C834" s="14"/>
      <c r="D834" s="22"/>
      <c r="E834" s="22"/>
      <c r="K834" s="16"/>
      <c r="L834" s="16"/>
      <c r="M834" s="9"/>
      <c r="S834" s="16"/>
    </row>
    <row r="835" ht="15.75" customHeight="1">
      <c r="B835" s="177"/>
      <c r="C835" s="14"/>
      <c r="D835" s="22"/>
      <c r="E835" s="22"/>
      <c r="K835" s="16"/>
      <c r="L835" s="16"/>
      <c r="M835" s="9"/>
      <c r="S835" s="16"/>
    </row>
    <row r="836" ht="15.75" customHeight="1">
      <c r="B836" s="177"/>
      <c r="C836" s="14"/>
      <c r="D836" s="22"/>
      <c r="E836" s="22"/>
      <c r="K836" s="16"/>
      <c r="L836" s="16"/>
      <c r="M836" s="9"/>
      <c r="S836" s="16"/>
    </row>
    <row r="837" ht="15.75" customHeight="1">
      <c r="B837" s="177"/>
      <c r="C837" s="14"/>
      <c r="D837" s="22"/>
      <c r="E837" s="22"/>
      <c r="K837" s="16"/>
      <c r="L837" s="16"/>
      <c r="M837" s="9"/>
      <c r="S837" s="16"/>
    </row>
    <row r="838" ht="15.75" customHeight="1">
      <c r="B838" s="177"/>
      <c r="C838" s="14"/>
      <c r="D838" s="22"/>
      <c r="E838" s="22"/>
      <c r="K838" s="16"/>
      <c r="L838" s="16"/>
      <c r="M838" s="9"/>
      <c r="S838" s="16"/>
    </row>
    <row r="839" ht="15.75" customHeight="1">
      <c r="B839" s="177"/>
      <c r="C839" s="14"/>
      <c r="D839" s="22"/>
      <c r="E839" s="22"/>
      <c r="K839" s="16"/>
      <c r="L839" s="16"/>
      <c r="M839" s="9"/>
      <c r="S839" s="16"/>
    </row>
    <row r="840" ht="15.75" customHeight="1">
      <c r="B840" s="177"/>
      <c r="C840" s="14"/>
      <c r="D840" s="22"/>
      <c r="E840" s="22"/>
      <c r="K840" s="16"/>
      <c r="L840" s="16"/>
      <c r="M840" s="9"/>
      <c r="S840" s="16"/>
    </row>
    <row r="841" ht="15.75" customHeight="1">
      <c r="B841" s="177"/>
      <c r="C841" s="14"/>
      <c r="D841" s="22"/>
      <c r="E841" s="22"/>
      <c r="K841" s="16"/>
      <c r="L841" s="16"/>
      <c r="M841" s="9"/>
      <c r="S841" s="16"/>
    </row>
    <row r="842" ht="15.75" customHeight="1">
      <c r="B842" s="177"/>
      <c r="C842" s="14"/>
      <c r="D842" s="22"/>
      <c r="E842" s="22"/>
      <c r="K842" s="16"/>
      <c r="L842" s="16"/>
      <c r="M842" s="9"/>
      <c r="S842" s="16"/>
    </row>
    <row r="843" ht="15.75" customHeight="1">
      <c r="B843" s="177"/>
      <c r="C843" s="14"/>
      <c r="D843" s="22"/>
      <c r="E843" s="22"/>
      <c r="K843" s="16"/>
      <c r="L843" s="16"/>
      <c r="M843" s="9"/>
      <c r="S843" s="16"/>
    </row>
    <row r="844" ht="15.75" customHeight="1">
      <c r="B844" s="177"/>
      <c r="C844" s="14"/>
      <c r="D844" s="22"/>
      <c r="E844" s="22"/>
      <c r="K844" s="16"/>
      <c r="L844" s="16"/>
      <c r="M844" s="9"/>
      <c r="S844" s="16"/>
    </row>
    <row r="845" ht="15.75" customHeight="1">
      <c r="B845" s="177"/>
      <c r="C845" s="14"/>
      <c r="D845" s="22"/>
      <c r="E845" s="22"/>
      <c r="K845" s="16"/>
      <c r="L845" s="16"/>
      <c r="M845" s="9"/>
      <c r="S845" s="16"/>
    </row>
    <row r="846" ht="15.75" customHeight="1">
      <c r="B846" s="177"/>
      <c r="C846" s="14"/>
      <c r="D846" s="22"/>
      <c r="E846" s="22"/>
      <c r="K846" s="16"/>
      <c r="L846" s="16"/>
      <c r="M846" s="9"/>
      <c r="S846" s="16"/>
    </row>
    <row r="847" ht="15.75" customHeight="1">
      <c r="B847" s="177"/>
      <c r="C847" s="14"/>
      <c r="D847" s="22"/>
      <c r="E847" s="22"/>
      <c r="K847" s="16"/>
      <c r="L847" s="16"/>
      <c r="M847" s="9"/>
      <c r="S847" s="16"/>
    </row>
    <row r="848" ht="15.75" customHeight="1">
      <c r="B848" s="177"/>
      <c r="C848" s="14"/>
      <c r="D848" s="22"/>
      <c r="E848" s="22"/>
      <c r="K848" s="16"/>
      <c r="L848" s="16"/>
      <c r="M848" s="9"/>
      <c r="S848" s="16"/>
    </row>
    <row r="849" ht="15.75" customHeight="1">
      <c r="B849" s="177"/>
      <c r="C849" s="14"/>
      <c r="D849" s="22"/>
      <c r="E849" s="22"/>
      <c r="K849" s="16"/>
      <c r="L849" s="16"/>
      <c r="M849" s="9"/>
      <c r="S849" s="16"/>
    </row>
    <row r="850" ht="15.75" customHeight="1">
      <c r="B850" s="177"/>
      <c r="C850" s="14"/>
      <c r="D850" s="22"/>
      <c r="E850" s="22"/>
      <c r="K850" s="16"/>
      <c r="L850" s="16"/>
      <c r="M850" s="9"/>
      <c r="S850" s="16"/>
    </row>
    <row r="851" ht="15.75" customHeight="1">
      <c r="B851" s="177"/>
      <c r="C851" s="14"/>
      <c r="D851" s="22"/>
      <c r="E851" s="22"/>
      <c r="K851" s="16"/>
      <c r="L851" s="16"/>
      <c r="M851" s="9"/>
      <c r="S851" s="16"/>
    </row>
    <row r="852" ht="15.75" customHeight="1">
      <c r="B852" s="177"/>
      <c r="C852" s="14"/>
      <c r="D852" s="22"/>
      <c r="E852" s="22"/>
      <c r="K852" s="16"/>
      <c r="L852" s="16"/>
      <c r="M852" s="9"/>
      <c r="S852" s="16"/>
    </row>
    <row r="853" ht="15.75" customHeight="1">
      <c r="B853" s="177"/>
      <c r="C853" s="14"/>
      <c r="D853" s="22"/>
      <c r="E853" s="22"/>
      <c r="K853" s="16"/>
      <c r="L853" s="16"/>
      <c r="M853" s="9"/>
      <c r="S853" s="16"/>
    </row>
    <row r="854" ht="15.75" customHeight="1">
      <c r="B854" s="177"/>
      <c r="C854" s="14"/>
      <c r="D854" s="22"/>
      <c r="E854" s="22"/>
      <c r="K854" s="16"/>
      <c r="L854" s="16"/>
      <c r="M854" s="9"/>
      <c r="S854" s="16"/>
    </row>
    <row r="855" ht="15.75" customHeight="1">
      <c r="B855" s="177"/>
      <c r="C855" s="14"/>
      <c r="D855" s="22"/>
      <c r="E855" s="22"/>
      <c r="K855" s="16"/>
      <c r="L855" s="16"/>
      <c r="M855" s="9"/>
      <c r="S855" s="16"/>
    </row>
    <row r="856" ht="15.75" customHeight="1">
      <c r="B856" s="177"/>
      <c r="C856" s="14"/>
      <c r="D856" s="22"/>
      <c r="E856" s="22"/>
      <c r="K856" s="16"/>
      <c r="L856" s="16"/>
      <c r="M856" s="9"/>
      <c r="S856" s="16"/>
    </row>
    <row r="857" ht="15.75" customHeight="1">
      <c r="B857" s="177"/>
      <c r="C857" s="14"/>
      <c r="D857" s="22"/>
      <c r="E857" s="22"/>
      <c r="K857" s="16"/>
      <c r="L857" s="16"/>
      <c r="M857" s="9"/>
      <c r="S857" s="16"/>
    </row>
    <row r="858" ht="15.75" customHeight="1">
      <c r="B858" s="177"/>
      <c r="C858" s="14"/>
      <c r="D858" s="22"/>
      <c r="E858" s="22"/>
      <c r="K858" s="16"/>
      <c r="L858" s="16"/>
      <c r="M858" s="9"/>
      <c r="S858" s="16"/>
    </row>
    <row r="859" ht="15.75" customHeight="1">
      <c r="B859" s="177"/>
      <c r="C859" s="14"/>
      <c r="D859" s="22"/>
      <c r="E859" s="22"/>
      <c r="K859" s="16"/>
      <c r="L859" s="16"/>
      <c r="M859" s="9"/>
      <c r="S859" s="16"/>
    </row>
    <row r="860" ht="15.75" customHeight="1">
      <c r="B860" s="177"/>
      <c r="C860" s="14"/>
      <c r="D860" s="22"/>
      <c r="E860" s="22"/>
      <c r="K860" s="16"/>
      <c r="L860" s="16"/>
      <c r="M860" s="9"/>
      <c r="S860" s="16"/>
    </row>
    <row r="861" ht="15.75" customHeight="1">
      <c r="B861" s="177"/>
      <c r="C861" s="14"/>
      <c r="D861" s="22"/>
      <c r="E861" s="22"/>
      <c r="K861" s="16"/>
      <c r="L861" s="16"/>
      <c r="M861" s="9"/>
      <c r="S861" s="16"/>
    </row>
    <row r="862" ht="15.75" customHeight="1">
      <c r="B862" s="177"/>
      <c r="C862" s="14"/>
      <c r="D862" s="22"/>
      <c r="E862" s="22"/>
      <c r="K862" s="16"/>
      <c r="L862" s="16"/>
      <c r="M862" s="9"/>
      <c r="S862" s="16"/>
    </row>
    <row r="863" ht="15.75" customHeight="1">
      <c r="B863" s="177"/>
      <c r="C863" s="14"/>
      <c r="D863" s="22"/>
      <c r="E863" s="22"/>
      <c r="K863" s="16"/>
      <c r="L863" s="16"/>
      <c r="M863" s="9"/>
      <c r="S863" s="16"/>
    </row>
    <row r="864" ht="15.75" customHeight="1">
      <c r="B864" s="177"/>
      <c r="C864" s="14"/>
      <c r="D864" s="22"/>
      <c r="E864" s="22"/>
      <c r="K864" s="16"/>
      <c r="L864" s="16"/>
      <c r="M864" s="9"/>
      <c r="S864" s="16"/>
    </row>
    <row r="865" ht="15.75" customHeight="1">
      <c r="B865" s="177"/>
      <c r="C865" s="14"/>
      <c r="D865" s="22"/>
      <c r="E865" s="22"/>
      <c r="K865" s="16"/>
      <c r="L865" s="16"/>
      <c r="M865" s="9"/>
      <c r="S865" s="16"/>
    </row>
    <row r="866" ht="15.75" customHeight="1">
      <c r="B866" s="177"/>
      <c r="C866" s="14"/>
      <c r="D866" s="22"/>
      <c r="E866" s="22"/>
      <c r="K866" s="16"/>
      <c r="L866" s="16"/>
      <c r="M866" s="9"/>
      <c r="S866" s="16"/>
    </row>
    <row r="867" ht="15.75" customHeight="1">
      <c r="B867" s="177"/>
      <c r="C867" s="14"/>
      <c r="D867" s="22"/>
      <c r="E867" s="22"/>
      <c r="K867" s="16"/>
      <c r="L867" s="16"/>
      <c r="M867" s="9"/>
      <c r="S867" s="16"/>
    </row>
    <row r="868" ht="15.75" customHeight="1">
      <c r="B868" s="177"/>
      <c r="C868" s="14"/>
      <c r="D868" s="22"/>
      <c r="E868" s="22"/>
      <c r="K868" s="16"/>
      <c r="L868" s="16"/>
      <c r="M868" s="9"/>
      <c r="S868" s="16"/>
    </row>
    <row r="869" ht="15.75" customHeight="1">
      <c r="B869" s="177"/>
      <c r="C869" s="14"/>
      <c r="D869" s="22"/>
      <c r="E869" s="22"/>
      <c r="K869" s="16"/>
      <c r="L869" s="16"/>
      <c r="M869" s="9"/>
      <c r="S869" s="16"/>
    </row>
    <row r="870" ht="15.75" customHeight="1">
      <c r="B870" s="177"/>
      <c r="C870" s="14"/>
      <c r="D870" s="22"/>
      <c r="E870" s="22"/>
      <c r="K870" s="16"/>
      <c r="L870" s="16"/>
      <c r="M870" s="9"/>
      <c r="S870" s="16"/>
    </row>
    <row r="871" ht="15.75" customHeight="1">
      <c r="B871" s="177"/>
      <c r="C871" s="14"/>
      <c r="D871" s="22"/>
      <c r="E871" s="22"/>
      <c r="K871" s="16"/>
      <c r="L871" s="16"/>
      <c r="M871" s="9"/>
      <c r="S871" s="16"/>
    </row>
    <row r="872" ht="15.75" customHeight="1">
      <c r="B872" s="177"/>
      <c r="C872" s="14"/>
      <c r="D872" s="22"/>
      <c r="E872" s="22"/>
      <c r="K872" s="16"/>
      <c r="L872" s="16"/>
      <c r="M872" s="9"/>
      <c r="S872" s="16"/>
    </row>
    <row r="873" ht="15.75" customHeight="1">
      <c r="B873" s="177"/>
      <c r="C873" s="14"/>
      <c r="D873" s="22"/>
      <c r="E873" s="22"/>
      <c r="K873" s="16"/>
      <c r="L873" s="16"/>
      <c r="M873" s="9"/>
      <c r="S873" s="16"/>
    </row>
    <row r="874" ht="15.75" customHeight="1">
      <c r="B874" s="177"/>
      <c r="C874" s="14"/>
      <c r="D874" s="22"/>
      <c r="E874" s="22"/>
      <c r="K874" s="16"/>
      <c r="L874" s="16"/>
      <c r="M874" s="9"/>
      <c r="S874" s="16"/>
    </row>
    <row r="875" ht="15.75" customHeight="1">
      <c r="B875" s="177"/>
      <c r="C875" s="14"/>
      <c r="D875" s="22"/>
      <c r="E875" s="22"/>
      <c r="K875" s="16"/>
      <c r="L875" s="16"/>
      <c r="M875" s="9"/>
      <c r="S875" s="16"/>
    </row>
    <row r="876" ht="15.75" customHeight="1">
      <c r="B876" s="177"/>
      <c r="C876" s="14"/>
      <c r="D876" s="22"/>
      <c r="E876" s="22"/>
      <c r="K876" s="16"/>
      <c r="L876" s="16"/>
      <c r="M876" s="9"/>
      <c r="S876" s="16"/>
    </row>
    <row r="877" ht="15.75" customHeight="1">
      <c r="B877" s="177"/>
      <c r="C877" s="14"/>
      <c r="D877" s="22"/>
      <c r="E877" s="22"/>
      <c r="K877" s="16"/>
      <c r="L877" s="16"/>
      <c r="M877" s="9"/>
      <c r="S877" s="16"/>
    </row>
    <row r="878" ht="15.75" customHeight="1">
      <c r="B878" s="177"/>
      <c r="C878" s="14"/>
      <c r="D878" s="22"/>
      <c r="E878" s="22"/>
      <c r="K878" s="16"/>
      <c r="L878" s="16"/>
      <c r="M878" s="9"/>
      <c r="S878" s="16"/>
    </row>
    <row r="879" ht="15.75" customHeight="1">
      <c r="B879" s="177"/>
      <c r="C879" s="14"/>
      <c r="D879" s="22"/>
      <c r="E879" s="22"/>
      <c r="K879" s="16"/>
      <c r="L879" s="16"/>
      <c r="M879" s="9"/>
      <c r="S879" s="16"/>
    </row>
    <row r="880" ht="15.75" customHeight="1">
      <c r="B880" s="177"/>
      <c r="C880" s="14"/>
      <c r="D880" s="22"/>
      <c r="E880" s="22"/>
      <c r="K880" s="16"/>
      <c r="L880" s="16"/>
      <c r="M880" s="9"/>
      <c r="S880" s="16"/>
    </row>
    <row r="881" ht="15.75" customHeight="1">
      <c r="B881" s="177"/>
      <c r="C881" s="14"/>
      <c r="D881" s="22"/>
      <c r="E881" s="22"/>
      <c r="K881" s="16"/>
      <c r="L881" s="16"/>
      <c r="M881" s="9"/>
      <c r="S881" s="16"/>
    </row>
    <row r="882" ht="15.75" customHeight="1">
      <c r="B882" s="177"/>
      <c r="C882" s="14"/>
      <c r="D882" s="22"/>
      <c r="E882" s="22"/>
      <c r="K882" s="16"/>
      <c r="L882" s="16"/>
      <c r="M882" s="9"/>
      <c r="S882" s="16"/>
    </row>
    <row r="883" ht="15.75" customHeight="1">
      <c r="B883" s="177"/>
      <c r="C883" s="14"/>
      <c r="D883" s="22"/>
      <c r="E883" s="22"/>
      <c r="K883" s="16"/>
      <c r="L883" s="16"/>
      <c r="M883" s="9"/>
      <c r="S883" s="16"/>
    </row>
    <row r="884" ht="15.75" customHeight="1">
      <c r="B884" s="177"/>
      <c r="C884" s="14"/>
      <c r="D884" s="22"/>
      <c r="E884" s="22"/>
      <c r="K884" s="16"/>
      <c r="L884" s="16"/>
      <c r="M884" s="9"/>
      <c r="S884" s="16"/>
    </row>
    <row r="885" ht="15.75" customHeight="1">
      <c r="B885" s="177"/>
      <c r="C885" s="14"/>
      <c r="D885" s="22"/>
      <c r="E885" s="22"/>
      <c r="K885" s="16"/>
      <c r="L885" s="16"/>
      <c r="M885" s="9"/>
      <c r="S885" s="16"/>
    </row>
    <row r="886" ht="15.75" customHeight="1">
      <c r="B886" s="177"/>
      <c r="C886" s="14"/>
      <c r="D886" s="22"/>
      <c r="E886" s="22"/>
      <c r="K886" s="16"/>
      <c r="L886" s="16"/>
      <c r="M886" s="9"/>
      <c r="S886" s="16"/>
    </row>
    <row r="887" ht="15.75" customHeight="1">
      <c r="B887" s="177"/>
      <c r="C887" s="14"/>
      <c r="D887" s="22"/>
      <c r="E887" s="22"/>
      <c r="K887" s="16"/>
      <c r="L887" s="16"/>
      <c r="M887" s="9"/>
      <c r="S887" s="16"/>
    </row>
    <row r="888" ht="15.75" customHeight="1">
      <c r="B888" s="177"/>
      <c r="C888" s="14"/>
      <c r="D888" s="22"/>
      <c r="E888" s="22"/>
      <c r="K888" s="16"/>
      <c r="L888" s="16"/>
      <c r="M888" s="9"/>
      <c r="S888" s="16"/>
    </row>
    <row r="889" ht="15.75" customHeight="1">
      <c r="B889" s="177"/>
      <c r="C889" s="14"/>
      <c r="D889" s="22"/>
      <c r="E889" s="22"/>
      <c r="K889" s="16"/>
      <c r="L889" s="16"/>
      <c r="M889" s="9"/>
      <c r="S889" s="16"/>
    </row>
    <row r="890" ht="15.75" customHeight="1">
      <c r="B890" s="177"/>
      <c r="C890" s="14"/>
      <c r="D890" s="22"/>
      <c r="E890" s="22"/>
      <c r="K890" s="16"/>
      <c r="L890" s="16"/>
      <c r="M890" s="9"/>
      <c r="S890" s="16"/>
    </row>
    <row r="891" ht="15.75" customHeight="1">
      <c r="B891" s="177"/>
      <c r="C891" s="14"/>
      <c r="D891" s="22"/>
      <c r="E891" s="22"/>
      <c r="K891" s="16"/>
      <c r="L891" s="16"/>
      <c r="M891" s="9"/>
      <c r="S891" s="16"/>
    </row>
    <row r="892" ht="15.75" customHeight="1">
      <c r="B892" s="177"/>
      <c r="C892" s="14"/>
      <c r="D892" s="22"/>
      <c r="E892" s="22"/>
      <c r="K892" s="16"/>
      <c r="L892" s="16"/>
      <c r="M892" s="9"/>
      <c r="S892" s="16"/>
    </row>
    <row r="893" ht="15.75" customHeight="1">
      <c r="B893" s="177"/>
      <c r="C893" s="14"/>
      <c r="D893" s="22"/>
      <c r="E893" s="22"/>
      <c r="K893" s="16"/>
      <c r="L893" s="16"/>
      <c r="M893" s="9"/>
      <c r="S893" s="16"/>
    </row>
    <row r="894" ht="15.75" customHeight="1">
      <c r="B894" s="177"/>
      <c r="C894" s="14"/>
      <c r="D894" s="22"/>
      <c r="E894" s="22"/>
      <c r="K894" s="16"/>
      <c r="L894" s="16"/>
      <c r="M894" s="9"/>
      <c r="S894" s="16"/>
    </row>
    <row r="895" ht="15.75" customHeight="1">
      <c r="B895" s="177"/>
      <c r="C895" s="14"/>
      <c r="D895" s="22"/>
      <c r="E895" s="22"/>
      <c r="K895" s="16"/>
      <c r="L895" s="16"/>
      <c r="M895" s="9"/>
      <c r="S895" s="16"/>
    </row>
    <row r="896" ht="15.75" customHeight="1">
      <c r="B896" s="177"/>
      <c r="C896" s="14"/>
      <c r="D896" s="22"/>
      <c r="E896" s="22"/>
      <c r="K896" s="16"/>
      <c r="L896" s="16"/>
      <c r="M896" s="9"/>
      <c r="S896" s="16"/>
    </row>
    <row r="897" ht="15.75" customHeight="1">
      <c r="B897" s="177"/>
      <c r="C897" s="14"/>
      <c r="D897" s="22"/>
      <c r="E897" s="22"/>
      <c r="K897" s="16"/>
      <c r="L897" s="16"/>
      <c r="M897" s="9"/>
      <c r="S897" s="16"/>
    </row>
    <row r="898" ht="15.75" customHeight="1">
      <c r="B898" s="177"/>
      <c r="C898" s="14"/>
      <c r="D898" s="22"/>
      <c r="E898" s="22"/>
      <c r="K898" s="16"/>
      <c r="L898" s="16"/>
      <c r="M898" s="9"/>
      <c r="S898" s="16"/>
    </row>
    <row r="899" ht="15.75" customHeight="1">
      <c r="B899" s="177"/>
      <c r="C899" s="14"/>
      <c r="D899" s="22"/>
      <c r="E899" s="22"/>
      <c r="K899" s="16"/>
      <c r="L899" s="16"/>
      <c r="M899" s="9"/>
      <c r="S899" s="16"/>
    </row>
    <row r="900" ht="15.75" customHeight="1">
      <c r="B900" s="177"/>
      <c r="C900" s="14"/>
      <c r="D900" s="22"/>
      <c r="E900" s="22"/>
      <c r="K900" s="16"/>
      <c r="L900" s="16"/>
      <c r="M900" s="9"/>
      <c r="S900" s="16"/>
    </row>
    <row r="901" ht="15.75" customHeight="1">
      <c r="B901" s="177"/>
      <c r="C901" s="14"/>
      <c r="D901" s="22"/>
      <c r="E901" s="22"/>
      <c r="K901" s="16"/>
      <c r="L901" s="16"/>
      <c r="M901" s="9"/>
      <c r="S901" s="16"/>
    </row>
    <row r="902" ht="15.75" customHeight="1">
      <c r="B902" s="177"/>
      <c r="C902" s="14"/>
      <c r="D902" s="22"/>
      <c r="E902" s="22"/>
      <c r="K902" s="16"/>
      <c r="L902" s="16"/>
      <c r="M902" s="9"/>
      <c r="S902" s="16"/>
    </row>
    <row r="903" ht="15.75" customHeight="1">
      <c r="B903" s="177"/>
      <c r="C903" s="14"/>
      <c r="D903" s="22"/>
      <c r="E903" s="22"/>
      <c r="K903" s="16"/>
      <c r="L903" s="16"/>
      <c r="M903" s="9"/>
      <c r="S903" s="16"/>
    </row>
    <row r="904" ht="15.75" customHeight="1">
      <c r="B904" s="177"/>
      <c r="C904" s="14"/>
      <c r="D904" s="22"/>
      <c r="E904" s="22"/>
      <c r="K904" s="16"/>
      <c r="L904" s="16"/>
      <c r="M904" s="9"/>
      <c r="S904" s="16"/>
    </row>
    <row r="905" ht="15.75" customHeight="1">
      <c r="B905" s="177"/>
      <c r="C905" s="14"/>
      <c r="D905" s="22"/>
      <c r="E905" s="22"/>
      <c r="K905" s="16"/>
      <c r="L905" s="16"/>
      <c r="M905" s="9"/>
      <c r="S905" s="16"/>
    </row>
    <row r="906" ht="15.75" customHeight="1">
      <c r="B906" s="177"/>
      <c r="C906" s="14"/>
      <c r="D906" s="22"/>
      <c r="E906" s="22"/>
      <c r="K906" s="16"/>
      <c r="L906" s="16"/>
      <c r="M906" s="9"/>
      <c r="S906" s="16"/>
    </row>
    <row r="907" ht="15.75" customHeight="1">
      <c r="B907" s="177"/>
      <c r="C907" s="14"/>
      <c r="D907" s="22"/>
      <c r="E907" s="22"/>
      <c r="K907" s="16"/>
      <c r="L907" s="16"/>
      <c r="M907" s="9"/>
      <c r="S907" s="16"/>
    </row>
    <row r="908" ht="15.75" customHeight="1">
      <c r="B908" s="177"/>
      <c r="C908" s="14"/>
      <c r="D908" s="22"/>
      <c r="E908" s="22"/>
      <c r="K908" s="16"/>
      <c r="L908" s="16"/>
      <c r="M908" s="9"/>
      <c r="S908" s="16"/>
    </row>
    <row r="909" ht="15.75" customHeight="1">
      <c r="B909" s="177"/>
      <c r="C909" s="14"/>
      <c r="D909" s="22"/>
      <c r="E909" s="22"/>
      <c r="K909" s="16"/>
      <c r="L909" s="16"/>
      <c r="M909" s="9"/>
      <c r="S909" s="16"/>
    </row>
    <row r="910" ht="15.75" customHeight="1">
      <c r="B910" s="177"/>
      <c r="C910" s="14"/>
      <c r="D910" s="22"/>
      <c r="E910" s="22"/>
      <c r="K910" s="16"/>
      <c r="L910" s="16"/>
      <c r="M910" s="9"/>
      <c r="S910" s="16"/>
    </row>
    <row r="911" ht="15.75" customHeight="1">
      <c r="B911" s="177"/>
      <c r="C911" s="14"/>
      <c r="D911" s="22"/>
      <c r="E911" s="22"/>
      <c r="K911" s="16"/>
      <c r="L911" s="16"/>
      <c r="M911" s="9"/>
      <c r="S911" s="16"/>
    </row>
    <row r="912" ht="15.75" customHeight="1">
      <c r="B912" s="177"/>
      <c r="C912" s="14"/>
      <c r="D912" s="22"/>
      <c r="E912" s="22"/>
      <c r="K912" s="16"/>
      <c r="L912" s="16"/>
      <c r="M912" s="9"/>
      <c r="S912" s="16"/>
    </row>
    <row r="913" ht="15.75" customHeight="1">
      <c r="B913" s="177"/>
      <c r="C913" s="14"/>
      <c r="D913" s="22"/>
      <c r="E913" s="22"/>
      <c r="K913" s="16"/>
      <c r="L913" s="16"/>
      <c r="M913" s="9"/>
      <c r="S913" s="16"/>
    </row>
    <row r="914" ht="15.75" customHeight="1">
      <c r="B914" s="177"/>
      <c r="C914" s="14"/>
      <c r="D914" s="22"/>
      <c r="E914" s="22"/>
      <c r="K914" s="16"/>
      <c r="L914" s="16"/>
      <c r="M914" s="9"/>
      <c r="S914" s="16"/>
    </row>
    <row r="915" ht="15.75" customHeight="1">
      <c r="B915" s="177"/>
      <c r="C915" s="14"/>
      <c r="D915" s="22"/>
      <c r="E915" s="22"/>
      <c r="K915" s="16"/>
      <c r="L915" s="16"/>
      <c r="M915" s="9"/>
      <c r="S915" s="16"/>
    </row>
    <row r="916" ht="15.75" customHeight="1">
      <c r="B916" s="177"/>
      <c r="C916" s="14"/>
      <c r="D916" s="22"/>
      <c r="E916" s="22"/>
      <c r="K916" s="16"/>
      <c r="L916" s="16"/>
      <c r="M916" s="9"/>
      <c r="S916" s="16"/>
    </row>
    <row r="917" ht="15.75" customHeight="1">
      <c r="B917" s="177"/>
      <c r="C917" s="14"/>
      <c r="D917" s="22"/>
      <c r="E917" s="22"/>
      <c r="K917" s="16"/>
      <c r="L917" s="16"/>
      <c r="M917" s="9"/>
      <c r="S917" s="16"/>
    </row>
    <row r="918" ht="15.75" customHeight="1">
      <c r="B918" s="177"/>
      <c r="C918" s="14"/>
      <c r="D918" s="22"/>
      <c r="E918" s="22"/>
      <c r="K918" s="16"/>
      <c r="L918" s="16"/>
      <c r="M918" s="9"/>
      <c r="S918" s="16"/>
    </row>
    <row r="919" ht="15.75" customHeight="1">
      <c r="B919" s="177"/>
      <c r="C919" s="14"/>
      <c r="D919" s="22"/>
      <c r="E919" s="22"/>
      <c r="K919" s="16"/>
      <c r="L919" s="16"/>
      <c r="M919" s="9"/>
      <c r="S919" s="16"/>
    </row>
    <row r="920" ht="15.75" customHeight="1">
      <c r="B920" s="177"/>
      <c r="C920" s="14"/>
      <c r="D920" s="22"/>
      <c r="E920" s="22"/>
      <c r="K920" s="16"/>
      <c r="L920" s="16"/>
      <c r="M920" s="9"/>
      <c r="S920" s="16"/>
    </row>
    <row r="921" ht="15.75" customHeight="1">
      <c r="B921" s="177"/>
      <c r="C921" s="14"/>
      <c r="D921" s="22"/>
      <c r="E921" s="22"/>
      <c r="K921" s="16"/>
      <c r="L921" s="16"/>
      <c r="M921" s="9"/>
      <c r="S921" s="16"/>
    </row>
    <row r="922" ht="15.75" customHeight="1">
      <c r="B922" s="177"/>
      <c r="C922" s="14"/>
      <c r="D922" s="22"/>
      <c r="E922" s="22"/>
      <c r="K922" s="16"/>
      <c r="L922" s="16"/>
      <c r="M922" s="9"/>
      <c r="S922" s="16"/>
    </row>
    <row r="923" ht="15.75" customHeight="1">
      <c r="B923" s="177"/>
      <c r="C923" s="14"/>
      <c r="D923" s="22"/>
      <c r="E923" s="22"/>
      <c r="K923" s="16"/>
      <c r="L923" s="16"/>
      <c r="M923" s="9"/>
      <c r="S923" s="16"/>
    </row>
    <row r="924" ht="15.75" customHeight="1">
      <c r="B924" s="177"/>
      <c r="C924" s="14"/>
      <c r="D924" s="22"/>
      <c r="E924" s="22"/>
      <c r="K924" s="16"/>
      <c r="L924" s="16"/>
      <c r="M924" s="9"/>
      <c r="S924" s="16"/>
    </row>
    <row r="925" ht="15.75" customHeight="1">
      <c r="B925" s="177"/>
      <c r="C925" s="14"/>
      <c r="D925" s="22"/>
      <c r="E925" s="22"/>
      <c r="K925" s="16"/>
      <c r="L925" s="16"/>
      <c r="M925" s="9"/>
      <c r="S925" s="16"/>
    </row>
    <row r="926" ht="15.75" customHeight="1">
      <c r="B926" s="177"/>
      <c r="C926" s="14"/>
      <c r="D926" s="22"/>
      <c r="E926" s="22"/>
      <c r="K926" s="16"/>
      <c r="L926" s="16"/>
      <c r="M926" s="9"/>
      <c r="S926" s="16"/>
    </row>
    <row r="927" ht="15.75" customHeight="1">
      <c r="B927" s="177"/>
      <c r="C927" s="14"/>
      <c r="D927" s="22"/>
      <c r="E927" s="22"/>
      <c r="K927" s="16"/>
      <c r="L927" s="16"/>
      <c r="M927" s="9"/>
      <c r="S927" s="16"/>
    </row>
    <row r="928" ht="15.75" customHeight="1">
      <c r="B928" s="177"/>
      <c r="C928" s="14"/>
      <c r="D928" s="22"/>
      <c r="E928" s="22"/>
      <c r="K928" s="16"/>
      <c r="L928" s="16"/>
      <c r="M928" s="9"/>
      <c r="S928" s="16"/>
    </row>
    <row r="929" ht="15.75" customHeight="1">
      <c r="B929" s="177"/>
      <c r="C929" s="14"/>
      <c r="D929" s="22"/>
      <c r="E929" s="22"/>
      <c r="K929" s="16"/>
      <c r="L929" s="16"/>
      <c r="M929" s="9"/>
      <c r="S929" s="16"/>
    </row>
    <row r="930" ht="15.75" customHeight="1">
      <c r="B930" s="177"/>
      <c r="C930" s="14"/>
      <c r="D930" s="22"/>
      <c r="E930" s="22"/>
      <c r="K930" s="16"/>
      <c r="L930" s="16"/>
      <c r="M930" s="9"/>
      <c r="S930" s="16"/>
    </row>
    <row r="931" ht="15.75" customHeight="1">
      <c r="B931" s="177"/>
      <c r="C931" s="14"/>
      <c r="D931" s="22"/>
      <c r="E931" s="22"/>
      <c r="K931" s="16"/>
      <c r="L931" s="16"/>
      <c r="M931" s="9"/>
      <c r="S931" s="16"/>
    </row>
    <row r="932" ht="15.75" customHeight="1">
      <c r="B932" s="177"/>
      <c r="C932" s="14"/>
      <c r="D932" s="22"/>
      <c r="E932" s="22"/>
      <c r="K932" s="16"/>
      <c r="L932" s="16"/>
      <c r="M932" s="9"/>
      <c r="S932" s="16"/>
    </row>
    <row r="933" ht="15.75" customHeight="1">
      <c r="B933" s="177"/>
      <c r="C933" s="14"/>
      <c r="D933" s="22"/>
      <c r="E933" s="22"/>
      <c r="K933" s="16"/>
      <c r="L933" s="16"/>
      <c r="M933" s="9"/>
      <c r="S933" s="16"/>
    </row>
    <row r="934" ht="15.75" customHeight="1">
      <c r="B934" s="177"/>
      <c r="C934" s="14"/>
      <c r="D934" s="22"/>
      <c r="E934" s="22"/>
      <c r="K934" s="16"/>
      <c r="L934" s="16"/>
      <c r="M934" s="9"/>
      <c r="S934" s="16"/>
    </row>
    <row r="935" ht="15.75" customHeight="1">
      <c r="B935" s="177"/>
      <c r="C935" s="14"/>
      <c r="D935" s="22"/>
      <c r="E935" s="22"/>
      <c r="K935" s="16"/>
      <c r="L935" s="16"/>
      <c r="M935" s="9"/>
      <c r="S935" s="16"/>
    </row>
    <row r="936" ht="15.75" customHeight="1">
      <c r="B936" s="177"/>
      <c r="C936" s="14"/>
      <c r="D936" s="22"/>
      <c r="E936" s="22"/>
      <c r="K936" s="16"/>
      <c r="L936" s="16"/>
      <c r="M936" s="9"/>
      <c r="S936" s="16"/>
    </row>
    <row r="937" ht="15.75" customHeight="1">
      <c r="B937" s="177"/>
      <c r="C937" s="14"/>
      <c r="D937" s="22"/>
      <c r="E937" s="22"/>
      <c r="K937" s="16"/>
      <c r="L937" s="16"/>
      <c r="M937" s="9"/>
      <c r="S937" s="16"/>
    </row>
    <row r="938" ht="15.75" customHeight="1">
      <c r="B938" s="177"/>
      <c r="C938" s="14"/>
      <c r="D938" s="22"/>
      <c r="E938" s="22"/>
      <c r="K938" s="16"/>
      <c r="L938" s="16"/>
      <c r="M938" s="9"/>
      <c r="S938" s="16"/>
    </row>
    <row r="939" ht="15.75" customHeight="1">
      <c r="B939" s="177"/>
      <c r="C939" s="14"/>
      <c r="D939" s="22"/>
      <c r="E939" s="22"/>
      <c r="K939" s="16"/>
      <c r="L939" s="16"/>
      <c r="M939" s="9"/>
      <c r="S939" s="16"/>
    </row>
    <row r="940" ht="15.75" customHeight="1">
      <c r="B940" s="177"/>
      <c r="C940" s="14"/>
      <c r="D940" s="22"/>
      <c r="E940" s="22"/>
      <c r="K940" s="16"/>
      <c r="L940" s="16"/>
      <c r="M940" s="9"/>
      <c r="S940" s="16"/>
    </row>
    <row r="941" ht="15.75" customHeight="1">
      <c r="B941" s="177"/>
      <c r="C941" s="14"/>
      <c r="D941" s="22"/>
      <c r="E941" s="22"/>
      <c r="K941" s="16"/>
      <c r="L941" s="16"/>
      <c r="M941" s="9"/>
      <c r="S941" s="16"/>
    </row>
    <row r="942" ht="15.75" customHeight="1">
      <c r="B942" s="177"/>
      <c r="C942" s="14"/>
      <c r="D942" s="22"/>
      <c r="E942" s="22"/>
      <c r="K942" s="16"/>
      <c r="L942" s="16"/>
      <c r="M942" s="9"/>
      <c r="S942" s="16"/>
    </row>
    <row r="943" ht="15.75" customHeight="1">
      <c r="B943" s="177"/>
      <c r="C943" s="14"/>
      <c r="D943" s="22"/>
      <c r="E943" s="22"/>
      <c r="K943" s="16"/>
      <c r="L943" s="16"/>
      <c r="M943" s="9"/>
      <c r="S943" s="16"/>
    </row>
    <row r="944" ht="15.75" customHeight="1">
      <c r="B944" s="177"/>
      <c r="C944" s="14"/>
      <c r="D944" s="22"/>
      <c r="E944" s="22"/>
      <c r="K944" s="16"/>
      <c r="L944" s="16"/>
      <c r="M944" s="9"/>
      <c r="S944" s="16"/>
    </row>
    <row r="945" ht="15.75" customHeight="1">
      <c r="B945" s="177"/>
      <c r="C945" s="14"/>
      <c r="D945" s="22"/>
      <c r="E945" s="22"/>
      <c r="K945" s="16"/>
      <c r="L945" s="16"/>
      <c r="M945" s="9"/>
      <c r="S945" s="16"/>
    </row>
    <row r="946" ht="15.75" customHeight="1">
      <c r="B946" s="177"/>
      <c r="C946" s="14"/>
      <c r="D946" s="22"/>
      <c r="E946" s="22"/>
      <c r="K946" s="16"/>
      <c r="L946" s="16"/>
      <c r="M946" s="9"/>
      <c r="S946" s="16"/>
    </row>
    <row r="947" ht="15.75" customHeight="1">
      <c r="B947" s="177"/>
      <c r="C947" s="14"/>
      <c r="D947" s="22"/>
      <c r="E947" s="22"/>
      <c r="K947" s="16"/>
      <c r="L947" s="16"/>
      <c r="M947" s="9"/>
      <c r="S947" s="16"/>
    </row>
    <row r="948" ht="15.75" customHeight="1">
      <c r="B948" s="177"/>
      <c r="C948" s="14"/>
      <c r="D948" s="22"/>
      <c r="E948" s="22"/>
      <c r="K948" s="16"/>
      <c r="L948" s="16"/>
      <c r="M948" s="9"/>
      <c r="S948" s="16"/>
    </row>
    <row r="949" ht="15.75" customHeight="1">
      <c r="B949" s="177"/>
      <c r="C949" s="14"/>
      <c r="D949" s="22"/>
      <c r="E949" s="22"/>
      <c r="K949" s="16"/>
      <c r="L949" s="16"/>
      <c r="M949" s="9"/>
      <c r="S949" s="16"/>
    </row>
    <row r="950" ht="15.75" customHeight="1">
      <c r="B950" s="177"/>
      <c r="C950" s="14"/>
      <c r="D950" s="22"/>
      <c r="E950" s="22"/>
      <c r="K950" s="16"/>
      <c r="L950" s="16"/>
      <c r="M950" s="9"/>
      <c r="S950" s="16"/>
    </row>
    <row r="951" ht="15.75" customHeight="1">
      <c r="B951" s="177"/>
      <c r="C951" s="14"/>
      <c r="D951" s="22"/>
      <c r="E951" s="22"/>
      <c r="K951" s="16"/>
      <c r="L951" s="16"/>
      <c r="M951" s="9"/>
      <c r="S951" s="16"/>
    </row>
    <row r="952" ht="15.75" customHeight="1">
      <c r="B952" s="177"/>
      <c r="C952" s="14"/>
      <c r="D952" s="22"/>
      <c r="E952" s="22"/>
      <c r="K952" s="16"/>
      <c r="L952" s="16"/>
      <c r="M952" s="9"/>
      <c r="S952" s="16"/>
    </row>
    <row r="953" ht="15.75" customHeight="1">
      <c r="B953" s="177"/>
      <c r="C953" s="14"/>
      <c r="D953" s="22"/>
      <c r="E953" s="22"/>
      <c r="K953" s="16"/>
      <c r="L953" s="16"/>
      <c r="M953" s="9"/>
      <c r="S953" s="16"/>
    </row>
    <row r="954" ht="15.75" customHeight="1">
      <c r="B954" s="177"/>
      <c r="C954" s="14"/>
      <c r="D954" s="22"/>
      <c r="E954" s="22"/>
      <c r="K954" s="16"/>
      <c r="L954" s="16"/>
      <c r="M954" s="9"/>
      <c r="S954" s="16"/>
    </row>
    <row r="955" ht="15.75" customHeight="1">
      <c r="B955" s="177"/>
      <c r="C955" s="14"/>
      <c r="D955" s="22"/>
      <c r="E955" s="22"/>
      <c r="K955" s="16"/>
      <c r="L955" s="16"/>
      <c r="M955" s="9"/>
      <c r="S955" s="16"/>
    </row>
    <row r="956" ht="15.75" customHeight="1">
      <c r="B956" s="177"/>
      <c r="C956" s="14"/>
      <c r="D956" s="22"/>
      <c r="E956" s="22"/>
      <c r="K956" s="16"/>
      <c r="L956" s="16"/>
      <c r="M956" s="9"/>
      <c r="S956" s="16"/>
    </row>
    <row r="957" ht="15.75" customHeight="1">
      <c r="B957" s="177"/>
      <c r="C957" s="14"/>
      <c r="D957" s="22"/>
      <c r="E957" s="22"/>
      <c r="K957" s="16"/>
      <c r="L957" s="16"/>
      <c r="M957" s="9"/>
      <c r="S957" s="16"/>
    </row>
    <row r="958" ht="15.75" customHeight="1">
      <c r="B958" s="177"/>
      <c r="C958" s="14"/>
      <c r="D958" s="22"/>
      <c r="E958" s="22"/>
      <c r="K958" s="16"/>
      <c r="L958" s="16"/>
      <c r="M958" s="9"/>
      <c r="S958" s="16"/>
    </row>
    <row r="959" ht="15.75" customHeight="1">
      <c r="B959" s="177"/>
      <c r="C959" s="14"/>
      <c r="D959" s="22"/>
      <c r="E959" s="22"/>
      <c r="K959" s="16"/>
      <c r="L959" s="16"/>
      <c r="M959" s="9"/>
      <c r="S959" s="16"/>
    </row>
    <row r="960" ht="15.75" customHeight="1">
      <c r="B960" s="177"/>
      <c r="C960" s="14"/>
      <c r="D960" s="22"/>
      <c r="E960" s="22"/>
      <c r="K960" s="16"/>
      <c r="L960" s="16"/>
      <c r="M960" s="9"/>
      <c r="S960" s="16"/>
    </row>
    <row r="961" ht="15.75" customHeight="1">
      <c r="B961" s="177"/>
      <c r="C961" s="14"/>
      <c r="D961" s="22"/>
      <c r="E961" s="22"/>
      <c r="K961" s="16"/>
      <c r="L961" s="16"/>
      <c r="M961" s="9"/>
      <c r="S961" s="16"/>
    </row>
    <row r="962" ht="15.75" customHeight="1">
      <c r="B962" s="177"/>
      <c r="C962" s="14"/>
      <c r="D962" s="22"/>
      <c r="E962" s="22"/>
      <c r="K962" s="16"/>
      <c r="L962" s="16"/>
      <c r="M962" s="9"/>
      <c r="S962" s="16"/>
    </row>
    <row r="963" ht="15.75" customHeight="1">
      <c r="B963" s="177"/>
      <c r="C963" s="14"/>
      <c r="D963" s="22"/>
      <c r="E963" s="22"/>
      <c r="K963" s="16"/>
      <c r="L963" s="16"/>
      <c r="M963" s="9"/>
      <c r="S963" s="16"/>
    </row>
    <row r="964" ht="15.75" customHeight="1">
      <c r="B964" s="177"/>
      <c r="C964" s="14"/>
      <c r="D964" s="22"/>
      <c r="E964" s="22"/>
      <c r="K964" s="16"/>
      <c r="L964" s="16"/>
      <c r="M964" s="9"/>
      <c r="S964" s="16"/>
    </row>
    <row r="965" ht="15.75" customHeight="1">
      <c r="B965" s="177"/>
      <c r="C965" s="14"/>
      <c r="D965" s="22"/>
      <c r="E965" s="22"/>
      <c r="K965" s="16"/>
      <c r="L965" s="16"/>
      <c r="M965" s="9"/>
      <c r="S965" s="16"/>
    </row>
    <row r="966" ht="15.75" customHeight="1">
      <c r="B966" s="177"/>
      <c r="C966" s="14"/>
      <c r="D966" s="22"/>
      <c r="E966" s="22"/>
      <c r="K966" s="16"/>
      <c r="L966" s="16"/>
      <c r="M966" s="9"/>
      <c r="S966" s="16"/>
    </row>
    <row r="967" ht="15.75" customHeight="1">
      <c r="B967" s="177"/>
      <c r="C967" s="14"/>
      <c r="D967" s="22"/>
      <c r="E967" s="22"/>
      <c r="K967" s="16"/>
      <c r="L967" s="16"/>
      <c r="M967" s="9"/>
      <c r="S967" s="16"/>
    </row>
    <row r="968" ht="15.75" customHeight="1">
      <c r="B968" s="177"/>
      <c r="C968" s="14"/>
      <c r="D968" s="22"/>
      <c r="E968" s="22"/>
      <c r="K968" s="16"/>
      <c r="L968" s="16"/>
      <c r="M968" s="9"/>
      <c r="S968" s="16"/>
    </row>
    <row r="969" ht="15.75" customHeight="1">
      <c r="B969" s="177"/>
      <c r="C969" s="14"/>
      <c r="D969" s="22"/>
      <c r="E969" s="22"/>
      <c r="K969" s="16"/>
      <c r="L969" s="16"/>
      <c r="M969" s="9"/>
      <c r="S969" s="16"/>
    </row>
    <row r="970" ht="15.75" customHeight="1">
      <c r="B970" s="177"/>
      <c r="C970" s="14"/>
      <c r="D970" s="22"/>
      <c r="E970" s="22"/>
      <c r="K970" s="16"/>
      <c r="L970" s="16"/>
      <c r="M970" s="9"/>
      <c r="S970" s="16"/>
    </row>
    <row r="971" ht="15.75" customHeight="1">
      <c r="B971" s="177"/>
      <c r="C971" s="14"/>
      <c r="D971" s="22"/>
      <c r="E971" s="22"/>
      <c r="K971" s="16"/>
      <c r="L971" s="16"/>
      <c r="M971" s="9"/>
      <c r="S971" s="16"/>
    </row>
    <row r="972" ht="15.75" customHeight="1">
      <c r="B972" s="177"/>
      <c r="C972" s="14"/>
      <c r="D972" s="22"/>
      <c r="E972" s="22"/>
      <c r="K972" s="16"/>
      <c r="L972" s="16"/>
      <c r="M972" s="9"/>
      <c r="S972" s="16"/>
    </row>
    <row r="973" ht="15.75" customHeight="1">
      <c r="B973" s="177"/>
      <c r="C973" s="14"/>
      <c r="D973" s="22"/>
      <c r="E973" s="22"/>
      <c r="K973" s="16"/>
      <c r="L973" s="16"/>
      <c r="M973" s="9"/>
      <c r="S973" s="16"/>
    </row>
    <row r="974" ht="15.75" customHeight="1">
      <c r="B974" s="177"/>
      <c r="C974" s="14"/>
      <c r="D974" s="22"/>
      <c r="E974" s="22"/>
      <c r="K974" s="16"/>
      <c r="L974" s="16"/>
      <c r="M974" s="9"/>
      <c r="S974" s="16"/>
    </row>
    <row r="975" ht="15.75" customHeight="1">
      <c r="B975" s="177"/>
      <c r="C975" s="14"/>
      <c r="D975" s="22"/>
      <c r="E975" s="22"/>
      <c r="K975" s="16"/>
      <c r="L975" s="16"/>
      <c r="M975" s="9"/>
      <c r="S975" s="16"/>
    </row>
    <row r="976" ht="15.75" customHeight="1">
      <c r="B976" s="177"/>
      <c r="C976" s="14"/>
      <c r="D976" s="22"/>
      <c r="E976" s="22"/>
      <c r="K976" s="16"/>
      <c r="L976" s="16"/>
      <c r="M976" s="9"/>
      <c r="S976" s="16"/>
    </row>
    <row r="977" ht="15.75" customHeight="1">
      <c r="B977" s="177"/>
      <c r="C977" s="14"/>
      <c r="D977" s="22"/>
      <c r="E977" s="22"/>
      <c r="K977" s="16"/>
      <c r="L977" s="16"/>
      <c r="M977" s="9"/>
      <c r="S977" s="16"/>
    </row>
    <row r="978" ht="15.75" customHeight="1">
      <c r="B978" s="177"/>
      <c r="C978" s="14"/>
      <c r="D978" s="22"/>
      <c r="E978" s="22"/>
      <c r="K978" s="16"/>
      <c r="L978" s="16"/>
      <c r="M978" s="9"/>
      <c r="S978" s="16"/>
    </row>
    <row r="979" ht="15.75" customHeight="1">
      <c r="B979" s="177"/>
      <c r="C979" s="14"/>
      <c r="D979" s="22"/>
      <c r="E979" s="22"/>
      <c r="K979" s="16"/>
      <c r="L979" s="16"/>
      <c r="M979" s="9"/>
      <c r="S979" s="16"/>
    </row>
    <row r="980" ht="15.75" customHeight="1">
      <c r="B980" s="177"/>
      <c r="C980" s="14"/>
      <c r="D980" s="22"/>
      <c r="E980" s="22"/>
      <c r="K980" s="16"/>
      <c r="L980" s="16"/>
      <c r="M980" s="9"/>
      <c r="S980" s="16"/>
    </row>
    <row r="981" ht="15.75" customHeight="1">
      <c r="B981" s="177"/>
      <c r="C981" s="14"/>
      <c r="D981" s="22"/>
      <c r="E981" s="22"/>
      <c r="K981" s="16"/>
      <c r="L981" s="16"/>
      <c r="M981" s="9"/>
      <c r="S981" s="16"/>
    </row>
    <row r="982" ht="15.75" customHeight="1">
      <c r="B982" s="177"/>
      <c r="C982" s="14"/>
      <c r="D982" s="22"/>
      <c r="E982" s="22"/>
      <c r="K982" s="16"/>
      <c r="L982" s="16"/>
      <c r="M982" s="9"/>
      <c r="S982" s="16"/>
    </row>
    <row r="983" ht="15.75" customHeight="1">
      <c r="B983" s="177"/>
      <c r="C983" s="14"/>
      <c r="D983" s="22"/>
      <c r="E983" s="22"/>
      <c r="K983" s="16"/>
      <c r="L983" s="16"/>
      <c r="M983" s="9"/>
      <c r="S983" s="16"/>
    </row>
    <row r="984" ht="15.75" customHeight="1">
      <c r="B984" s="177"/>
      <c r="C984" s="14"/>
      <c r="D984" s="22"/>
      <c r="E984" s="22"/>
      <c r="K984" s="16"/>
      <c r="L984" s="16"/>
      <c r="M984" s="9"/>
      <c r="S984" s="16"/>
    </row>
    <row r="985" ht="15.75" customHeight="1">
      <c r="B985" s="177"/>
      <c r="C985" s="14"/>
      <c r="D985" s="22"/>
      <c r="E985" s="22"/>
      <c r="K985" s="16"/>
      <c r="L985" s="16"/>
      <c r="M985" s="9"/>
      <c r="S985" s="16"/>
    </row>
    <row r="986" ht="15.75" customHeight="1">
      <c r="B986" s="177"/>
      <c r="C986" s="14"/>
      <c r="D986" s="22"/>
      <c r="E986" s="22"/>
      <c r="K986" s="16"/>
      <c r="L986" s="16"/>
      <c r="M986" s="9"/>
      <c r="S986" s="16"/>
    </row>
    <row r="987" ht="15.75" customHeight="1">
      <c r="B987" s="177"/>
      <c r="C987" s="14"/>
      <c r="D987" s="22"/>
      <c r="E987" s="22"/>
      <c r="K987" s="16"/>
      <c r="L987" s="16"/>
      <c r="M987" s="9"/>
      <c r="S987" s="16"/>
    </row>
    <row r="988" ht="15.75" customHeight="1">
      <c r="B988" s="177"/>
      <c r="C988" s="14"/>
      <c r="D988" s="22"/>
      <c r="E988" s="22"/>
      <c r="K988" s="16"/>
      <c r="L988" s="16"/>
      <c r="M988" s="9"/>
      <c r="S988" s="16"/>
    </row>
    <row r="989" ht="15.75" customHeight="1">
      <c r="B989" s="177"/>
      <c r="C989" s="14"/>
      <c r="D989" s="22"/>
      <c r="E989" s="22"/>
      <c r="K989" s="16"/>
      <c r="L989" s="16"/>
      <c r="M989" s="9"/>
      <c r="S989" s="16"/>
    </row>
  </sheetData>
  <autoFilter ref="$A$6:$U$361">
    <sortState ref="A6:U361">
      <sortCondition ref="D6:D361"/>
      <sortCondition ref="E6:E361"/>
      <sortCondition ref="C6:C361"/>
    </sortState>
  </autoFilter>
  <mergeCells count="1">
    <mergeCell ref="M5:W5"/>
  </mergeCells>
  <dataValidations>
    <dataValidation type="list" allowBlank="1" showErrorMessage="1" sqref="K7:K989">
      <formula1>'Pembagian Tugas'!$O$4:$O$7</formula1>
    </dataValidation>
    <dataValidation type="list" allowBlank="1" showErrorMessage="1" sqref="B7:B361">
      <formula1>'Pembagian Tugas'!$P$4:$P$6</formula1>
    </dataValidation>
    <dataValidation type="list" allowBlank="1" showErrorMessage="1" sqref="L77 L158 L165 L167 L175:L176 L180 L183:L184 L199:L200 L208">
      <formula1>'Pembagian Tugas'!$Q$4:$Q$101</formula1>
    </dataValidation>
    <dataValidation type="list" allowBlank="1" showErrorMessage="1" sqref="L7:L76 L78:L157 L159:L164 L166 L168:L174 L177:L179 L181:L182 L185:L198 L201:L207 L209:L989">
      <formula1>'Pembagian Tugas'!$Q$4:$Q$106</formula1>
    </dataValidation>
    <dataValidation type="list" allowBlank="1" showErrorMessage="1" sqref="B362:B989">
      <formula1>"I,II,III"</formula1>
    </dataValidation>
    <dataValidation type="list" allowBlank="1" showErrorMessage="1" sqref="M7:M989">
      <formula1>'Pembagian Tugas'!$R$4:$R$11</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3.14"/>
    <col customWidth="1" min="2" max="2" width="22.71"/>
    <col customWidth="1" min="3" max="5" width="8.86"/>
    <col customWidth="1" min="6" max="6" width="15.14"/>
    <col customWidth="1" min="7" max="16" width="8.86"/>
    <col customWidth="1" min="17" max="17" width="43.0"/>
    <col customWidth="1" min="18" max="26" width="8.86"/>
  </cols>
  <sheetData>
    <row r="1" ht="24.0" customHeight="1">
      <c r="A1" s="1" t="s">
        <v>0</v>
      </c>
    </row>
    <row r="2">
      <c r="O2" s="3" t="s">
        <v>3</v>
      </c>
      <c r="P2" s="5"/>
      <c r="Q2" s="5"/>
      <c r="R2" s="5"/>
    </row>
    <row r="3" ht="24.75" customHeight="1">
      <c r="A3" s="8" t="s">
        <v>4</v>
      </c>
      <c r="B3" s="8" t="s">
        <v>6</v>
      </c>
      <c r="E3" s="9"/>
      <c r="F3" s="9"/>
      <c r="G3" s="9"/>
      <c r="O3" s="5" t="s">
        <v>8</v>
      </c>
      <c r="P3" s="5" t="s">
        <v>9</v>
      </c>
      <c r="Q3" s="5" t="s">
        <v>10</v>
      </c>
      <c r="R3" s="5" t="s">
        <v>11</v>
      </c>
    </row>
    <row r="4" ht="18.0" customHeight="1">
      <c r="A4" s="12" t="s">
        <v>12</v>
      </c>
      <c r="B4" s="12" t="s">
        <v>14</v>
      </c>
      <c r="D4" s="14"/>
      <c r="E4" s="9"/>
      <c r="F4" s="16"/>
      <c r="G4" s="9"/>
      <c r="O4" s="5" t="s">
        <v>16</v>
      </c>
      <c r="P4" s="5" t="s">
        <v>17</v>
      </c>
      <c r="Q4" s="5" t="s">
        <v>18</v>
      </c>
      <c r="R4" s="5" t="s">
        <v>19</v>
      </c>
    </row>
    <row r="5" ht="18.0" customHeight="1">
      <c r="A5" s="20" t="s">
        <v>20</v>
      </c>
      <c r="B5" s="20" t="s">
        <v>14</v>
      </c>
      <c r="E5" s="9"/>
      <c r="F5" s="16"/>
      <c r="G5" s="9"/>
      <c r="O5" s="5" t="s">
        <v>21</v>
      </c>
      <c r="P5" s="5" t="s">
        <v>22</v>
      </c>
      <c r="Q5" s="5" t="s">
        <v>23</v>
      </c>
      <c r="R5" s="5" t="s">
        <v>24</v>
      </c>
    </row>
    <row r="6" ht="18.0" customHeight="1">
      <c r="A6" s="20" t="s">
        <v>25</v>
      </c>
      <c r="B6" s="20" t="s">
        <v>14</v>
      </c>
      <c r="E6" s="9"/>
      <c r="F6" s="16"/>
      <c r="G6" s="9"/>
      <c r="O6" s="5" t="s">
        <v>28</v>
      </c>
      <c r="P6" s="5" t="s">
        <v>29</v>
      </c>
      <c r="Q6" s="5" t="s">
        <v>30</v>
      </c>
      <c r="R6" s="5" t="s">
        <v>31</v>
      </c>
    </row>
    <row r="7" ht="18.0" customHeight="1">
      <c r="A7" s="20" t="s">
        <v>33</v>
      </c>
      <c r="B7" s="20" t="s">
        <v>14</v>
      </c>
      <c r="E7" s="9"/>
      <c r="F7" s="16"/>
      <c r="G7" s="9"/>
      <c r="O7" s="5" t="s">
        <v>34</v>
      </c>
      <c r="P7" s="5"/>
      <c r="Q7" s="5" t="s">
        <v>35</v>
      </c>
      <c r="R7" s="5" t="s">
        <v>36</v>
      </c>
    </row>
    <row r="8" ht="18.0" customHeight="1">
      <c r="A8" s="20" t="s">
        <v>37</v>
      </c>
      <c r="B8" s="20" t="s">
        <v>14</v>
      </c>
      <c r="E8" s="9"/>
      <c r="F8" s="16"/>
      <c r="G8" s="9"/>
      <c r="O8" s="5"/>
      <c r="P8" s="5"/>
      <c r="Q8" s="5" t="s">
        <v>39</v>
      </c>
      <c r="R8" s="5" t="s">
        <v>41</v>
      </c>
    </row>
    <row r="9" ht="18.0" customHeight="1">
      <c r="A9" s="20" t="s">
        <v>43</v>
      </c>
      <c r="B9" s="20" t="s">
        <v>14</v>
      </c>
      <c r="E9" s="9"/>
      <c r="F9" s="16"/>
      <c r="G9" s="9"/>
      <c r="O9" s="5"/>
      <c r="P9" s="5"/>
      <c r="Q9" s="5" t="s">
        <v>45</v>
      </c>
      <c r="R9" s="5" t="s">
        <v>46</v>
      </c>
    </row>
    <row r="10" ht="18.0" customHeight="1">
      <c r="A10" s="20" t="s">
        <v>47</v>
      </c>
      <c r="B10" s="20" t="s">
        <v>48</v>
      </c>
      <c r="D10" s="28"/>
      <c r="E10" s="9"/>
      <c r="F10" s="9"/>
      <c r="G10" s="9"/>
      <c r="O10" s="5"/>
      <c r="P10" s="5"/>
      <c r="Q10" s="5" t="s">
        <v>50</v>
      </c>
      <c r="R10" s="5" t="s">
        <v>51</v>
      </c>
    </row>
    <row r="11" ht="18.0" customHeight="1">
      <c r="A11" s="20" t="s">
        <v>52</v>
      </c>
      <c r="B11" s="20" t="s">
        <v>48</v>
      </c>
      <c r="O11" s="5"/>
      <c r="P11" s="5"/>
      <c r="Q11" s="5" t="s">
        <v>53</v>
      </c>
      <c r="R11" s="5" t="s">
        <v>54</v>
      </c>
    </row>
    <row r="12" ht="18.0" customHeight="1">
      <c r="A12" s="20" t="s">
        <v>56</v>
      </c>
      <c r="B12" s="20" t="s">
        <v>48</v>
      </c>
      <c r="O12" s="5"/>
      <c r="P12" s="5"/>
      <c r="Q12" s="5" t="s">
        <v>57</v>
      </c>
      <c r="R12" s="5"/>
    </row>
    <row r="13" ht="18.0" customHeight="1">
      <c r="A13" s="20" t="s">
        <v>58</v>
      </c>
      <c r="B13" s="20" t="s">
        <v>48</v>
      </c>
      <c r="O13" s="5"/>
      <c r="P13" s="5"/>
      <c r="Q13" s="5" t="s">
        <v>60</v>
      </c>
      <c r="R13" s="5"/>
    </row>
    <row r="14" ht="18.0" customHeight="1">
      <c r="A14" s="20" t="s">
        <v>61</v>
      </c>
      <c r="B14" s="20" t="s">
        <v>48</v>
      </c>
      <c r="O14" s="5"/>
      <c r="P14" s="5"/>
      <c r="Q14" s="5" t="s">
        <v>62</v>
      </c>
      <c r="R14" s="5"/>
    </row>
    <row r="15" ht="18.0" customHeight="1">
      <c r="A15" s="20" t="s">
        <v>64</v>
      </c>
      <c r="B15" s="20" t="s">
        <v>65</v>
      </c>
      <c r="D15" s="14"/>
      <c r="O15" s="5"/>
      <c r="P15" s="5"/>
      <c r="Q15" s="5" t="s">
        <v>67</v>
      </c>
      <c r="R15" s="5"/>
    </row>
    <row r="16" ht="18.0" customHeight="1">
      <c r="A16" s="20" t="s">
        <v>69</v>
      </c>
      <c r="B16" s="20" t="s">
        <v>65</v>
      </c>
      <c r="O16" s="5"/>
      <c r="P16" s="5"/>
      <c r="Q16" s="5" t="s">
        <v>70</v>
      </c>
      <c r="R16" s="5"/>
    </row>
    <row r="17" ht="18.0" customHeight="1">
      <c r="A17" s="20" t="s">
        <v>73</v>
      </c>
      <c r="B17" s="20" t="s">
        <v>65</v>
      </c>
      <c r="O17" s="5"/>
      <c r="P17" s="5"/>
      <c r="Q17" s="5" t="s">
        <v>79</v>
      </c>
      <c r="R17" s="5"/>
    </row>
    <row r="18" ht="18.0" customHeight="1">
      <c r="A18" s="20" t="s">
        <v>82</v>
      </c>
      <c r="B18" s="20" t="s">
        <v>65</v>
      </c>
      <c r="O18" s="5"/>
      <c r="P18" s="5"/>
      <c r="Q18" s="5" t="s">
        <v>86</v>
      </c>
      <c r="R18" s="5"/>
    </row>
    <row r="19" ht="18.0" customHeight="1">
      <c r="A19" s="20" t="s">
        <v>89</v>
      </c>
      <c r="B19" s="20" t="s">
        <v>65</v>
      </c>
      <c r="O19" s="5"/>
      <c r="P19" s="5"/>
      <c r="Q19" s="5" t="s">
        <v>95</v>
      </c>
      <c r="R19" s="5"/>
    </row>
    <row r="20" ht="18.0" customHeight="1">
      <c r="A20" s="20" t="s">
        <v>97</v>
      </c>
      <c r="B20" s="20" t="s">
        <v>101</v>
      </c>
      <c r="D20" s="28"/>
      <c r="O20" s="5"/>
      <c r="P20" s="5"/>
      <c r="Q20" s="5" t="s">
        <v>106</v>
      </c>
      <c r="R20" s="5"/>
    </row>
    <row r="21" ht="18.0" customHeight="1">
      <c r="A21" s="20" t="s">
        <v>109</v>
      </c>
      <c r="B21" s="20" t="s">
        <v>101</v>
      </c>
      <c r="O21" s="5"/>
      <c r="P21" s="5"/>
      <c r="Q21" s="5" t="s">
        <v>115</v>
      </c>
      <c r="R21" s="5"/>
    </row>
    <row r="22" ht="18.0" customHeight="1">
      <c r="A22" s="20" t="s">
        <v>116</v>
      </c>
      <c r="B22" s="20" t="s">
        <v>101</v>
      </c>
      <c r="O22" s="5"/>
      <c r="P22" s="5"/>
      <c r="Q22" s="5" t="s">
        <v>117</v>
      </c>
      <c r="R22" s="5"/>
    </row>
    <row r="23" ht="18.0" customHeight="1">
      <c r="A23" s="20" t="s">
        <v>118</v>
      </c>
      <c r="B23" s="20" t="s">
        <v>101</v>
      </c>
      <c r="O23" s="5"/>
      <c r="P23" s="5"/>
      <c r="Q23" s="5" t="s">
        <v>120</v>
      </c>
      <c r="R23" s="5"/>
    </row>
    <row r="24" ht="18.0" customHeight="1">
      <c r="A24" s="20" t="s">
        <v>121</v>
      </c>
      <c r="B24" s="20" t="s">
        <v>101</v>
      </c>
      <c r="O24" s="5"/>
      <c r="P24" s="5"/>
      <c r="Q24" s="5" t="s">
        <v>123</v>
      </c>
      <c r="R24" s="5"/>
    </row>
    <row r="25" ht="18.0" customHeight="1">
      <c r="A25" s="20" t="s">
        <v>124</v>
      </c>
      <c r="B25" s="20" t="s">
        <v>101</v>
      </c>
      <c r="O25" s="5"/>
      <c r="P25" s="5"/>
      <c r="Q25" s="5" t="s">
        <v>126</v>
      </c>
      <c r="R25" s="5"/>
    </row>
    <row r="26" ht="18.0" customHeight="1">
      <c r="A26" s="20" t="s">
        <v>128</v>
      </c>
      <c r="B26" s="20" t="s">
        <v>110</v>
      </c>
      <c r="D26" s="28"/>
      <c r="O26" s="5"/>
      <c r="P26" s="5"/>
      <c r="Q26" s="5" t="s">
        <v>130</v>
      </c>
      <c r="R26" s="5"/>
    </row>
    <row r="27" ht="18.0" customHeight="1">
      <c r="A27" s="20" t="s">
        <v>131</v>
      </c>
      <c r="B27" s="20" t="s">
        <v>110</v>
      </c>
      <c r="O27" s="5"/>
      <c r="P27" s="5"/>
      <c r="Q27" s="5" t="s">
        <v>133</v>
      </c>
      <c r="R27" s="5"/>
    </row>
    <row r="28" ht="18.0" customHeight="1">
      <c r="A28" s="20" t="s">
        <v>134</v>
      </c>
      <c r="B28" s="20" t="s">
        <v>110</v>
      </c>
      <c r="O28" s="5"/>
      <c r="P28" s="5"/>
      <c r="Q28" s="5" t="s">
        <v>135</v>
      </c>
      <c r="R28" s="5"/>
    </row>
    <row r="29" ht="18.0" customHeight="1">
      <c r="A29" s="55" t="s">
        <v>138</v>
      </c>
      <c r="B29" s="55" t="s">
        <v>110</v>
      </c>
      <c r="O29" s="5"/>
      <c r="P29" s="5"/>
      <c r="Q29" s="5" t="s">
        <v>139</v>
      </c>
      <c r="R29" s="5"/>
    </row>
    <row r="30" ht="18.0" customHeight="1">
      <c r="A30" s="20" t="s">
        <v>140</v>
      </c>
      <c r="B30" s="20" t="s">
        <v>110</v>
      </c>
      <c r="O30" s="5"/>
      <c r="P30" s="5"/>
      <c r="Q30" s="5" t="s">
        <v>142</v>
      </c>
      <c r="R30" s="5"/>
    </row>
    <row r="31" ht="18.0" customHeight="1">
      <c r="A31" s="20" t="s">
        <v>143</v>
      </c>
      <c r="B31" s="20" t="s">
        <v>110</v>
      </c>
      <c r="O31" s="5"/>
      <c r="P31" s="5"/>
      <c r="Q31" s="5" t="s">
        <v>146</v>
      </c>
      <c r="R31" s="5"/>
    </row>
    <row r="32" ht="18.0" customHeight="1">
      <c r="A32" s="20" t="s">
        <v>148</v>
      </c>
      <c r="B32" s="20" t="s">
        <v>149</v>
      </c>
      <c r="D32" s="14"/>
      <c r="O32" s="5"/>
      <c r="P32" s="5"/>
      <c r="Q32" s="5" t="s">
        <v>152</v>
      </c>
      <c r="R32" s="5"/>
    </row>
    <row r="33" ht="18.0" customHeight="1">
      <c r="A33" s="20" t="s">
        <v>153</v>
      </c>
      <c r="B33" s="20" t="s">
        <v>149</v>
      </c>
      <c r="O33" s="5"/>
      <c r="P33" s="5"/>
      <c r="Q33" s="5" t="s">
        <v>154</v>
      </c>
      <c r="R33" s="5"/>
    </row>
    <row r="34" ht="18.0" customHeight="1">
      <c r="A34" s="20" t="s">
        <v>155</v>
      </c>
      <c r="B34" s="20" t="s">
        <v>149</v>
      </c>
      <c r="O34" s="5"/>
      <c r="P34" s="5"/>
      <c r="Q34" s="5" t="s">
        <v>156</v>
      </c>
      <c r="R34" s="5"/>
    </row>
    <row r="35" ht="18.0" customHeight="1">
      <c r="A35" s="20" t="s">
        <v>158</v>
      </c>
      <c r="B35" s="20" t="s">
        <v>149</v>
      </c>
      <c r="O35" s="5"/>
      <c r="P35" s="5"/>
      <c r="Q35" s="5" t="s">
        <v>159</v>
      </c>
      <c r="R35" s="5"/>
    </row>
    <row r="36" ht="18.0" customHeight="1">
      <c r="A36" s="20" t="s">
        <v>160</v>
      </c>
      <c r="B36" s="20" t="s">
        <v>149</v>
      </c>
      <c r="O36" s="5"/>
      <c r="P36" s="5"/>
      <c r="Q36" s="5" t="s">
        <v>162</v>
      </c>
      <c r="R36" s="5"/>
    </row>
    <row r="37" ht="18.0" customHeight="1">
      <c r="A37" s="72" t="s">
        <v>163</v>
      </c>
      <c r="B37" s="72" t="s">
        <v>149</v>
      </c>
      <c r="O37" s="5"/>
      <c r="P37" s="5"/>
      <c r="Q37" s="5" t="s">
        <v>167</v>
      </c>
      <c r="R37" s="5"/>
    </row>
    <row r="38" ht="15.75" customHeight="1">
      <c r="O38" s="5"/>
      <c r="P38" s="5"/>
      <c r="Q38" s="5" t="s">
        <v>169</v>
      </c>
      <c r="R38" s="5"/>
    </row>
    <row r="39" ht="15.75" customHeight="1">
      <c r="O39" s="5"/>
      <c r="P39" s="5"/>
      <c r="Q39" s="5" t="s">
        <v>170</v>
      </c>
      <c r="R39" s="5"/>
    </row>
    <row r="40" ht="15.75" customHeight="1">
      <c r="O40" s="5"/>
      <c r="P40" s="5"/>
      <c r="Q40" s="5" t="s">
        <v>171</v>
      </c>
      <c r="R40" s="5"/>
    </row>
    <row r="41" ht="15.75" customHeight="1">
      <c r="O41" s="5"/>
      <c r="P41" s="5"/>
      <c r="Q41" s="5" t="s">
        <v>175</v>
      </c>
      <c r="R41" s="5"/>
    </row>
    <row r="42" ht="15.75" customHeight="1">
      <c r="O42" s="5"/>
      <c r="P42" s="5"/>
      <c r="Q42" s="5" t="s">
        <v>176</v>
      </c>
      <c r="R42" s="5"/>
    </row>
    <row r="43" ht="15.75" customHeight="1">
      <c r="O43" s="5"/>
      <c r="P43" s="5"/>
      <c r="Q43" s="5" t="s">
        <v>179</v>
      </c>
      <c r="R43" s="5"/>
    </row>
    <row r="44" ht="15.75" customHeight="1">
      <c r="O44" s="5"/>
      <c r="P44" s="5"/>
      <c r="Q44" s="5" t="s">
        <v>181</v>
      </c>
      <c r="R44" s="5"/>
    </row>
    <row r="45" ht="15.75" customHeight="1">
      <c r="O45" s="5"/>
      <c r="P45" s="5"/>
      <c r="Q45" s="5" t="s">
        <v>182</v>
      </c>
      <c r="R45" s="5"/>
    </row>
    <row r="46" ht="15.75" customHeight="1">
      <c r="O46" s="5"/>
      <c r="P46" s="5"/>
      <c r="Q46" s="5" t="s">
        <v>183</v>
      </c>
      <c r="R46" s="5"/>
    </row>
    <row r="47" ht="15.75" customHeight="1">
      <c r="O47" s="5"/>
      <c r="P47" s="5"/>
      <c r="Q47" s="5" t="s">
        <v>185</v>
      </c>
      <c r="R47" s="5"/>
    </row>
    <row r="48" ht="15.75" customHeight="1">
      <c r="O48" s="5"/>
      <c r="P48" s="5"/>
      <c r="Q48" s="5" t="s">
        <v>186</v>
      </c>
      <c r="R48" s="5"/>
    </row>
    <row r="49" ht="15.75" customHeight="1">
      <c r="O49" s="5"/>
      <c r="P49" s="5"/>
      <c r="Q49" s="5" t="s">
        <v>187</v>
      </c>
      <c r="R49" s="5"/>
    </row>
    <row r="50" ht="15.75" customHeight="1">
      <c r="O50" s="5"/>
      <c r="P50" s="5"/>
      <c r="Q50" s="5" t="s">
        <v>189</v>
      </c>
      <c r="R50" s="5"/>
    </row>
    <row r="51" ht="15.75" customHeight="1">
      <c r="O51" s="5"/>
      <c r="P51" s="5"/>
      <c r="Q51" s="5" t="s">
        <v>190</v>
      </c>
      <c r="R51" s="5"/>
    </row>
    <row r="52" ht="15.75" customHeight="1">
      <c r="O52" s="5"/>
      <c r="P52" s="5"/>
      <c r="Q52" s="5" t="s">
        <v>195</v>
      </c>
      <c r="R52" s="5"/>
    </row>
    <row r="53" ht="15.75" customHeight="1">
      <c r="O53" s="5"/>
      <c r="P53" s="5"/>
      <c r="Q53" s="5" t="s">
        <v>198</v>
      </c>
      <c r="R53" s="5"/>
    </row>
    <row r="54" ht="15.75" customHeight="1">
      <c r="O54" s="5"/>
      <c r="P54" s="5"/>
      <c r="Q54" s="5" t="s">
        <v>200</v>
      </c>
      <c r="R54" s="5"/>
    </row>
    <row r="55" ht="15.75" customHeight="1">
      <c r="O55" s="5"/>
      <c r="P55" s="5"/>
      <c r="Q55" s="5" t="s">
        <v>201</v>
      </c>
      <c r="R55" s="5"/>
    </row>
    <row r="56" ht="15.75" customHeight="1">
      <c r="O56" s="5"/>
      <c r="P56" s="5"/>
      <c r="Q56" s="5" t="s">
        <v>202</v>
      </c>
      <c r="R56" s="5"/>
    </row>
    <row r="57" ht="15.75" customHeight="1">
      <c r="O57" s="5"/>
      <c r="P57" s="5"/>
      <c r="Q57" s="5" t="s">
        <v>204</v>
      </c>
      <c r="R57" s="5"/>
    </row>
    <row r="58" ht="15.75" customHeight="1">
      <c r="O58" s="5"/>
      <c r="P58" s="5"/>
      <c r="Q58" s="5" t="s">
        <v>205</v>
      </c>
      <c r="R58" s="5"/>
    </row>
    <row r="59" ht="15.75" customHeight="1">
      <c r="O59" s="5"/>
      <c r="P59" s="5"/>
      <c r="Q59" s="5" t="s">
        <v>208</v>
      </c>
      <c r="R59" s="5"/>
    </row>
    <row r="60" ht="15.75" customHeight="1">
      <c r="O60" s="5"/>
      <c r="P60" s="5"/>
      <c r="Q60" s="5" t="s">
        <v>210</v>
      </c>
      <c r="R60" s="5"/>
    </row>
    <row r="61" ht="15.75" customHeight="1">
      <c r="O61" s="5"/>
      <c r="P61" s="5"/>
      <c r="Q61" s="5" t="s">
        <v>211</v>
      </c>
      <c r="R61" s="5"/>
    </row>
    <row r="62" ht="15.75" customHeight="1">
      <c r="O62" s="5"/>
      <c r="P62" s="5"/>
      <c r="Q62" s="5" t="s">
        <v>213</v>
      </c>
      <c r="R62" s="5"/>
    </row>
    <row r="63" ht="15.75" customHeight="1">
      <c r="O63" s="5"/>
      <c r="P63" s="5"/>
      <c r="Q63" s="5" t="s">
        <v>215</v>
      </c>
      <c r="R63" s="5"/>
    </row>
    <row r="64" ht="15.75" customHeight="1">
      <c r="O64" s="5"/>
      <c r="P64" s="5"/>
      <c r="Q64" s="5" t="s">
        <v>216</v>
      </c>
      <c r="R64" s="5"/>
    </row>
    <row r="65" ht="15.75" customHeight="1">
      <c r="O65" s="5"/>
      <c r="P65" s="5"/>
      <c r="Q65" s="5" t="s">
        <v>217</v>
      </c>
      <c r="R65" s="5"/>
    </row>
    <row r="66" ht="15.75" customHeight="1">
      <c r="O66" s="5"/>
      <c r="P66" s="5"/>
      <c r="Q66" s="5" t="s">
        <v>221</v>
      </c>
      <c r="R66" s="5"/>
    </row>
    <row r="67" ht="15.75" customHeight="1">
      <c r="O67" s="5"/>
      <c r="P67" s="5"/>
      <c r="Q67" s="5" t="s">
        <v>222</v>
      </c>
      <c r="R67" s="5"/>
    </row>
    <row r="68" ht="15.75" customHeight="1">
      <c r="O68" s="5"/>
      <c r="P68" s="5"/>
      <c r="Q68" s="5" t="s">
        <v>224</v>
      </c>
      <c r="R68" s="5"/>
    </row>
    <row r="69" ht="15.75" customHeight="1">
      <c r="O69" s="5"/>
      <c r="P69" s="5"/>
      <c r="Q69" s="5" t="s">
        <v>225</v>
      </c>
      <c r="R69" s="5"/>
    </row>
    <row r="70" ht="15.75" customHeight="1">
      <c r="O70" s="5"/>
      <c r="P70" s="5"/>
      <c r="Q70" s="5" t="s">
        <v>227</v>
      </c>
      <c r="R70" s="5"/>
    </row>
    <row r="71" ht="15.75" customHeight="1">
      <c r="O71" s="5"/>
      <c r="P71" s="5"/>
      <c r="Q71" s="5" t="s">
        <v>228</v>
      </c>
      <c r="R71" s="5"/>
    </row>
    <row r="72" ht="15.75" customHeight="1">
      <c r="O72" s="5"/>
      <c r="P72" s="5"/>
      <c r="Q72" s="5" t="s">
        <v>229</v>
      </c>
      <c r="R72" s="5"/>
    </row>
    <row r="73" ht="15.75" customHeight="1">
      <c r="O73" s="5"/>
      <c r="P73" s="5"/>
      <c r="Q73" s="5" t="s">
        <v>230</v>
      </c>
      <c r="R73" s="5"/>
    </row>
    <row r="74" ht="15.75" customHeight="1">
      <c r="O74" s="5"/>
      <c r="P74" s="5"/>
      <c r="Q74" s="5" t="s">
        <v>233</v>
      </c>
      <c r="R74" s="5"/>
    </row>
    <row r="75" ht="15.75" customHeight="1">
      <c r="O75" s="5"/>
      <c r="P75" s="5"/>
      <c r="Q75" s="5" t="s">
        <v>234</v>
      </c>
      <c r="R75" s="5"/>
    </row>
    <row r="76" ht="15.75" customHeight="1">
      <c r="O76" s="5"/>
      <c r="P76" s="5"/>
      <c r="Q76" s="5" t="s">
        <v>237</v>
      </c>
      <c r="R76" s="5"/>
    </row>
    <row r="77" ht="15.75" customHeight="1">
      <c r="O77" s="5"/>
      <c r="P77" s="5"/>
      <c r="Q77" s="5" t="s">
        <v>238</v>
      </c>
      <c r="R77" s="5"/>
    </row>
    <row r="78" ht="15.75" customHeight="1">
      <c r="O78" s="5"/>
      <c r="P78" s="5"/>
      <c r="Q78" s="5" t="s">
        <v>239</v>
      </c>
      <c r="R78" s="5"/>
    </row>
    <row r="79" ht="15.75" customHeight="1">
      <c r="O79" s="5"/>
      <c r="P79" s="5"/>
      <c r="Q79" s="5" t="s">
        <v>240</v>
      </c>
      <c r="R79" s="5"/>
    </row>
    <row r="80" ht="15.75" customHeight="1">
      <c r="O80" s="5"/>
      <c r="P80" s="5"/>
      <c r="Q80" s="5" t="s">
        <v>241</v>
      </c>
      <c r="R80" s="5"/>
    </row>
    <row r="81" ht="15.75" customHeight="1">
      <c r="O81" s="5"/>
      <c r="P81" s="5"/>
      <c r="Q81" s="5" t="s">
        <v>245</v>
      </c>
      <c r="R81" s="5"/>
    </row>
    <row r="82" ht="15.75" customHeight="1">
      <c r="O82" s="5"/>
      <c r="P82" s="5"/>
      <c r="Q82" s="5" t="s">
        <v>246</v>
      </c>
      <c r="R82" s="5"/>
    </row>
    <row r="83" ht="15.75" customHeight="1">
      <c r="O83" s="5"/>
      <c r="P83" s="5"/>
      <c r="Q83" s="5" t="s">
        <v>247</v>
      </c>
      <c r="R83" s="5"/>
    </row>
    <row r="84" ht="15.75" customHeight="1">
      <c r="O84" s="5"/>
      <c r="P84" s="5"/>
      <c r="Q84" s="5" t="s">
        <v>249</v>
      </c>
      <c r="R84" s="5"/>
    </row>
    <row r="85" ht="15.75" customHeight="1">
      <c r="O85" s="5"/>
      <c r="P85" s="5"/>
      <c r="Q85" s="5" t="s">
        <v>250</v>
      </c>
      <c r="R85" s="5"/>
    </row>
    <row r="86" ht="15.75" customHeight="1">
      <c r="O86" s="5"/>
      <c r="P86" s="5"/>
      <c r="Q86" s="5" t="s">
        <v>251</v>
      </c>
      <c r="R86" s="5"/>
    </row>
    <row r="87" ht="15.75" customHeight="1">
      <c r="O87" s="5"/>
      <c r="P87" s="5"/>
      <c r="Q87" s="5" t="s">
        <v>252</v>
      </c>
      <c r="R87" s="5"/>
    </row>
    <row r="88" ht="15.75" customHeight="1">
      <c r="O88" s="5"/>
      <c r="P88" s="5"/>
      <c r="Q88" s="5" t="s">
        <v>256</v>
      </c>
      <c r="R88" s="5"/>
    </row>
    <row r="89" ht="15.75" customHeight="1">
      <c r="O89" s="5"/>
      <c r="P89" s="5"/>
      <c r="Q89" s="5" t="s">
        <v>257</v>
      </c>
      <c r="R89" s="5"/>
    </row>
    <row r="90" ht="15.75" customHeight="1">
      <c r="O90" s="5"/>
      <c r="P90" s="5"/>
      <c r="Q90" s="5" t="s">
        <v>258</v>
      </c>
      <c r="R90" s="5"/>
    </row>
    <row r="91" ht="15.75" customHeight="1">
      <c r="O91" s="5"/>
      <c r="P91" s="5"/>
      <c r="Q91" s="5" t="s">
        <v>259</v>
      </c>
      <c r="R91" s="5"/>
    </row>
    <row r="92" ht="15.75" customHeight="1">
      <c r="O92" s="5"/>
      <c r="P92" s="5"/>
      <c r="Q92" s="5" t="s">
        <v>261</v>
      </c>
      <c r="R92" s="5"/>
    </row>
    <row r="93" ht="15.75" customHeight="1">
      <c r="O93" s="5"/>
      <c r="P93" s="5"/>
      <c r="Q93" s="5" t="s">
        <v>262</v>
      </c>
      <c r="R93" s="5"/>
    </row>
    <row r="94" ht="15.75" customHeight="1">
      <c r="O94" s="5"/>
      <c r="P94" s="5"/>
      <c r="Q94" s="5" t="s">
        <v>263</v>
      </c>
      <c r="R94" s="5"/>
    </row>
    <row r="95" ht="15.75" customHeight="1">
      <c r="O95" s="5"/>
      <c r="P95" s="5"/>
      <c r="Q95" s="5" t="s">
        <v>265</v>
      </c>
      <c r="R95" s="5"/>
    </row>
    <row r="96" ht="15.75" customHeight="1">
      <c r="O96" s="5"/>
      <c r="P96" s="5"/>
      <c r="Q96" s="5" t="s">
        <v>268</v>
      </c>
      <c r="R96" s="5"/>
    </row>
    <row r="97" ht="15.75" customHeight="1">
      <c r="O97" s="5"/>
      <c r="P97" s="5"/>
      <c r="Q97" s="5" t="s">
        <v>270</v>
      </c>
      <c r="R97" s="5"/>
    </row>
    <row r="98" ht="15.75" customHeight="1">
      <c r="O98" s="5"/>
      <c r="P98" s="5"/>
      <c r="Q98" s="5" t="s">
        <v>271</v>
      </c>
      <c r="R98" s="5"/>
    </row>
    <row r="99" ht="15.75" customHeight="1">
      <c r="O99" s="5"/>
      <c r="P99" s="5"/>
      <c r="Q99" s="5" t="s">
        <v>274</v>
      </c>
      <c r="R99" s="5"/>
    </row>
    <row r="100" ht="15.75" customHeight="1">
      <c r="O100" s="5"/>
      <c r="P100" s="5"/>
      <c r="Q100" s="5" t="s">
        <v>275</v>
      </c>
      <c r="R100" s="5"/>
    </row>
    <row r="101" ht="15.75" customHeight="1">
      <c r="O101" s="5"/>
      <c r="P101" s="5"/>
      <c r="Q101" s="5" t="s">
        <v>277</v>
      </c>
      <c r="R101" s="5"/>
    </row>
    <row r="102" ht="15.75" customHeight="1">
      <c r="O102" s="5"/>
      <c r="P102" s="5"/>
      <c r="Q102" s="5" t="s">
        <v>278</v>
      </c>
      <c r="R102" s="5"/>
    </row>
    <row r="103" ht="15.75" customHeight="1">
      <c r="O103" s="5"/>
      <c r="P103" s="5"/>
      <c r="Q103" s="75" t="s">
        <v>281</v>
      </c>
      <c r="R103" s="5"/>
    </row>
    <row r="104" ht="15.75" customHeight="1">
      <c r="O104" s="5"/>
      <c r="P104" s="5"/>
      <c r="Q104" s="75" t="s">
        <v>283</v>
      </c>
      <c r="R104" s="5"/>
    </row>
    <row r="105" ht="15.75" customHeight="1">
      <c r="O105" s="5"/>
      <c r="P105" s="5"/>
      <c r="Q105" s="5" t="s">
        <v>54</v>
      </c>
      <c r="R105" s="5"/>
    </row>
    <row r="106" ht="15.75" customHeight="1">
      <c r="O106" s="5"/>
      <c r="P106" s="5"/>
      <c r="Q106" s="5" t="s">
        <v>54</v>
      </c>
      <c r="R106" s="5"/>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4:D9"/>
    <mergeCell ref="D10:D14"/>
    <mergeCell ref="D15:D19"/>
    <mergeCell ref="D20:D25"/>
    <mergeCell ref="D26:D31"/>
    <mergeCell ref="D32:D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43"/>
    <col customWidth="1" min="2" max="2" width="56.86"/>
    <col customWidth="1" min="3" max="26" width="12.57"/>
  </cols>
  <sheetData>
    <row r="1" ht="15.75" customHeight="1">
      <c r="A1" s="7" t="s">
        <v>1</v>
      </c>
      <c r="B1" s="7" t="s">
        <v>7</v>
      </c>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15</v>
      </c>
      <c r="B2" s="17"/>
      <c r="C2" s="18"/>
      <c r="D2" s="10"/>
      <c r="E2" s="10"/>
      <c r="F2" s="10"/>
      <c r="G2" s="10"/>
      <c r="H2" s="10"/>
      <c r="I2" s="10"/>
      <c r="J2" s="10"/>
      <c r="K2" s="10"/>
      <c r="L2" s="10"/>
      <c r="M2" s="10"/>
      <c r="N2" s="10"/>
      <c r="O2" s="10"/>
      <c r="P2" s="10"/>
      <c r="Q2" s="10"/>
      <c r="R2" s="10"/>
      <c r="S2" s="10"/>
      <c r="T2" s="10"/>
      <c r="U2" s="10"/>
      <c r="V2" s="10"/>
      <c r="W2" s="10"/>
      <c r="X2" s="10"/>
      <c r="Y2" s="10"/>
      <c r="Z2" s="10"/>
    </row>
    <row r="3" ht="15.75" customHeight="1">
      <c r="A3" s="15" t="s">
        <v>26</v>
      </c>
      <c r="B3" s="17" t="s">
        <v>27</v>
      </c>
      <c r="C3" s="18"/>
      <c r="D3" s="10"/>
      <c r="E3" s="10"/>
      <c r="F3" s="10"/>
      <c r="G3" s="10"/>
      <c r="H3" s="10"/>
      <c r="I3" s="10"/>
      <c r="J3" s="10"/>
      <c r="K3" s="10"/>
      <c r="L3" s="10"/>
      <c r="M3" s="10"/>
      <c r="N3" s="10"/>
      <c r="O3" s="10"/>
      <c r="P3" s="10"/>
      <c r="Q3" s="10"/>
      <c r="R3" s="10"/>
      <c r="S3" s="10"/>
      <c r="T3" s="10"/>
      <c r="U3" s="10"/>
      <c r="V3" s="10"/>
      <c r="W3" s="10"/>
      <c r="X3" s="10"/>
      <c r="Y3" s="10"/>
      <c r="Z3" s="10"/>
    </row>
    <row r="4" ht="15.75" customHeight="1">
      <c r="A4" s="10"/>
      <c r="B4" s="17" t="s">
        <v>38</v>
      </c>
      <c r="C4" s="18"/>
      <c r="D4" s="10"/>
      <c r="E4" s="10"/>
      <c r="F4" s="10"/>
      <c r="G4" s="10"/>
      <c r="H4" s="10"/>
      <c r="I4" s="10"/>
      <c r="J4" s="10"/>
      <c r="K4" s="10"/>
      <c r="L4" s="10"/>
      <c r="M4" s="10"/>
      <c r="N4" s="10"/>
      <c r="O4" s="10"/>
      <c r="P4" s="10"/>
      <c r="Q4" s="10"/>
      <c r="R4" s="10"/>
      <c r="S4" s="10"/>
      <c r="T4" s="10"/>
      <c r="U4" s="10"/>
      <c r="V4" s="10"/>
      <c r="W4" s="10"/>
      <c r="X4" s="10"/>
      <c r="Y4" s="10"/>
      <c r="Z4" s="10"/>
    </row>
    <row r="5" ht="15.75" customHeight="1">
      <c r="A5" s="10"/>
      <c r="B5" s="17" t="s">
        <v>44</v>
      </c>
      <c r="C5" s="18"/>
      <c r="D5" s="10"/>
      <c r="E5" s="10"/>
      <c r="F5" s="10"/>
      <c r="G5" s="10"/>
      <c r="H5" s="10"/>
      <c r="I5" s="10"/>
      <c r="J5" s="10"/>
      <c r="K5" s="10"/>
      <c r="L5" s="10"/>
      <c r="M5" s="10"/>
      <c r="N5" s="10"/>
      <c r="O5" s="10"/>
      <c r="P5" s="10"/>
      <c r="Q5" s="10"/>
      <c r="R5" s="10"/>
      <c r="S5" s="10"/>
      <c r="T5" s="10"/>
      <c r="U5" s="10"/>
      <c r="V5" s="10"/>
      <c r="W5" s="10"/>
      <c r="X5" s="10"/>
      <c r="Y5" s="10"/>
      <c r="Z5" s="10"/>
    </row>
    <row r="6" ht="15.75" customHeight="1">
      <c r="A6" s="10"/>
      <c r="B6" s="31" t="s">
        <v>49</v>
      </c>
      <c r="C6" s="18"/>
      <c r="D6" s="10"/>
      <c r="E6" s="10"/>
      <c r="F6" s="10"/>
      <c r="G6" s="10"/>
      <c r="H6" s="10"/>
      <c r="I6" s="10"/>
      <c r="J6" s="10"/>
      <c r="K6" s="10"/>
      <c r="L6" s="10"/>
      <c r="M6" s="10"/>
      <c r="N6" s="10"/>
      <c r="O6" s="10"/>
      <c r="P6" s="10"/>
      <c r="Q6" s="10"/>
      <c r="R6" s="10"/>
      <c r="S6" s="10"/>
      <c r="T6" s="10"/>
      <c r="U6" s="10"/>
      <c r="V6" s="10"/>
      <c r="W6" s="10"/>
      <c r="X6" s="10"/>
      <c r="Y6" s="10"/>
      <c r="Z6" s="10"/>
    </row>
    <row r="7" ht="15.75" customHeight="1">
      <c r="A7" s="10"/>
      <c r="B7" s="31" t="s">
        <v>59</v>
      </c>
      <c r="C7" s="18"/>
      <c r="D7" s="10"/>
      <c r="E7" s="10"/>
      <c r="F7" s="10"/>
      <c r="G7" s="10"/>
      <c r="H7" s="10"/>
      <c r="I7" s="10"/>
      <c r="J7" s="10"/>
      <c r="K7" s="10"/>
      <c r="L7" s="10"/>
      <c r="M7" s="10"/>
      <c r="N7" s="10"/>
      <c r="O7" s="10"/>
      <c r="P7" s="10"/>
      <c r="Q7" s="10"/>
      <c r="R7" s="10"/>
      <c r="S7" s="10"/>
      <c r="T7" s="10"/>
      <c r="U7" s="10"/>
      <c r="V7" s="10"/>
      <c r="W7" s="10"/>
      <c r="X7" s="10"/>
      <c r="Y7" s="10"/>
      <c r="Z7" s="10"/>
    </row>
    <row r="8" ht="15.75" customHeight="1">
      <c r="A8" s="10"/>
      <c r="B8" s="31" t="s">
        <v>63</v>
      </c>
      <c r="C8" s="18"/>
      <c r="D8" s="10"/>
      <c r="E8" s="10"/>
      <c r="F8" s="10"/>
      <c r="G8" s="10"/>
      <c r="H8" s="10"/>
      <c r="I8" s="10"/>
      <c r="J8" s="10"/>
      <c r="K8" s="10"/>
      <c r="L8" s="10"/>
      <c r="M8" s="10"/>
      <c r="N8" s="10"/>
      <c r="O8" s="10"/>
      <c r="P8" s="10"/>
      <c r="Q8" s="10"/>
      <c r="R8" s="10"/>
      <c r="S8" s="10"/>
      <c r="T8" s="10"/>
      <c r="U8" s="10"/>
      <c r="V8" s="10"/>
      <c r="W8" s="10"/>
      <c r="X8" s="10"/>
      <c r="Y8" s="10"/>
      <c r="Z8" s="10"/>
    </row>
    <row r="9" ht="15.75" customHeight="1">
      <c r="A9" s="10"/>
      <c r="B9" s="17" t="s">
        <v>68</v>
      </c>
      <c r="C9" s="18"/>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17" t="s">
        <v>72</v>
      </c>
      <c r="C10" s="18"/>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31" t="s">
        <v>85</v>
      </c>
      <c r="C11" s="18"/>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5" t="s">
        <v>98</v>
      </c>
      <c r="B12" s="31" t="s">
        <v>100</v>
      </c>
      <c r="C12" s="18"/>
      <c r="D12" s="10"/>
      <c r="E12" s="10"/>
      <c r="F12" s="10"/>
      <c r="G12" s="10"/>
      <c r="H12" s="10"/>
      <c r="I12" s="10"/>
      <c r="J12" s="10"/>
      <c r="K12" s="10"/>
      <c r="L12" s="10"/>
      <c r="M12" s="10"/>
      <c r="N12" s="10"/>
      <c r="O12" s="10"/>
      <c r="P12" s="10"/>
      <c r="Q12" s="10"/>
      <c r="R12" s="10"/>
      <c r="S12" s="10"/>
      <c r="T12" s="10"/>
      <c r="U12" s="10"/>
      <c r="V12" s="10"/>
      <c r="W12" s="10"/>
      <c r="X12" s="10"/>
      <c r="Y12" s="10"/>
      <c r="Z12" s="10"/>
    </row>
    <row r="13" ht="34.5" customHeight="1">
      <c r="A13" s="10"/>
      <c r="B13" s="31" t="s">
        <v>108</v>
      </c>
      <c r="C13" s="18"/>
      <c r="D13" s="10"/>
      <c r="E13" s="10"/>
      <c r="F13" s="10"/>
      <c r="G13" s="10"/>
      <c r="H13" s="10"/>
      <c r="I13" s="10"/>
      <c r="J13" s="10"/>
      <c r="K13" s="10"/>
      <c r="L13" s="10"/>
      <c r="M13" s="10"/>
      <c r="N13" s="10"/>
      <c r="O13" s="10"/>
      <c r="P13" s="10"/>
      <c r="Q13" s="10"/>
      <c r="R13" s="10"/>
      <c r="S13" s="10"/>
      <c r="T13" s="10"/>
      <c r="U13" s="10"/>
      <c r="V13" s="10"/>
      <c r="W13" s="10"/>
      <c r="X13" s="10"/>
      <c r="Y13" s="10"/>
      <c r="Z13" s="10"/>
    </row>
    <row r="14" ht="31.5" customHeight="1">
      <c r="A14" s="10"/>
      <c r="B14" s="31" t="s">
        <v>112</v>
      </c>
      <c r="C14" s="18"/>
      <c r="D14" s="10"/>
      <c r="E14" s="10"/>
      <c r="F14" s="10"/>
      <c r="G14" s="10"/>
      <c r="H14" s="10"/>
      <c r="I14" s="10"/>
      <c r="J14" s="10"/>
      <c r="K14" s="10"/>
      <c r="L14" s="10"/>
      <c r="M14" s="10"/>
      <c r="N14" s="10"/>
      <c r="O14" s="10"/>
      <c r="P14" s="10"/>
      <c r="Q14" s="10"/>
      <c r="R14" s="10"/>
      <c r="S14" s="10"/>
      <c r="T14" s="10"/>
      <c r="U14" s="10"/>
      <c r="V14" s="10"/>
      <c r="W14" s="10"/>
      <c r="X14" s="10"/>
      <c r="Y14" s="10"/>
      <c r="Z14" s="10"/>
    </row>
    <row r="15" ht="33.0" customHeight="1">
      <c r="A15" s="10"/>
      <c r="B15" s="31" t="s">
        <v>119</v>
      </c>
      <c r="C15" s="18"/>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31" t="s">
        <v>122</v>
      </c>
      <c r="C16" s="18"/>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31" t="s">
        <v>127</v>
      </c>
      <c r="C17" s="18"/>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31" t="s">
        <v>132</v>
      </c>
      <c r="C18" s="18"/>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5" t="s">
        <v>136</v>
      </c>
      <c r="B19" s="31" t="s">
        <v>137</v>
      </c>
      <c r="C19" s="18"/>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31" t="s">
        <v>141</v>
      </c>
      <c r="C20" s="18"/>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31" t="s">
        <v>150</v>
      </c>
      <c r="C21" s="65"/>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31" t="s">
        <v>157</v>
      </c>
      <c r="C22" s="65"/>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31" t="s">
        <v>161</v>
      </c>
      <c r="C23" s="65"/>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31" t="s">
        <v>168</v>
      </c>
      <c r="C24" s="65"/>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5" t="s">
        <v>172</v>
      </c>
      <c r="B25" s="31" t="s">
        <v>173</v>
      </c>
      <c r="C25" s="65"/>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31" t="s">
        <v>180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5" t="s">
        <v>184</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31" t="s">
        <v>188</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31" t="s">
        <v>192</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5" t="s">
        <v>197</v>
      </c>
      <c r="B30" s="31" t="s">
        <v>199</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31" t="s">
        <v>203</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31" t="s">
        <v>209</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31" t="s">
        <v>218</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31" t="s">
        <v>223</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31" t="s">
        <v>226</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5"/>
      <c r="B36" s="31"/>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5" t="s">
        <v>235</v>
      </c>
      <c r="B37" s="31" t="s">
        <v>236</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31" t="s">
        <v>243</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31" t="s">
        <v>248</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31" t="s">
        <v>254</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31" t="s">
        <v>260</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5" t="s">
        <v>264</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5" t="s">
        <v>272</v>
      </c>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5" t="s">
        <v>276</v>
      </c>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5" t="s">
        <v>282</v>
      </c>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5" t="s">
        <v>284</v>
      </c>
      <c r="B46" s="31" t="s">
        <v>285</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31" t="s">
        <v>288</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31" t="s">
        <v>291</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31" t="s">
        <v>292</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31" t="s">
        <v>293</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31" t="s">
        <v>297</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31" t="s">
        <v>299</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31" t="s">
        <v>300</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31" t="s">
        <v>302</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31" t="s">
        <v>304</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31" t="s">
        <v>307</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31" t="s">
        <v>309</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31" t="s">
        <v>310</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31" t="s">
        <v>313</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31" t="s">
        <v>317</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5" t="s">
        <v>321</v>
      </c>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5" t="s">
        <v>327</v>
      </c>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5" t="s">
        <v>336</v>
      </c>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5" t="s">
        <v>341</v>
      </c>
      <c r="B64" s="31" t="s">
        <v>343</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31" t="s">
        <v>352</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31" t="s">
        <v>356</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31" t="s">
        <v>357</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31" t="s">
        <v>358</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31" t="s">
        <v>361</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31" t="s">
        <v>362</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31" t="s">
        <v>363</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5" t="s">
        <v>367</v>
      </c>
      <c r="B72" s="31" t="s">
        <v>368</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31" t="s">
        <v>371</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31" t="s">
        <v>373</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31" t="s">
        <v>377</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31" t="s">
        <v>381</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31" t="s">
        <v>384</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31" t="s">
        <v>387</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31" t="s">
        <v>391</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5" t="s">
        <v>395</v>
      </c>
      <c r="B80" s="31" t="s">
        <v>396</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31" t="s">
        <v>399</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31" t="s">
        <v>401</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31" t="s">
        <v>404</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5" t="s">
        <v>408</v>
      </c>
      <c r="B84" s="31" t="s">
        <v>409</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31" t="s">
        <v>412</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5"/>
      <c r="B86" s="31" t="s">
        <v>416</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5"/>
      <c r="B87" s="31" t="s">
        <v>419</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5" t="s">
        <v>420</v>
      </c>
      <c r="B88" s="31" t="s">
        <v>421</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5"/>
      <c r="B89" s="31" t="s">
        <v>423</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5"/>
      <c r="B90" s="31" t="s">
        <v>426</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5"/>
      <c r="B91" s="31" t="s">
        <v>428</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5" t="s">
        <v>431</v>
      </c>
      <c r="B92" s="31" t="s">
        <v>432</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31" t="s">
        <v>434</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31" t="s">
        <v>436</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31" t="s">
        <v>439</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31" t="s">
        <v>441</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31" t="s">
        <v>444</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31" t="s">
        <v>448</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97" t="s">
        <v>450</v>
      </c>
      <c r="B99" s="31" t="s">
        <v>453</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31" t="s">
        <v>457</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31" t="s">
        <v>459</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31" t="s">
        <v>462</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31" t="s">
        <v>464</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31" t="s">
        <v>465</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31" t="s">
        <v>468</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31" t="s">
        <v>470</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97" t="s">
        <v>474</v>
      </c>
      <c r="B107" s="31" t="s">
        <v>476</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31" t="s">
        <v>478</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31" t="s">
        <v>480</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97" t="s">
        <v>482</v>
      </c>
      <c r="B110" s="31" t="s">
        <v>483</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31" t="s">
        <v>487</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31" t="s">
        <v>490</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97" t="s">
        <v>493</v>
      </c>
      <c r="B113" s="31" t="s">
        <v>495</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31" t="s">
        <v>497</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31" t="s">
        <v>500</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31" t="s">
        <v>504</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31" t="s">
        <v>505</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97" t="s">
        <v>507</v>
      </c>
      <c r="B118" s="31" t="s">
        <v>508</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5" t="s">
        <v>510</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31" t="s">
        <v>514</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97" t="s">
        <v>517</v>
      </c>
      <c r="B121" s="31" t="s">
        <v>518</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31" t="s">
        <v>520</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31" t="s">
        <v>524</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31" t="s">
        <v>525</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97" t="s">
        <v>529</v>
      </c>
      <c r="B125" s="31" t="s">
        <v>530</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31" t="s">
        <v>532</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31"/>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31"/>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31"/>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31"/>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31"/>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31"/>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31"/>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31"/>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31"/>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31"/>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31"/>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31"/>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31"/>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31"/>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31"/>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31"/>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31"/>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31"/>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31"/>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31"/>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31"/>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31"/>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31"/>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31"/>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31"/>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31"/>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31"/>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31"/>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31"/>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31"/>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31"/>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31"/>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31"/>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31"/>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31"/>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31"/>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31"/>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31"/>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31"/>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31"/>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31"/>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31"/>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31"/>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31"/>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31"/>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31"/>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31"/>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31"/>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31"/>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31"/>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31"/>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31"/>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31"/>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31"/>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31"/>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31"/>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31"/>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31"/>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31"/>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31"/>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31"/>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31"/>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31"/>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31"/>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31"/>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31"/>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31"/>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31"/>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31"/>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31"/>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31"/>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31"/>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31"/>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31"/>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31"/>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31"/>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31"/>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31"/>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31"/>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31"/>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31"/>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31"/>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31"/>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31"/>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31"/>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31"/>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31"/>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31"/>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31"/>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31"/>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31"/>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31"/>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31"/>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31"/>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31"/>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31"/>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31"/>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31"/>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31"/>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31"/>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31"/>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31"/>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31"/>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31"/>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31"/>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31"/>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31"/>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31"/>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31"/>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31"/>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31"/>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31"/>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31"/>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31"/>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31"/>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31"/>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31"/>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31"/>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31"/>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31"/>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31"/>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31"/>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31"/>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31"/>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31"/>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31"/>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31"/>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31"/>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31"/>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31"/>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31"/>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31"/>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31"/>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31"/>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31"/>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31"/>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31"/>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31"/>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31"/>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31"/>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31"/>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31"/>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31"/>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31"/>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31"/>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31"/>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31"/>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31"/>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31"/>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31"/>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31"/>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31"/>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31"/>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31"/>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31"/>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31"/>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31"/>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31"/>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31"/>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31"/>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31"/>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31"/>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31"/>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31"/>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31"/>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31"/>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31"/>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31"/>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31"/>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31"/>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31"/>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31"/>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31"/>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31"/>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31"/>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31"/>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31"/>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31"/>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31"/>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31"/>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31"/>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31"/>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31"/>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31"/>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31"/>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31"/>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31"/>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31"/>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31"/>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31"/>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31"/>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31"/>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31"/>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31"/>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31"/>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31"/>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31"/>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31"/>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31"/>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31"/>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71"/>
    <col customWidth="1" min="3" max="3" width="30.43"/>
    <col customWidth="1" min="4" max="4" width="15.43"/>
  </cols>
  <sheetData>
    <row r="1">
      <c r="A1" s="82" t="s">
        <v>151</v>
      </c>
      <c r="B1" s="83" t="s">
        <v>315</v>
      </c>
      <c r="C1" s="83" t="s">
        <v>316</v>
      </c>
      <c r="D1" s="84" t="s">
        <v>84</v>
      </c>
    </row>
    <row r="2">
      <c r="A2" s="85" t="s">
        <v>318</v>
      </c>
      <c r="B2" s="86" t="s">
        <v>319</v>
      </c>
      <c r="C2" s="86" t="s">
        <v>320</v>
      </c>
      <c r="D2" s="87" t="s">
        <v>322</v>
      </c>
    </row>
    <row r="3">
      <c r="A3" s="88" t="s">
        <v>318</v>
      </c>
      <c r="B3" s="89" t="s">
        <v>324</v>
      </c>
      <c r="C3" s="89" t="s">
        <v>326</v>
      </c>
      <c r="D3" s="90" t="s">
        <v>322</v>
      </c>
    </row>
    <row r="4">
      <c r="A4" s="85" t="s">
        <v>318</v>
      </c>
      <c r="B4" s="86" t="s">
        <v>328</v>
      </c>
      <c r="C4" s="86" t="s">
        <v>329</v>
      </c>
      <c r="D4" s="87" t="s">
        <v>322</v>
      </c>
    </row>
    <row r="5">
      <c r="A5" s="88" t="s">
        <v>318</v>
      </c>
      <c r="B5" s="89" t="s">
        <v>330</v>
      </c>
      <c r="C5" s="89" t="s">
        <v>331</v>
      </c>
      <c r="D5" s="90" t="s">
        <v>151</v>
      </c>
    </row>
    <row r="6">
      <c r="A6" s="85" t="s">
        <v>318</v>
      </c>
      <c r="B6" s="86" t="s">
        <v>332</v>
      </c>
      <c r="C6" s="86" t="s">
        <v>333</v>
      </c>
      <c r="D6" s="87" t="s">
        <v>334</v>
      </c>
    </row>
    <row r="7">
      <c r="A7" s="88" t="s">
        <v>318</v>
      </c>
      <c r="B7" s="89" t="s">
        <v>335</v>
      </c>
      <c r="C7" s="89" t="s">
        <v>337</v>
      </c>
      <c r="D7" s="90" t="s">
        <v>322</v>
      </c>
    </row>
    <row r="8">
      <c r="A8" s="85" t="s">
        <v>318</v>
      </c>
      <c r="B8" s="86" t="s">
        <v>338</v>
      </c>
      <c r="C8" s="86" t="s">
        <v>339</v>
      </c>
      <c r="D8" s="87" t="s">
        <v>322</v>
      </c>
    </row>
    <row r="9">
      <c r="A9" s="88" t="s">
        <v>318</v>
      </c>
      <c r="B9" s="89" t="s">
        <v>340</v>
      </c>
      <c r="C9" s="89" t="s">
        <v>342</v>
      </c>
      <c r="D9" s="90" t="s">
        <v>344</v>
      </c>
    </row>
    <row r="10">
      <c r="A10" s="85" t="s">
        <v>318</v>
      </c>
      <c r="B10" s="86" t="s">
        <v>345</v>
      </c>
      <c r="C10" s="86" t="s">
        <v>346</v>
      </c>
      <c r="D10" s="87" t="s">
        <v>322</v>
      </c>
    </row>
    <row r="11">
      <c r="A11" s="88" t="s">
        <v>318</v>
      </c>
      <c r="B11" s="89" t="s">
        <v>347</v>
      </c>
      <c r="C11" s="89" t="s">
        <v>348</v>
      </c>
      <c r="D11" s="90" t="s">
        <v>349</v>
      </c>
    </row>
    <row r="12">
      <c r="A12" s="85" t="s">
        <v>318</v>
      </c>
      <c r="B12" s="86" t="s">
        <v>350</v>
      </c>
      <c r="C12" s="86" t="s">
        <v>351</v>
      </c>
      <c r="D12" s="87" t="s">
        <v>151</v>
      </c>
    </row>
    <row r="13">
      <c r="A13" s="88" t="s">
        <v>318</v>
      </c>
      <c r="B13" s="89" t="s">
        <v>353</v>
      </c>
      <c r="C13" s="89" t="s">
        <v>354</v>
      </c>
      <c r="D13" s="90" t="s">
        <v>349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sheetViews>
  <sheetFormatPr customHeight="1" defaultColWidth="14.43" defaultRowHeight="15.0"/>
  <cols>
    <col customWidth="1" min="1" max="1" width="28.86"/>
    <col customWidth="1" min="2" max="2" width="40.43"/>
    <col customWidth="1" min="3" max="26" width="12.57"/>
  </cols>
  <sheetData>
    <row r="1" ht="15.75" customHeight="1">
      <c r="A1" s="91" t="s">
        <v>1</v>
      </c>
      <c r="B1" s="91" t="s">
        <v>369</v>
      </c>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15</v>
      </c>
      <c r="B2" s="65"/>
      <c r="C2" s="10"/>
      <c r="D2" s="10"/>
      <c r="E2" s="10"/>
      <c r="F2" s="10"/>
      <c r="G2" s="10"/>
      <c r="H2" s="10"/>
      <c r="I2" s="10"/>
      <c r="J2" s="10"/>
      <c r="K2" s="10"/>
      <c r="L2" s="10"/>
      <c r="M2" s="10"/>
      <c r="N2" s="10"/>
      <c r="O2" s="10"/>
      <c r="P2" s="10"/>
      <c r="Q2" s="10"/>
      <c r="R2" s="10"/>
      <c r="S2" s="10"/>
      <c r="T2" s="10"/>
      <c r="U2" s="10"/>
      <c r="V2" s="10"/>
      <c r="W2" s="10"/>
      <c r="X2" s="10"/>
      <c r="Y2" s="10"/>
      <c r="Z2" s="10"/>
    </row>
    <row r="3" ht="15.75" customHeight="1">
      <c r="A3" s="15"/>
      <c r="B3" s="93" t="s">
        <v>374</v>
      </c>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5" t="s">
        <v>375</v>
      </c>
      <c r="B4" s="65" t="s">
        <v>376</v>
      </c>
      <c r="C4" s="10"/>
      <c r="D4" s="10"/>
      <c r="E4" s="10"/>
      <c r="F4" s="10"/>
      <c r="G4" s="10"/>
      <c r="H4" s="10"/>
      <c r="I4" s="10"/>
      <c r="J4" s="10"/>
      <c r="K4" s="10"/>
      <c r="L4" s="10"/>
      <c r="M4" s="10"/>
      <c r="N4" s="10"/>
      <c r="O4" s="10"/>
      <c r="P4" s="10"/>
      <c r="Q4" s="10"/>
      <c r="R4" s="10"/>
      <c r="S4" s="10"/>
      <c r="T4" s="10"/>
      <c r="U4" s="10"/>
      <c r="V4" s="10"/>
      <c r="W4" s="10"/>
      <c r="X4" s="10"/>
      <c r="Y4" s="10"/>
      <c r="Z4" s="10"/>
    </row>
    <row r="5" ht="15.75" customHeight="1">
      <c r="A5" s="10"/>
      <c r="B5" s="65" t="s">
        <v>378</v>
      </c>
      <c r="C5" s="10"/>
      <c r="D5" s="10"/>
      <c r="E5" s="10"/>
      <c r="F5" s="10"/>
      <c r="G5" s="10"/>
      <c r="H5" s="10"/>
      <c r="I5" s="10"/>
      <c r="J5" s="10"/>
      <c r="K5" s="10"/>
      <c r="L5" s="10"/>
      <c r="M5" s="10"/>
      <c r="N5" s="10"/>
      <c r="O5" s="10"/>
      <c r="P5" s="10"/>
      <c r="Q5" s="10"/>
      <c r="R5" s="10"/>
      <c r="S5" s="10"/>
      <c r="T5" s="10"/>
      <c r="U5" s="10"/>
      <c r="V5" s="10"/>
      <c r="W5" s="10"/>
      <c r="X5" s="10"/>
      <c r="Y5" s="10"/>
      <c r="Z5" s="10"/>
    </row>
    <row r="6" ht="15.75" customHeight="1">
      <c r="A6" s="10"/>
      <c r="B6" s="65" t="s">
        <v>382</v>
      </c>
      <c r="C6" s="10"/>
      <c r="D6" s="10"/>
      <c r="E6" s="10"/>
      <c r="F6" s="10"/>
      <c r="G6" s="10"/>
      <c r="H6" s="10"/>
      <c r="I6" s="10"/>
      <c r="J6" s="10"/>
      <c r="K6" s="10"/>
      <c r="L6" s="10"/>
      <c r="M6" s="10"/>
      <c r="N6" s="10"/>
      <c r="O6" s="10"/>
      <c r="P6" s="10"/>
      <c r="Q6" s="10"/>
      <c r="R6" s="10"/>
      <c r="S6" s="10"/>
      <c r="T6" s="10"/>
      <c r="U6" s="10"/>
      <c r="V6" s="10"/>
      <c r="W6" s="10"/>
      <c r="X6" s="10"/>
      <c r="Y6" s="10"/>
      <c r="Z6" s="10"/>
    </row>
    <row r="7" ht="15.75" customHeight="1">
      <c r="A7" s="10"/>
      <c r="B7" s="65" t="s">
        <v>383</v>
      </c>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10"/>
      <c r="B8" s="65" t="s">
        <v>386</v>
      </c>
      <c r="C8" s="10"/>
      <c r="D8" s="10"/>
      <c r="E8" s="10"/>
      <c r="F8" s="10"/>
      <c r="G8" s="10"/>
      <c r="H8" s="10"/>
      <c r="I8" s="10"/>
      <c r="J8" s="10"/>
      <c r="K8" s="10"/>
      <c r="L8" s="10"/>
      <c r="M8" s="10"/>
      <c r="N8" s="10"/>
      <c r="O8" s="10"/>
      <c r="P8" s="10"/>
      <c r="Q8" s="10"/>
      <c r="R8" s="10"/>
      <c r="S8" s="10"/>
      <c r="T8" s="10"/>
      <c r="U8" s="10"/>
      <c r="V8" s="10"/>
      <c r="W8" s="10"/>
      <c r="X8" s="10"/>
      <c r="Y8" s="10"/>
      <c r="Z8" s="10"/>
    </row>
    <row r="9" ht="15.75" customHeight="1">
      <c r="A9" s="15" t="s">
        <v>98</v>
      </c>
      <c r="B9" s="65" t="s">
        <v>389</v>
      </c>
      <c r="C9" s="10"/>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65" t="s">
        <v>392</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15" t="s">
        <v>394</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0"/>
      <c r="B12" s="15" t="s">
        <v>397</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0"/>
      <c r="B13" s="15" t="s">
        <v>122</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0"/>
      <c r="B14" s="15" t="s">
        <v>400</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0"/>
      <c r="B15" s="15" t="s">
        <v>402</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5" t="s">
        <v>136</v>
      </c>
      <c r="B16" s="15" t="s">
        <v>405</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5" t="s">
        <v>407</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5" t="s">
        <v>137</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5" t="s">
        <v>414</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5" t="s">
        <v>415</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5" t="s">
        <v>150</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5" t="s">
        <v>157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5" t="s">
        <v>161</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5" t="s">
        <v>427</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5" t="s">
        <v>172</v>
      </c>
      <c r="B25" s="15" t="s">
        <v>429</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5" t="s">
        <v>433</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5" t="s">
        <v>435</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5" t="s">
        <v>437</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5" t="s">
        <v>440</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5" t="s">
        <v>442</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5" t="s">
        <v>443</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5" t="s">
        <v>446</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5" t="s">
        <v>449</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5"/>
      <c r="B34" s="15" t="s">
        <v>451</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5" t="s">
        <v>197</v>
      </c>
      <c r="B35" s="15" t="s">
        <v>452</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5" t="s">
        <v>454</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5" t="s">
        <v>456</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5" t="s">
        <v>458</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5" t="s">
        <v>235</v>
      </c>
      <c r="B39" s="15" t="s">
        <v>460</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5" t="s">
        <v>461</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5" t="s">
        <v>463</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5" t="s">
        <v>466</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5" t="s">
        <v>469</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5" t="s">
        <v>471</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ht="28.5" customHeight="1">
      <c r="A45" s="10"/>
      <c r="B45" s="15" t="s">
        <v>473</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5" t="s">
        <v>264</v>
      </c>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5" t="s">
        <v>479</v>
      </c>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5" t="s">
        <v>276</v>
      </c>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5" t="s">
        <v>282</v>
      </c>
      <c r="B49" s="15" t="s">
        <v>484</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5" t="s">
        <v>284</v>
      </c>
      <c r="B50" s="15" t="s">
        <v>489</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5" t="s">
        <v>321</v>
      </c>
      <c r="B51" s="15" t="s">
        <v>491</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5" t="s">
        <v>494</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5" t="s">
        <v>496</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5" t="s">
        <v>498</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5" t="s">
        <v>503</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5" t="s">
        <v>506</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5" t="s">
        <v>509</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5" t="s">
        <v>511</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5" t="s">
        <v>516</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5" t="s">
        <v>519</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5" t="s">
        <v>523</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5" t="s">
        <v>526</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5" t="s">
        <v>528</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5" t="s">
        <v>531</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5" t="s">
        <v>535</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5" t="s">
        <v>537</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5" t="s">
        <v>539</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5" t="s">
        <v>541</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5" t="s">
        <v>327</v>
      </c>
      <c r="B70" s="15"/>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5" t="s">
        <v>336</v>
      </c>
      <c r="B71" s="15"/>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5" t="s">
        <v>341</v>
      </c>
      <c r="B72" s="15" t="s">
        <v>544</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5" t="s">
        <v>545</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5" t="s">
        <v>547</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5" t="s">
        <v>548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5" t="s">
        <v>551</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5" t="s">
        <v>552</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5" t="s">
        <v>555</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5" t="s">
        <v>557</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5" t="s">
        <v>558</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5" t="s">
        <v>561</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5" t="s">
        <v>562</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5" t="s">
        <v>564</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5" t="s">
        <v>367</v>
      </c>
      <c r="B84" s="15" t="s">
        <v>566</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5" t="s">
        <v>568</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5" t="s">
        <v>569</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5" t="s">
        <v>570</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5" t="s">
        <v>572</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5" t="s">
        <v>575</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5" t="s">
        <v>395</v>
      </c>
      <c r="B90" s="15" t="s">
        <v>576</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5" t="s">
        <v>578</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5" t="s">
        <v>581</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5" t="s">
        <v>582</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5" t="s">
        <v>584</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5" t="s">
        <v>586</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5" t="s">
        <v>587</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5" t="s">
        <v>408</v>
      </c>
      <c r="B97" s="15" t="s">
        <v>590</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5" t="s">
        <v>591</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5" t="s">
        <v>595</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5" t="s">
        <v>596</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5" t="s">
        <v>416</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5" t="s">
        <v>420</v>
      </c>
      <c r="B102" s="15" t="s">
        <v>599</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5"/>
      <c r="B103" s="15" t="s">
        <v>601</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5"/>
      <c r="B104" s="15" t="s">
        <v>602</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5"/>
      <c r="B105" s="15" t="s">
        <v>605</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5"/>
      <c r="B106" s="15" t="s">
        <v>606</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5"/>
      <c r="B107" s="15" t="s">
        <v>607</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5" t="s">
        <v>431</v>
      </c>
      <c r="B108" s="15" t="s">
        <v>610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5"/>
      <c r="B109" s="15" t="s">
        <v>612</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5"/>
      <c r="B110" s="15" t="s">
        <v>614</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5"/>
      <c r="B111" s="15" t="s">
        <v>616</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5"/>
      <c r="B112" s="15" t="s">
        <v>617</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5"/>
      <c r="B113" s="15" t="s">
        <v>618</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5"/>
      <c r="B114" s="15" t="s">
        <v>619</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5"/>
      <c r="B115" s="15" t="s">
        <v>620</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5" t="s">
        <v>450</v>
      </c>
      <c r="B116" s="15" t="s">
        <v>622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5"/>
      <c r="B117" s="15" t="s">
        <v>457</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5"/>
      <c r="B118" s="15" t="s">
        <v>625</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5"/>
      <c r="B119" s="15" t="s">
        <v>465</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5" t="s">
        <v>474</v>
      </c>
      <c r="B120" s="15" t="s">
        <v>626</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5"/>
      <c r="B121" s="15" t="s">
        <v>476</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5"/>
      <c r="B122" s="15" t="s">
        <v>627</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5"/>
      <c r="B123" s="15" t="s">
        <v>630</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5" t="s">
        <v>482</v>
      </c>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5" t="s">
        <v>493</v>
      </c>
      <c r="B125" s="15" t="s">
        <v>631</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5"/>
      <c r="B126" s="15" t="s">
        <v>632</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5"/>
      <c r="B127" s="15" t="s">
        <v>634</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5"/>
      <c r="B128" s="15" t="s">
        <v>504</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5"/>
      <c r="B129" s="15" t="s">
        <v>635</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5" t="s">
        <v>636</v>
      </c>
      <c r="B130" s="15" t="s">
        <v>637</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5" t="s">
        <v>639</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5" t="s">
        <v>640</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5" t="s">
        <v>641</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5" t="s">
        <v>642</v>
      </c>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5" t="s">
        <v>517</v>
      </c>
      <c r="B135" s="15" t="s">
        <v>644</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5" t="s">
        <v>645</v>
      </c>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5" t="s">
        <v>646</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5" t="s">
        <v>647</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5" t="s">
        <v>649</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5" t="s">
        <v>651</v>
      </c>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5" t="s">
        <v>652</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5" t="s">
        <v>653</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5" t="s">
        <v>655</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5" t="s">
        <v>529</v>
      </c>
      <c r="B144" s="15" t="s">
        <v>656</v>
      </c>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5" t="s">
        <v>657</v>
      </c>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5" t="s">
        <v>658</v>
      </c>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5" t="s">
        <v>659</v>
      </c>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5" t="s">
        <v>661</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5"/>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5"/>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5"/>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5"/>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5"/>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5"/>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5"/>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5"/>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5"/>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5"/>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5"/>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5"/>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5"/>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15"/>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15"/>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15"/>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65"/>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65"/>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65"/>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5"/>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5"/>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5"/>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5"/>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5"/>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5"/>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5"/>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5"/>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5"/>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5"/>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5"/>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5"/>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5"/>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5"/>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5"/>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5"/>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5"/>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5"/>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5"/>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5"/>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5"/>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5"/>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5"/>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5"/>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5"/>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5"/>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5"/>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5"/>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5"/>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5"/>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5"/>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5"/>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5"/>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5"/>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5"/>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5"/>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5"/>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5"/>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5"/>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5"/>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sheetViews>
  <sheetFormatPr customHeight="1" defaultColWidth="14.43" defaultRowHeight="15.0"/>
  <cols>
    <col customWidth="1" min="1" max="1" width="36.43"/>
    <col customWidth="1" min="2" max="2" width="56.86"/>
    <col customWidth="1" min="3" max="26" width="12.57"/>
  </cols>
  <sheetData>
    <row r="1" ht="15.75" customHeight="1">
      <c r="A1" s="176" t="s">
        <v>1</v>
      </c>
      <c r="B1" s="176" t="s">
        <v>7</v>
      </c>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15</v>
      </c>
      <c r="B2" s="17"/>
      <c r="C2" s="18"/>
      <c r="D2" s="10"/>
      <c r="E2" s="10"/>
      <c r="F2" s="10"/>
      <c r="G2" s="10"/>
      <c r="H2" s="10"/>
      <c r="I2" s="10"/>
      <c r="J2" s="10"/>
      <c r="K2" s="10"/>
      <c r="L2" s="10"/>
      <c r="M2" s="10"/>
      <c r="N2" s="10"/>
      <c r="O2" s="10"/>
      <c r="P2" s="10"/>
      <c r="Q2" s="10"/>
      <c r="R2" s="10"/>
      <c r="S2" s="10"/>
      <c r="T2" s="10"/>
      <c r="U2" s="10"/>
      <c r="V2" s="10"/>
      <c r="W2" s="10"/>
      <c r="X2" s="10"/>
      <c r="Y2" s="10"/>
      <c r="Z2" s="10"/>
    </row>
    <row r="3" ht="15.75" customHeight="1">
      <c r="A3" s="15" t="s">
        <v>26</v>
      </c>
      <c r="B3" s="17" t="s">
        <v>27</v>
      </c>
      <c r="C3" s="18"/>
      <c r="D3" s="10"/>
      <c r="E3" s="10"/>
      <c r="F3" s="10"/>
      <c r="G3" s="10"/>
      <c r="H3" s="10"/>
      <c r="I3" s="10"/>
      <c r="J3" s="10"/>
      <c r="K3" s="10"/>
      <c r="L3" s="10"/>
      <c r="M3" s="10"/>
      <c r="N3" s="10"/>
      <c r="O3" s="10"/>
      <c r="P3" s="10"/>
      <c r="Q3" s="10"/>
      <c r="R3" s="10"/>
      <c r="S3" s="10"/>
      <c r="T3" s="10"/>
      <c r="U3" s="10"/>
      <c r="V3" s="10"/>
      <c r="W3" s="10"/>
      <c r="X3" s="10"/>
      <c r="Y3" s="10"/>
      <c r="Z3" s="10"/>
    </row>
    <row r="4" ht="15.75" customHeight="1">
      <c r="A4" s="10"/>
      <c r="B4" s="17" t="s">
        <v>38</v>
      </c>
      <c r="C4" s="18"/>
      <c r="D4" s="10"/>
      <c r="E4" s="10"/>
      <c r="F4" s="10"/>
      <c r="G4" s="10"/>
      <c r="H4" s="10"/>
      <c r="I4" s="10"/>
      <c r="J4" s="10"/>
      <c r="K4" s="10"/>
      <c r="L4" s="10"/>
      <c r="M4" s="10"/>
      <c r="N4" s="10"/>
      <c r="O4" s="10"/>
      <c r="P4" s="10"/>
      <c r="Q4" s="10"/>
      <c r="R4" s="10"/>
      <c r="S4" s="10"/>
      <c r="T4" s="10"/>
      <c r="U4" s="10"/>
      <c r="V4" s="10"/>
      <c r="W4" s="10"/>
      <c r="X4" s="10"/>
      <c r="Y4" s="10"/>
      <c r="Z4" s="10"/>
    </row>
    <row r="5" ht="15.75" customHeight="1">
      <c r="A5" s="10"/>
      <c r="B5" s="17" t="s">
        <v>44</v>
      </c>
      <c r="C5" s="18"/>
      <c r="D5" s="10"/>
      <c r="E5" s="10"/>
      <c r="F5" s="10"/>
      <c r="G5" s="10"/>
      <c r="H5" s="10"/>
      <c r="I5" s="10"/>
      <c r="J5" s="10"/>
      <c r="K5" s="10"/>
      <c r="L5" s="10"/>
      <c r="M5" s="10"/>
      <c r="N5" s="10"/>
      <c r="O5" s="10"/>
      <c r="P5" s="10"/>
      <c r="Q5" s="10"/>
      <c r="R5" s="10"/>
      <c r="S5" s="10"/>
      <c r="T5" s="10"/>
      <c r="U5" s="10"/>
      <c r="V5" s="10"/>
      <c r="W5" s="10"/>
      <c r="X5" s="10"/>
      <c r="Y5" s="10"/>
      <c r="Z5" s="10"/>
    </row>
    <row r="6" ht="15.75" customHeight="1">
      <c r="A6" s="10"/>
      <c r="B6" s="31" t="s">
        <v>49</v>
      </c>
      <c r="C6" s="18"/>
      <c r="D6" s="10"/>
      <c r="E6" s="10"/>
      <c r="F6" s="10"/>
      <c r="G6" s="10"/>
      <c r="H6" s="10"/>
      <c r="I6" s="10"/>
      <c r="J6" s="10"/>
      <c r="K6" s="10"/>
      <c r="L6" s="10"/>
      <c r="M6" s="10"/>
      <c r="N6" s="10"/>
      <c r="O6" s="10"/>
      <c r="P6" s="10"/>
      <c r="Q6" s="10"/>
      <c r="R6" s="10"/>
      <c r="S6" s="10"/>
      <c r="T6" s="10"/>
      <c r="U6" s="10"/>
      <c r="V6" s="10"/>
      <c r="W6" s="10"/>
      <c r="X6" s="10"/>
      <c r="Y6" s="10"/>
      <c r="Z6" s="10"/>
    </row>
    <row r="7" ht="15.75" customHeight="1">
      <c r="A7" s="10"/>
      <c r="B7" s="31" t="s">
        <v>59</v>
      </c>
      <c r="C7" s="18"/>
      <c r="D7" s="10"/>
      <c r="E7" s="10"/>
      <c r="F7" s="10"/>
      <c r="G7" s="10"/>
      <c r="H7" s="10"/>
      <c r="I7" s="10"/>
      <c r="J7" s="10"/>
      <c r="K7" s="10"/>
      <c r="L7" s="10"/>
      <c r="M7" s="10"/>
      <c r="N7" s="10"/>
      <c r="O7" s="10"/>
      <c r="P7" s="10"/>
      <c r="Q7" s="10"/>
      <c r="R7" s="10"/>
      <c r="S7" s="10"/>
      <c r="T7" s="10"/>
      <c r="U7" s="10"/>
      <c r="V7" s="10"/>
      <c r="W7" s="10"/>
      <c r="X7" s="10"/>
      <c r="Y7" s="10"/>
      <c r="Z7" s="10"/>
    </row>
    <row r="8" ht="15.75" customHeight="1">
      <c r="A8" s="10"/>
      <c r="B8" s="31" t="s">
        <v>63</v>
      </c>
      <c r="C8" s="18"/>
      <c r="D8" s="10"/>
      <c r="E8" s="10"/>
      <c r="F8" s="10"/>
      <c r="G8" s="10"/>
      <c r="H8" s="10"/>
      <c r="I8" s="10"/>
      <c r="J8" s="10"/>
      <c r="K8" s="10"/>
      <c r="L8" s="10"/>
      <c r="M8" s="10"/>
      <c r="N8" s="10"/>
      <c r="O8" s="10"/>
      <c r="P8" s="10"/>
      <c r="Q8" s="10"/>
      <c r="R8" s="10"/>
      <c r="S8" s="10"/>
      <c r="T8" s="10"/>
      <c r="U8" s="10"/>
      <c r="V8" s="10"/>
      <c r="W8" s="10"/>
      <c r="X8" s="10"/>
      <c r="Y8" s="10"/>
      <c r="Z8" s="10"/>
    </row>
    <row r="9" ht="15.75" customHeight="1">
      <c r="A9" s="10"/>
      <c r="B9" s="17" t="s">
        <v>68</v>
      </c>
      <c r="C9" s="18"/>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17" t="s">
        <v>72</v>
      </c>
      <c r="C10" s="18"/>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31" t="s">
        <v>85</v>
      </c>
      <c r="C11" s="18"/>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5" t="s">
        <v>98</v>
      </c>
      <c r="B12" s="31" t="s">
        <v>100</v>
      </c>
      <c r="C12" s="18"/>
      <c r="D12" s="10"/>
      <c r="E12" s="10"/>
      <c r="F12" s="10"/>
      <c r="G12" s="10"/>
      <c r="H12" s="10"/>
      <c r="I12" s="10"/>
      <c r="J12" s="10"/>
      <c r="K12" s="10"/>
      <c r="L12" s="10"/>
      <c r="M12" s="10"/>
      <c r="N12" s="10"/>
      <c r="O12" s="10"/>
      <c r="P12" s="10"/>
      <c r="Q12" s="10"/>
      <c r="R12" s="10"/>
      <c r="S12" s="10"/>
      <c r="T12" s="10"/>
      <c r="U12" s="10"/>
      <c r="V12" s="10"/>
      <c r="W12" s="10"/>
      <c r="X12" s="10"/>
      <c r="Y12" s="10"/>
      <c r="Z12" s="10"/>
    </row>
    <row r="13" ht="34.5" customHeight="1">
      <c r="A13" s="10"/>
      <c r="B13" s="31" t="s">
        <v>108</v>
      </c>
      <c r="C13" s="18"/>
      <c r="D13" s="10"/>
      <c r="E13" s="10"/>
      <c r="F13" s="10"/>
      <c r="G13" s="10"/>
      <c r="H13" s="10"/>
      <c r="I13" s="10"/>
      <c r="J13" s="10"/>
      <c r="K13" s="10"/>
      <c r="L13" s="10"/>
      <c r="M13" s="10"/>
      <c r="N13" s="10"/>
      <c r="O13" s="10"/>
      <c r="P13" s="10"/>
      <c r="Q13" s="10"/>
      <c r="R13" s="10"/>
      <c r="S13" s="10"/>
      <c r="T13" s="10"/>
      <c r="U13" s="10"/>
      <c r="V13" s="10"/>
      <c r="W13" s="10"/>
      <c r="X13" s="10"/>
      <c r="Y13" s="10"/>
      <c r="Z13" s="10"/>
    </row>
    <row r="14" ht="31.5" customHeight="1">
      <c r="A14" s="10"/>
      <c r="B14" s="31" t="s">
        <v>112</v>
      </c>
      <c r="C14" s="18"/>
      <c r="D14" s="10"/>
      <c r="E14" s="10"/>
      <c r="F14" s="10"/>
      <c r="G14" s="10"/>
      <c r="H14" s="10"/>
      <c r="I14" s="10"/>
      <c r="J14" s="10"/>
      <c r="K14" s="10"/>
      <c r="L14" s="10"/>
      <c r="M14" s="10"/>
      <c r="N14" s="10"/>
      <c r="O14" s="10"/>
      <c r="P14" s="10"/>
      <c r="Q14" s="10"/>
      <c r="R14" s="10"/>
      <c r="S14" s="10"/>
      <c r="T14" s="10"/>
      <c r="U14" s="10"/>
      <c r="V14" s="10"/>
      <c r="W14" s="10"/>
      <c r="X14" s="10"/>
      <c r="Y14" s="10"/>
      <c r="Z14" s="10"/>
    </row>
    <row r="15" ht="33.0" customHeight="1">
      <c r="A15" s="10"/>
      <c r="B15" s="31" t="s">
        <v>119</v>
      </c>
      <c r="C15" s="18"/>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31" t="s">
        <v>122</v>
      </c>
      <c r="C16" s="18"/>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31" t="s">
        <v>127</v>
      </c>
      <c r="C17" s="18"/>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31" t="s">
        <v>132</v>
      </c>
      <c r="C18" s="18"/>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5" t="s">
        <v>136</v>
      </c>
      <c r="B19" s="31" t="s">
        <v>137</v>
      </c>
      <c r="C19" s="18"/>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31" t="s">
        <v>141</v>
      </c>
      <c r="C20" s="18"/>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31" t="s">
        <v>150</v>
      </c>
      <c r="C21" s="65"/>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31" t="s">
        <v>157</v>
      </c>
      <c r="C22" s="65"/>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31" t="s">
        <v>161</v>
      </c>
      <c r="C23" s="65"/>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31" t="s">
        <v>168</v>
      </c>
      <c r="C24" s="65"/>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5" t="s">
        <v>172</v>
      </c>
      <c r="B25" s="31" t="s">
        <v>173</v>
      </c>
      <c r="C25" s="65"/>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31" t="s">
        <v>180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5" t="s">
        <v>184</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31" t="s">
        <v>188</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31" t="s">
        <v>192</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5" t="s">
        <v>197</v>
      </c>
      <c r="B30" s="31" t="s">
        <v>199</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31" t="s">
        <v>203</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31" t="s">
        <v>209</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31" t="s">
        <v>218</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31" t="s">
        <v>223</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31" t="s">
        <v>226</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5" t="s">
        <v>235</v>
      </c>
      <c r="B36" s="31" t="s">
        <v>236</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31" t="s">
        <v>243</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31" t="s">
        <v>248</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31" t="s">
        <v>254</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31" t="s">
        <v>260</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5" t="s">
        <v>264</v>
      </c>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5" t="s">
        <v>272</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5" t="s">
        <v>276</v>
      </c>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5" t="s">
        <v>282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5" t="s">
        <v>284</v>
      </c>
      <c r="B45" s="31" t="s">
        <v>285</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31" t="s">
        <v>288</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31" t="s">
        <v>291</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31" t="s">
        <v>292</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31" t="s">
        <v>293</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31" t="s">
        <v>297</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31" t="s">
        <v>299</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31" t="s">
        <v>300</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31" t="s">
        <v>302</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31" t="s">
        <v>304</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31" t="s">
        <v>307</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31" t="s">
        <v>309</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31" t="s">
        <v>310</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31" t="s">
        <v>313</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31" t="s">
        <v>317</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5" t="s">
        <v>321</v>
      </c>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5" t="s">
        <v>327</v>
      </c>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5" t="s">
        <v>336</v>
      </c>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5" t="s">
        <v>341</v>
      </c>
      <c r="B63" s="31" t="s">
        <v>343</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31" t="s">
        <v>352</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31" t="s">
        <v>356</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31" t="s">
        <v>357</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31" t="s">
        <v>358</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31" t="s">
        <v>361</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31" t="s">
        <v>362</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31" t="s">
        <v>363</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5" t="s">
        <v>367</v>
      </c>
      <c r="B71" s="31" t="s">
        <v>368</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31" t="s">
        <v>371</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31" t="s">
        <v>373</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31" t="s">
        <v>377</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31" t="s">
        <v>381</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31" t="s">
        <v>384</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31" t="s">
        <v>387</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31" t="s">
        <v>391</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5" t="s">
        <v>395</v>
      </c>
      <c r="B79" s="31" t="s">
        <v>396</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31" t="s">
        <v>399</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31" t="s">
        <v>401</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31" t="s">
        <v>404</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5" t="s">
        <v>408</v>
      </c>
      <c r="B83" s="31" t="s">
        <v>409</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31" t="s">
        <v>412</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5"/>
      <c r="B85" s="31" t="s">
        <v>416</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5"/>
      <c r="B86" s="31" t="s">
        <v>419</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5" t="s">
        <v>420</v>
      </c>
      <c r="B87" s="31" t="s">
        <v>421</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5"/>
      <c r="B88" s="31" t="s">
        <v>423</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5"/>
      <c r="B89" s="31" t="s">
        <v>426</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5"/>
      <c r="B90" s="31" t="s">
        <v>428</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5" t="s">
        <v>431</v>
      </c>
      <c r="B91" s="31" t="s">
        <v>432</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31" t="s">
        <v>434</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31" t="s">
        <v>436</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31" t="s">
        <v>439</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31" t="s">
        <v>441</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31" t="s">
        <v>444</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31" t="s">
        <v>448</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97" t="s">
        <v>450</v>
      </c>
      <c r="B98" s="31" t="s">
        <v>453</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31" t="s">
        <v>457</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31" t="s">
        <v>459</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31" t="s">
        <v>462</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31" t="s">
        <v>464</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31" t="s">
        <v>465</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31" t="s">
        <v>468</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31" t="s">
        <v>470</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97" t="s">
        <v>474</v>
      </c>
      <c r="B106" s="31" t="s">
        <v>476</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31" t="s">
        <v>478</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31" t="s">
        <v>480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97" t="s">
        <v>482</v>
      </c>
      <c r="B109" s="31" t="s">
        <v>483</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31" t="s">
        <v>487</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31" t="s">
        <v>490</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97" t="s">
        <v>493</v>
      </c>
      <c r="B112" s="31" t="s">
        <v>495</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31" t="s">
        <v>497</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31" t="s">
        <v>500</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31" t="s">
        <v>504</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31" t="s">
        <v>505</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97" t="s">
        <v>507</v>
      </c>
      <c r="B117" s="31" t="s">
        <v>508</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5" t="s">
        <v>510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31" t="s">
        <v>514</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97" t="s">
        <v>517</v>
      </c>
      <c r="B120" s="31" t="s">
        <v>518</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31" t="s">
        <v>520</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31" t="s">
        <v>524</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31" t="s">
        <v>525</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97" t="s">
        <v>529</v>
      </c>
      <c r="B124" s="31" t="s">
        <v>530</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31" t="s">
        <v>532</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31"/>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31"/>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31"/>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31"/>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31"/>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31"/>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31"/>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31"/>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31"/>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31"/>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31"/>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31"/>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31"/>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31"/>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31"/>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31"/>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31"/>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31"/>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31"/>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31"/>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31"/>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31"/>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31"/>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31"/>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31"/>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31"/>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31"/>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31"/>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31"/>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31"/>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31"/>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31"/>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31"/>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31"/>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31"/>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31"/>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31"/>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31"/>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31"/>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31"/>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31"/>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31"/>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31"/>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31"/>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31"/>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31"/>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31"/>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31"/>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31"/>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31"/>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31"/>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31"/>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31"/>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31"/>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31"/>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31"/>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31"/>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31"/>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31"/>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31"/>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31"/>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31"/>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31"/>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31"/>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31"/>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31"/>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31"/>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31"/>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31"/>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31"/>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31"/>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31"/>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31"/>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31"/>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31"/>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31"/>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31"/>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31"/>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31"/>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31"/>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31"/>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31"/>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31"/>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31"/>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31"/>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31"/>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31"/>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31"/>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31"/>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31"/>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31"/>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31"/>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31"/>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31"/>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31"/>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31"/>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31"/>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31"/>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31"/>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31"/>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31"/>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31"/>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31"/>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31"/>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31"/>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31"/>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31"/>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31"/>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31"/>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31"/>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31"/>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31"/>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31"/>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31"/>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31"/>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31"/>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31"/>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31"/>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31"/>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31"/>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31"/>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31"/>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31"/>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31"/>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31"/>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31"/>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31"/>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31"/>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31"/>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31"/>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31"/>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31"/>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31"/>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31"/>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31"/>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31"/>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31"/>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31"/>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31"/>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31"/>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31"/>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31"/>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31"/>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31"/>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31"/>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31"/>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31"/>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31"/>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31"/>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31"/>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31"/>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31"/>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31"/>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31"/>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31"/>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31"/>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31"/>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31"/>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31"/>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31"/>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31"/>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31"/>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31"/>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31"/>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31"/>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31"/>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31"/>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31"/>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31"/>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31"/>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31"/>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31"/>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31"/>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31"/>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31"/>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31"/>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31"/>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31"/>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31"/>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31"/>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31"/>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31"/>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31"/>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31"/>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31"/>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31"/>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31"/>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31"/>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31"/>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31"/>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31"/>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31"/>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31"/>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31"/>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31"/>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31"/>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31"/>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31"/>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31"/>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31"/>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sheetViews>
  <sheetFormatPr customHeight="1" defaultColWidth="14.43" defaultRowHeight="15.0"/>
  <cols>
    <col customWidth="1" min="1" max="2" width="37.14"/>
    <col customWidth="1" min="3" max="26" width="12.57"/>
  </cols>
  <sheetData>
    <row r="1" ht="15.75" customHeight="1">
      <c r="A1" s="91" t="s">
        <v>1</v>
      </c>
      <c r="B1" s="91" t="s">
        <v>369</v>
      </c>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15</v>
      </c>
      <c r="B2" s="15"/>
      <c r="C2" s="10"/>
      <c r="D2" s="10"/>
      <c r="E2" s="10"/>
      <c r="F2" s="10"/>
      <c r="G2" s="10"/>
      <c r="H2" s="10"/>
      <c r="I2" s="10"/>
      <c r="J2" s="10"/>
      <c r="K2" s="10"/>
      <c r="L2" s="10"/>
      <c r="M2" s="10"/>
      <c r="N2" s="10"/>
      <c r="O2" s="10"/>
      <c r="P2" s="10"/>
      <c r="Q2" s="10"/>
      <c r="R2" s="10"/>
      <c r="S2" s="10"/>
      <c r="T2" s="10"/>
      <c r="U2" s="10"/>
      <c r="V2" s="10"/>
      <c r="W2" s="10"/>
      <c r="X2" s="10"/>
      <c r="Y2" s="10"/>
      <c r="Z2" s="10"/>
    </row>
    <row r="3" ht="15.75" customHeight="1">
      <c r="A3" s="15"/>
      <c r="B3" s="15" t="s">
        <v>27</v>
      </c>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5"/>
      <c r="B4" s="15" t="s">
        <v>38</v>
      </c>
      <c r="C4" s="10"/>
      <c r="D4" s="10"/>
      <c r="E4" s="10"/>
      <c r="F4" s="10"/>
      <c r="G4" s="10"/>
      <c r="H4" s="10"/>
      <c r="I4" s="10"/>
      <c r="J4" s="10"/>
      <c r="K4" s="10"/>
      <c r="L4" s="10"/>
      <c r="M4" s="10"/>
      <c r="N4" s="10"/>
      <c r="O4" s="10"/>
      <c r="P4" s="10"/>
      <c r="Q4" s="10"/>
      <c r="R4" s="10"/>
      <c r="S4" s="10"/>
      <c r="T4" s="10"/>
      <c r="U4" s="10"/>
      <c r="V4" s="10"/>
      <c r="W4" s="10"/>
      <c r="X4" s="10"/>
      <c r="Y4" s="10"/>
      <c r="Z4" s="10"/>
    </row>
    <row r="5" ht="15.75" customHeight="1">
      <c r="A5" s="15" t="s">
        <v>1272</v>
      </c>
      <c r="B5" s="15" t="s">
        <v>1273</v>
      </c>
      <c r="C5" s="10"/>
      <c r="D5" s="10"/>
      <c r="E5" s="10"/>
      <c r="F5" s="10"/>
      <c r="G5" s="10"/>
      <c r="H5" s="10"/>
      <c r="I5" s="10"/>
      <c r="J5" s="10"/>
      <c r="K5" s="10"/>
      <c r="L5" s="10"/>
      <c r="M5" s="10"/>
      <c r="N5" s="10"/>
      <c r="O5" s="10"/>
      <c r="P5" s="10"/>
      <c r="Q5" s="10"/>
      <c r="R5" s="10"/>
      <c r="S5" s="10"/>
      <c r="T5" s="10"/>
      <c r="U5" s="10"/>
      <c r="V5" s="10"/>
      <c r="W5" s="10"/>
      <c r="X5" s="10"/>
      <c r="Y5" s="10"/>
      <c r="Z5" s="10"/>
    </row>
    <row r="6" ht="15.75" customHeight="1">
      <c r="A6" s="10"/>
      <c r="B6" s="15" t="s">
        <v>1275</v>
      </c>
      <c r="C6" s="10"/>
      <c r="D6" s="10"/>
      <c r="E6" s="10"/>
      <c r="F6" s="10"/>
      <c r="G6" s="10"/>
      <c r="H6" s="10"/>
      <c r="I6" s="10"/>
      <c r="J6" s="10"/>
      <c r="K6" s="10"/>
      <c r="L6" s="10"/>
      <c r="M6" s="10"/>
      <c r="N6" s="10"/>
      <c r="O6" s="10"/>
      <c r="P6" s="10"/>
      <c r="Q6" s="10"/>
      <c r="R6" s="10"/>
      <c r="S6" s="10"/>
      <c r="T6" s="10"/>
      <c r="U6" s="10"/>
      <c r="V6" s="10"/>
      <c r="W6" s="10"/>
      <c r="X6" s="10"/>
      <c r="Y6" s="10"/>
      <c r="Z6" s="10"/>
    </row>
    <row r="7" ht="15.75" customHeight="1">
      <c r="A7" s="10"/>
      <c r="B7" s="15" t="s">
        <v>1276</v>
      </c>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10"/>
      <c r="B8" s="15" t="s">
        <v>1277</v>
      </c>
      <c r="C8" s="10"/>
      <c r="D8" s="10"/>
      <c r="E8" s="10"/>
      <c r="F8" s="10"/>
      <c r="G8" s="10"/>
      <c r="H8" s="10"/>
      <c r="I8" s="10"/>
      <c r="J8" s="10"/>
      <c r="K8" s="10"/>
      <c r="L8" s="10"/>
      <c r="M8" s="10"/>
      <c r="N8" s="10"/>
      <c r="O8" s="10"/>
      <c r="P8" s="10"/>
      <c r="Q8" s="10"/>
      <c r="R8" s="10"/>
      <c r="S8" s="10"/>
      <c r="T8" s="10"/>
      <c r="U8" s="10"/>
      <c r="V8" s="10"/>
      <c r="W8" s="10"/>
      <c r="X8" s="10"/>
      <c r="Y8" s="10"/>
      <c r="Z8" s="10"/>
    </row>
    <row r="9" ht="15.75" customHeight="1">
      <c r="A9" s="10"/>
      <c r="B9" s="15" t="s">
        <v>1278</v>
      </c>
      <c r="C9" s="10"/>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15" t="s">
        <v>1279</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15" t="s">
        <v>1280</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5" t="s">
        <v>98</v>
      </c>
      <c r="B12" s="15" t="s">
        <v>1283</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0"/>
      <c r="B13" s="15" t="s">
        <v>108</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0"/>
      <c r="B14" s="15" t="s">
        <v>1286</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0"/>
      <c r="B15" s="15" t="s">
        <v>1287</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15" t="s">
        <v>1288</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5" t="s">
        <v>127</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5" t="s">
        <v>132</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5" t="s">
        <v>136</v>
      </c>
      <c r="B19" s="15" t="s">
        <v>1291</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5" t="s">
        <v>141</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5" t="s">
        <v>150</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5" t="s">
        <v>157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5" t="s">
        <v>161</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5" t="s">
        <v>168</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5" t="s">
        <v>172</v>
      </c>
      <c r="B25" s="15" t="s">
        <v>173</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5" t="s">
        <v>180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5" t="s">
        <v>184</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5" t="s">
        <v>188</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5" t="s">
        <v>192</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5" t="s">
        <v>197</v>
      </c>
      <c r="B30" s="15" t="s">
        <v>1295</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5" t="s">
        <v>454</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5" t="s">
        <v>1296</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5" t="s">
        <v>1297</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5" t="s">
        <v>1300</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5" t="s">
        <v>1301</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5" t="s">
        <v>235</v>
      </c>
      <c r="B36" s="15" t="s">
        <v>236</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5" t="s">
        <v>1302</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5" t="s">
        <v>1303</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5" t="s">
        <v>254</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5" t="s">
        <v>260</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5" t="s">
        <v>264</v>
      </c>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5" t="s">
        <v>479</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5" t="s">
        <v>276</v>
      </c>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5" t="s">
        <v>282</v>
      </c>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5" t="s">
        <v>284</v>
      </c>
      <c r="B45" s="15" t="s">
        <v>1308</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5" t="s">
        <v>321</v>
      </c>
      <c r="B46" s="15" t="s">
        <v>1309</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5" t="s">
        <v>1310</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5" t="s">
        <v>1311</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5" t="s">
        <v>1312</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5" t="s">
        <v>1313</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5" t="s">
        <v>1314</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5" t="s">
        <v>1317</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5" t="s">
        <v>1318</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5" t="s">
        <v>1319</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5" t="s">
        <v>1320</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5" t="s">
        <v>1321</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5" t="s">
        <v>1318</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5" t="s">
        <v>1322</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5" t="s">
        <v>1323</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5"/>
      <c r="B60" s="15" t="s">
        <v>1325</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5"/>
      <c r="B61" s="15" t="s">
        <v>1326</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5"/>
      <c r="B62" s="15" t="s">
        <v>1320</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5" t="s">
        <v>327</v>
      </c>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15" t="s">
        <v>336</v>
      </c>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5" t="s">
        <v>341</v>
      </c>
      <c r="B67" s="15" t="s">
        <v>1329</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5" t="s">
        <v>352</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5" t="s">
        <v>356</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5" t="s">
        <v>1331</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5" t="s">
        <v>358</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5" t="s">
        <v>361</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5" t="s">
        <v>362</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5" t="s">
        <v>1332</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5" t="s">
        <v>367</v>
      </c>
      <c r="B75" s="31" t="s">
        <v>368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31" t="s">
        <v>371</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31" t="s">
        <v>373</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31" t="s">
        <v>377</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31" t="s">
        <v>381</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31" t="s">
        <v>384</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31" t="s">
        <v>387</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31" t="s">
        <v>391</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5" t="s">
        <v>395</v>
      </c>
      <c r="B83" s="31" t="s">
        <v>396</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31" t="s">
        <v>399</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31" t="s">
        <v>401</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31" t="s">
        <v>404</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5" t="s">
        <v>408</v>
      </c>
      <c r="B87" s="31" t="s">
        <v>409</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31" t="s">
        <v>412</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5"/>
      <c r="B89" s="31" t="s">
        <v>416</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5"/>
      <c r="B90" s="31" t="s">
        <v>419</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5" t="s">
        <v>420</v>
      </c>
      <c r="B91" s="31" t="s">
        <v>421</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5"/>
      <c r="B92" s="31" t="s">
        <v>423</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5"/>
      <c r="B93" s="31" t="s">
        <v>426</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5"/>
      <c r="B94" s="31" t="s">
        <v>428</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5" t="s">
        <v>431</v>
      </c>
      <c r="B95" s="31" t="s">
        <v>432</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31" t="s">
        <v>434</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31" t="s">
        <v>436</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31" t="s">
        <v>439</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31" t="s">
        <v>441</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31" t="s">
        <v>444</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31" t="s">
        <v>448</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97" t="s">
        <v>450</v>
      </c>
      <c r="B102" s="31" t="s">
        <v>453</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31" t="s">
        <v>457</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31" t="s">
        <v>459</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31" t="s">
        <v>462</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31" t="s">
        <v>464</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31" t="s">
        <v>465</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31" t="s">
        <v>468</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31" t="s">
        <v>470</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97" t="s">
        <v>474</v>
      </c>
      <c r="B110" s="31" t="s">
        <v>476</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31" t="s">
        <v>478</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31" t="s">
        <v>480</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97" t="s">
        <v>482</v>
      </c>
      <c r="B113" s="31" t="s">
        <v>483</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31" t="s">
        <v>487</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31" t="s">
        <v>490</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97" t="s">
        <v>493</v>
      </c>
      <c r="B116" s="31" t="s">
        <v>495</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31" t="s">
        <v>497</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31" t="s">
        <v>500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31" t="s">
        <v>504</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31" t="s">
        <v>505</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97" t="s">
        <v>507</v>
      </c>
      <c r="B121" s="31" t="s">
        <v>508</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5" t="s">
        <v>510</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31" t="s">
        <v>514</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97" t="s">
        <v>517</v>
      </c>
      <c r="B124" s="31" t="s">
        <v>518</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31" t="s">
        <v>520</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31" t="s">
        <v>524</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31" t="s">
        <v>525</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97" t="s">
        <v>529</v>
      </c>
      <c r="B128" s="31" t="s">
        <v>530</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31" t="s">
        <v>532</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sheetViews>
  <sheetFormatPr customHeight="1" defaultColWidth="14.43" defaultRowHeight="15.0"/>
  <cols>
    <col customWidth="1" min="1" max="1" width="53.86"/>
    <col customWidth="1" min="2" max="26" width="12.71"/>
  </cols>
  <sheetData>
    <row r="1" ht="15.75" customHeight="1">
      <c r="A1" s="176" t="s">
        <v>1</v>
      </c>
      <c r="B1" s="10"/>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15</v>
      </c>
      <c r="B2" s="10"/>
      <c r="C2" s="10"/>
      <c r="D2" s="10"/>
      <c r="E2" s="10"/>
      <c r="F2" s="10"/>
      <c r="G2" s="10"/>
      <c r="H2" s="10"/>
      <c r="I2" s="10"/>
      <c r="J2" s="10"/>
      <c r="K2" s="10"/>
      <c r="L2" s="10"/>
      <c r="M2" s="10"/>
      <c r="N2" s="10"/>
      <c r="O2" s="10"/>
      <c r="P2" s="10"/>
      <c r="Q2" s="10"/>
      <c r="R2" s="10"/>
      <c r="S2" s="10"/>
      <c r="T2" s="10"/>
      <c r="U2" s="10"/>
      <c r="V2" s="10"/>
      <c r="W2" s="10"/>
      <c r="X2" s="10"/>
      <c r="Y2" s="10"/>
      <c r="Z2" s="10"/>
    </row>
    <row r="3" ht="15.75" customHeight="1">
      <c r="A3" s="15" t="s">
        <v>1354</v>
      </c>
      <c r="B3" s="10"/>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5" t="s">
        <v>98</v>
      </c>
      <c r="B4" s="10"/>
      <c r="C4" s="10"/>
      <c r="D4" s="10"/>
      <c r="E4" s="10"/>
      <c r="F4" s="10"/>
      <c r="G4" s="10"/>
      <c r="H4" s="10"/>
      <c r="I4" s="10"/>
      <c r="J4" s="10"/>
      <c r="K4" s="10"/>
      <c r="L4" s="10"/>
      <c r="M4" s="10"/>
      <c r="N4" s="10"/>
      <c r="O4" s="10"/>
      <c r="P4" s="10"/>
      <c r="Q4" s="10"/>
      <c r="R4" s="10"/>
      <c r="S4" s="10"/>
      <c r="T4" s="10"/>
      <c r="U4" s="10"/>
      <c r="V4" s="10"/>
      <c r="W4" s="10"/>
      <c r="X4" s="10"/>
      <c r="Y4" s="10"/>
      <c r="Z4" s="10"/>
    </row>
    <row r="5" ht="15.75" customHeight="1">
      <c r="A5" s="15" t="s">
        <v>136</v>
      </c>
      <c r="B5" s="10"/>
      <c r="C5" s="10"/>
      <c r="D5" s="10"/>
      <c r="E5" s="10"/>
      <c r="F5" s="10"/>
      <c r="G5" s="10"/>
      <c r="H5" s="10"/>
      <c r="I5" s="10"/>
      <c r="J5" s="10"/>
      <c r="K5" s="10"/>
      <c r="L5" s="10"/>
      <c r="M5" s="10"/>
      <c r="N5" s="10"/>
      <c r="O5" s="10"/>
      <c r="P5" s="10"/>
      <c r="Q5" s="10"/>
      <c r="R5" s="10"/>
      <c r="S5" s="10"/>
      <c r="T5" s="10"/>
      <c r="U5" s="10"/>
      <c r="V5" s="10"/>
      <c r="W5" s="10"/>
      <c r="X5" s="10"/>
      <c r="Y5" s="10"/>
      <c r="Z5" s="10"/>
    </row>
    <row r="6" ht="15.75" customHeight="1">
      <c r="A6" s="15" t="s">
        <v>172</v>
      </c>
      <c r="B6" s="10"/>
      <c r="C6" s="10"/>
      <c r="D6" s="10"/>
      <c r="E6" s="10"/>
      <c r="F6" s="10"/>
      <c r="G6" s="10"/>
      <c r="H6" s="10"/>
      <c r="I6" s="10"/>
      <c r="J6" s="10"/>
      <c r="K6" s="10"/>
      <c r="L6" s="10"/>
      <c r="M6" s="10"/>
      <c r="N6" s="10"/>
      <c r="O6" s="10"/>
      <c r="P6" s="10"/>
      <c r="Q6" s="10"/>
      <c r="R6" s="10"/>
      <c r="S6" s="10"/>
      <c r="T6" s="10"/>
      <c r="U6" s="10"/>
      <c r="V6" s="10"/>
      <c r="W6" s="10"/>
      <c r="X6" s="10"/>
      <c r="Y6" s="10"/>
      <c r="Z6" s="10"/>
    </row>
    <row r="7" ht="15.75" customHeight="1">
      <c r="A7" s="15" t="s">
        <v>1356</v>
      </c>
      <c r="B7" s="10"/>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15" t="s">
        <v>1357</v>
      </c>
      <c r="B8" s="10"/>
      <c r="C8" s="10"/>
      <c r="D8" s="10"/>
      <c r="E8" s="10"/>
      <c r="F8" s="10"/>
      <c r="G8" s="10"/>
      <c r="H8" s="10"/>
      <c r="I8" s="10"/>
      <c r="J8" s="10"/>
      <c r="K8" s="10"/>
      <c r="L8" s="10"/>
      <c r="M8" s="10"/>
      <c r="N8" s="10"/>
      <c r="O8" s="10"/>
      <c r="P8" s="10"/>
      <c r="Q8" s="10"/>
      <c r="R8" s="10"/>
      <c r="S8" s="10"/>
      <c r="T8" s="10"/>
      <c r="U8" s="10"/>
      <c r="V8" s="10"/>
      <c r="W8" s="10"/>
      <c r="X8" s="10"/>
      <c r="Y8" s="10"/>
      <c r="Z8" s="10"/>
    </row>
    <row r="9" ht="15.75" customHeight="1">
      <c r="A9" s="15" t="s">
        <v>321</v>
      </c>
      <c r="B9" s="10"/>
      <c r="C9" s="10"/>
      <c r="D9" s="10"/>
      <c r="E9" s="10"/>
      <c r="F9" s="10"/>
      <c r="G9" s="10"/>
      <c r="H9" s="10"/>
      <c r="I9" s="10"/>
      <c r="J9" s="10"/>
      <c r="K9" s="10"/>
      <c r="L9" s="10"/>
      <c r="M9" s="10"/>
      <c r="N9" s="10"/>
      <c r="O9" s="10"/>
      <c r="P9" s="10"/>
      <c r="Q9" s="10"/>
      <c r="R9" s="10"/>
      <c r="S9" s="10"/>
      <c r="T9" s="10"/>
      <c r="U9" s="10"/>
      <c r="V9" s="10"/>
      <c r="W9" s="10"/>
      <c r="X9" s="10"/>
      <c r="Y9" s="10"/>
      <c r="Z9" s="10"/>
    </row>
    <row r="10" ht="15.75" customHeight="1">
      <c r="A10" s="15" t="s">
        <v>327</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5" t="s">
        <v>1359</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5" t="s">
        <v>1360</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5" t="s">
        <v>1362</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5" t="s">
        <v>1364</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5" t="s">
        <v>1365</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5" t="s">
        <v>341</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sheetPr>
  <sheetViews>
    <sheetView workbookViewId="0"/>
  </sheetViews>
  <sheetFormatPr customHeight="1" defaultColWidth="14.43" defaultRowHeight="15.0"/>
  <cols>
    <col customWidth="1" min="1" max="1" width="36.29"/>
    <col customWidth="1" min="2" max="26" width="12.71"/>
  </cols>
  <sheetData>
    <row r="1" ht="15.75" customHeight="1">
      <c r="A1" s="176" t="s">
        <v>1</v>
      </c>
      <c r="B1" s="10"/>
      <c r="C1" s="10"/>
      <c r="D1" s="10"/>
      <c r="E1" s="10"/>
      <c r="F1" s="10"/>
      <c r="G1" s="10"/>
      <c r="H1" s="10"/>
      <c r="I1" s="10"/>
      <c r="J1" s="10"/>
      <c r="K1" s="10"/>
      <c r="L1" s="10"/>
      <c r="M1" s="10"/>
      <c r="N1" s="10"/>
      <c r="O1" s="10"/>
      <c r="P1" s="10"/>
      <c r="Q1" s="10"/>
      <c r="R1" s="10"/>
      <c r="S1" s="10"/>
      <c r="T1" s="10"/>
      <c r="U1" s="10"/>
      <c r="V1" s="10"/>
      <c r="W1" s="10"/>
      <c r="X1" s="10"/>
      <c r="Y1" s="10"/>
      <c r="Z1" s="10"/>
    </row>
    <row r="2" ht="15.75" customHeight="1">
      <c r="A2" s="15" t="s">
        <v>1434</v>
      </c>
      <c r="B2" s="10"/>
      <c r="C2" s="10"/>
      <c r="D2" s="10"/>
      <c r="E2" s="10"/>
      <c r="F2" s="10"/>
      <c r="G2" s="10"/>
      <c r="H2" s="10"/>
      <c r="I2" s="10"/>
      <c r="J2" s="10"/>
      <c r="K2" s="10"/>
      <c r="L2" s="10"/>
      <c r="M2" s="10"/>
      <c r="N2" s="10"/>
      <c r="O2" s="10"/>
      <c r="P2" s="10"/>
      <c r="Q2" s="10"/>
      <c r="R2" s="10"/>
      <c r="S2" s="10"/>
      <c r="T2" s="10"/>
      <c r="U2" s="10"/>
      <c r="V2" s="10"/>
      <c r="W2" s="10"/>
      <c r="X2" s="10"/>
      <c r="Y2" s="10"/>
      <c r="Z2" s="10"/>
    </row>
    <row r="3" ht="15.75" customHeight="1">
      <c r="A3" s="15" t="s">
        <v>1435</v>
      </c>
      <c r="B3" s="10"/>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5" t="s">
        <v>1436</v>
      </c>
      <c r="B4" s="10"/>
      <c r="C4" s="10"/>
      <c r="D4" s="10"/>
      <c r="E4" s="10"/>
      <c r="F4" s="10"/>
      <c r="G4" s="10"/>
      <c r="H4" s="10"/>
      <c r="I4" s="10"/>
      <c r="J4" s="10"/>
      <c r="K4" s="10"/>
      <c r="L4" s="10"/>
      <c r="M4" s="10"/>
      <c r="N4" s="10"/>
      <c r="O4" s="10"/>
      <c r="P4" s="10"/>
      <c r="Q4" s="10"/>
      <c r="R4" s="10"/>
      <c r="S4" s="10"/>
      <c r="T4" s="10"/>
      <c r="U4" s="10"/>
      <c r="V4" s="10"/>
      <c r="W4" s="10"/>
      <c r="X4" s="10"/>
      <c r="Y4" s="10"/>
      <c r="Z4" s="10"/>
    </row>
    <row r="5" ht="15.75" customHeight="1">
      <c r="A5" s="15" t="s">
        <v>1437</v>
      </c>
      <c r="B5" s="10"/>
      <c r="C5" s="10"/>
      <c r="D5" s="10"/>
      <c r="E5" s="10"/>
      <c r="F5" s="10"/>
      <c r="G5" s="10"/>
      <c r="H5" s="10"/>
      <c r="I5" s="10"/>
      <c r="J5" s="10"/>
      <c r="K5" s="10"/>
      <c r="L5" s="10"/>
      <c r="M5" s="10"/>
      <c r="N5" s="10"/>
      <c r="O5" s="10"/>
      <c r="P5" s="10"/>
      <c r="Q5" s="10"/>
      <c r="R5" s="10"/>
      <c r="S5" s="10"/>
      <c r="T5" s="10"/>
      <c r="U5" s="10"/>
      <c r="V5" s="10"/>
      <c r="W5" s="10"/>
      <c r="X5" s="10"/>
      <c r="Y5" s="10"/>
      <c r="Z5" s="10"/>
    </row>
    <row r="6" ht="15.75" customHeight="1">
      <c r="A6" s="15" t="s">
        <v>1438</v>
      </c>
      <c r="B6" s="10"/>
      <c r="C6" s="10"/>
      <c r="D6" s="10"/>
      <c r="E6" s="10"/>
      <c r="F6" s="10"/>
      <c r="G6" s="10"/>
      <c r="H6" s="10"/>
      <c r="I6" s="10"/>
      <c r="J6" s="10"/>
      <c r="K6" s="10"/>
      <c r="L6" s="10"/>
      <c r="M6" s="10"/>
      <c r="N6" s="10"/>
      <c r="O6" s="10"/>
      <c r="P6" s="10"/>
      <c r="Q6" s="10"/>
      <c r="R6" s="10"/>
      <c r="S6" s="10"/>
      <c r="T6" s="10"/>
      <c r="U6" s="10"/>
      <c r="V6" s="10"/>
      <c r="W6" s="10"/>
      <c r="X6" s="10"/>
      <c r="Y6" s="10"/>
      <c r="Z6" s="10"/>
    </row>
    <row r="7" ht="15.75" customHeight="1">
      <c r="A7" s="15" t="s">
        <v>1439</v>
      </c>
      <c r="B7" s="10"/>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15" t="s">
        <v>1440</v>
      </c>
      <c r="B8" s="10"/>
      <c r="C8" s="10"/>
      <c r="D8" s="10"/>
      <c r="E8" s="10"/>
      <c r="F8" s="10"/>
      <c r="G8" s="10"/>
      <c r="H8" s="10"/>
      <c r="I8" s="10"/>
      <c r="J8" s="10"/>
      <c r="K8" s="10"/>
      <c r="L8" s="10"/>
      <c r="M8" s="10"/>
      <c r="N8" s="10"/>
      <c r="O8" s="10"/>
      <c r="P8" s="10"/>
      <c r="Q8" s="10"/>
      <c r="R8" s="10"/>
      <c r="S8" s="10"/>
      <c r="T8" s="10"/>
      <c r="U8" s="10"/>
      <c r="V8" s="10"/>
      <c r="W8" s="10"/>
      <c r="X8" s="10"/>
      <c r="Y8" s="10"/>
      <c r="Z8" s="10"/>
    </row>
    <row r="9" ht="15.75" customHeight="1">
      <c r="A9" s="15" t="s">
        <v>1441</v>
      </c>
      <c r="B9" s="10"/>
      <c r="C9" s="10"/>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pane ySplit="3.0" topLeftCell="A4" activePane="bottomLeft" state="frozen"/>
      <selection activeCell="B5" sqref="B5" pane="bottomLeft"/>
    </sheetView>
  </sheetViews>
  <sheetFormatPr customHeight="1" defaultColWidth="14.43" defaultRowHeight="15.0"/>
  <cols>
    <col customWidth="1" hidden="1" min="1" max="1" width="8.29"/>
    <col customWidth="1" hidden="1" min="2" max="2" width="9.14"/>
    <col customWidth="1" hidden="1" min="3" max="3" width="30.86"/>
    <col customWidth="1" min="4" max="4" width="39.43"/>
    <col customWidth="1" hidden="1" min="5" max="5" width="31.43"/>
    <col customWidth="1" min="6" max="6" width="91.43"/>
    <col customWidth="1" min="7" max="19" width="9.14"/>
  </cols>
  <sheetData>
    <row r="1" ht="14.25" customHeight="1">
      <c r="A1" s="179"/>
      <c r="B1" s="179"/>
      <c r="C1" s="179"/>
      <c r="D1" s="179"/>
      <c r="E1" s="179"/>
      <c r="F1" s="180"/>
      <c r="G1" s="179"/>
      <c r="H1" s="179"/>
      <c r="I1" s="179"/>
      <c r="J1" s="179"/>
      <c r="K1" s="179"/>
      <c r="L1" s="179"/>
      <c r="M1" s="179"/>
      <c r="N1" s="179"/>
      <c r="O1" s="179"/>
      <c r="P1" s="179"/>
      <c r="Q1" s="179"/>
      <c r="R1" s="179"/>
      <c r="S1" s="179"/>
    </row>
    <row r="2" ht="14.25" customHeight="1">
      <c r="A2" s="179"/>
      <c r="B2" s="179"/>
      <c r="C2" s="179"/>
      <c r="D2" s="179"/>
      <c r="E2" s="179"/>
      <c r="F2" s="181"/>
      <c r="G2" s="179"/>
      <c r="H2" s="179"/>
      <c r="I2" s="179"/>
      <c r="J2" s="179"/>
      <c r="K2" s="179"/>
      <c r="L2" s="179"/>
      <c r="M2" s="179"/>
      <c r="N2" s="179"/>
      <c r="O2" s="179"/>
      <c r="P2" s="179"/>
      <c r="Q2" s="179"/>
      <c r="R2" s="179"/>
      <c r="S2" s="179"/>
    </row>
    <row r="3" ht="14.25" customHeight="1">
      <c r="A3" s="182" t="s">
        <v>1442</v>
      </c>
      <c r="B3" s="182" t="s">
        <v>1443</v>
      </c>
      <c r="C3" s="182" t="s">
        <v>1444</v>
      </c>
      <c r="D3" s="182" t="s">
        <v>77</v>
      </c>
      <c r="E3" s="182" t="s">
        <v>1445</v>
      </c>
      <c r="F3" s="182" t="s">
        <v>1446</v>
      </c>
      <c r="G3" s="183"/>
      <c r="H3" s="183"/>
      <c r="I3" s="183"/>
      <c r="J3" s="183"/>
      <c r="K3" s="183"/>
      <c r="L3" s="183"/>
      <c r="M3" s="183"/>
      <c r="N3" s="183"/>
      <c r="O3" s="183"/>
      <c r="P3" s="183"/>
      <c r="Q3" s="183"/>
      <c r="R3" s="183"/>
      <c r="S3" s="183"/>
    </row>
    <row r="4" ht="14.25" customHeight="1">
      <c r="A4" s="184"/>
      <c r="B4" s="184"/>
      <c r="C4" s="184" t="s">
        <v>1447</v>
      </c>
      <c r="D4" s="184" t="s">
        <v>963</v>
      </c>
      <c r="E4" s="185" t="s">
        <v>1448</v>
      </c>
      <c r="F4" s="184" t="s">
        <v>1449</v>
      </c>
      <c r="G4" s="184"/>
      <c r="H4" s="184"/>
      <c r="I4" s="184"/>
      <c r="J4" s="184"/>
      <c r="K4" s="184"/>
      <c r="L4" s="184"/>
      <c r="M4" s="184"/>
      <c r="N4" s="184"/>
      <c r="O4" s="184"/>
      <c r="P4" s="184"/>
      <c r="Q4" s="184"/>
      <c r="R4" s="184"/>
      <c r="S4" s="184"/>
    </row>
    <row r="5" ht="14.25" customHeight="1">
      <c r="A5" s="184"/>
      <c r="B5" s="184"/>
      <c r="C5" s="184" t="s">
        <v>1447</v>
      </c>
      <c r="D5" s="184" t="s">
        <v>963</v>
      </c>
      <c r="E5" s="185" t="s">
        <v>1448</v>
      </c>
      <c r="F5" s="184" t="s">
        <v>1450</v>
      </c>
      <c r="G5" s="184"/>
      <c r="H5" s="184"/>
      <c r="I5" s="184"/>
      <c r="J5" s="184"/>
      <c r="K5" s="184"/>
      <c r="L5" s="184"/>
      <c r="M5" s="184"/>
      <c r="N5" s="184"/>
      <c r="O5" s="184"/>
      <c r="P5" s="184"/>
      <c r="Q5" s="184"/>
      <c r="R5" s="184"/>
      <c r="S5" s="184"/>
    </row>
    <row r="6" ht="14.25" customHeight="1">
      <c r="A6" s="184"/>
      <c r="B6" s="184"/>
      <c r="C6" s="184" t="s">
        <v>1447</v>
      </c>
      <c r="D6" s="184" t="s">
        <v>702</v>
      </c>
      <c r="E6" s="185" t="s">
        <v>1448</v>
      </c>
      <c r="F6" s="184" t="s">
        <v>1451</v>
      </c>
      <c r="G6" s="184"/>
      <c r="H6" s="184"/>
      <c r="I6" s="184"/>
      <c r="J6" s="184"/>
      <c r="K6" s="184"/>
      <c r="L6" s="184"/>
      <c r="M6" s="184"/>
      <c r="N6" s="184"/>
      <c r="O6" s="184"/>
      <c r="P6" s="184"/>
      <c r="Q6" s="184"/>
      <c r="R6" s="184"/>
      <c r="S6" s="184"/>
    </row>
    <row r="7" ht="14.25" customHeight="1">
      <c r="A7" s="184"/>
      <c r="B7" s="184"/>
      <c r="C7" s="184" t="s">
        <v>1447</v>
      </c>
      <c r="D7" s="184" t="s">
        <v>702</v>
      </c>
      <c r="E7" s="185" t="s">
        <v>1448</v>
      </c>
      <c r="F7" s="184" t="s">
        <v>1452</v>
      </c>
      <c r="G7" s="184"/>
      <c r="H7" s="184"/>
      <c r="I7" s="184"/>
      <c r="J7" s="184"/>
      <c r="K7" s="184"/>
      <c r="L7" s="184"/>
      <c r="M7" s="184"/>
      <c r="N7" s="184"/>
      <c r="O7" s="184"/>
      <c r="P7" s="184"/>
      <c r="Q7" s="184"/>
      <c r="R7" s="184"/>
      <c r="S7" s="184"/>
    </row>
    <row r="8" ht="14.25" customHeight="1">
      <c r="A8" s="184"/>
      <c r="B8" s="184"/>
      <c r="C8" s="184" t="s">
        <v>1447</v>
      </c>
      <c r="D8" s="184" t="s">
        <v>702</v>
      </c>
      <c r="E8" s="185" t="s">
        <v>1448</v>
      </c>
      <c r="F8" s="184" t="s">
        <v>1453</v>
      </c>
      <c r="G8" s="184"/>
      <c r="H8" s="184"/>
      <c r="I8" s="184"/>
      <c r="J8" s="184"/>
      <c r="K8" s="184"/>
      <c r="L8" s="184"/>
      <c r="M8" s="184"/>
      <c r="N8" s="184"/>
      <c r="O8" s="184"/>
      <c r="P8" s="184"/>
      <c r="Q8" s="184"/>
      <c r="R8" s="184"/>
      <c r="S8" s="184"/>
    </row>
    <row r="9" ht="14.25" customHeight="1">
      <c r="A9" s="184"/>
      <c r="B9" s="184"/>
      <c r="C9" s="184" t="s">
        <v>1447</v>
      </c>
      <c r="D9" s="184" t="s">
        <v>702</v>
      </c>
      <c r="E9" s="185" t="s">
        <v>1448</v>
      </c>
      <c r="F9" s="184" t="s">
        <v>1454</v>
      </c>
      <c r="G9" s="184"/>
      <c r="H9" s="184"/>
      <c r="I9" s="184"/>
      <c r="J9" s="184"/>
      <c r="K9" s="184"/>
      <c r="L9" s="184"/>
      <c r="M9" s="184"/>
      <c r="N9" s="184"/>
      <c r="O9" s="184"/>
      <c r="P9" s="184"/>
      <c r="Q9" s="184"/>
      <c r="R9" s="184"/>
      <c r="S9" s="184"/>
    </row>
    <row r="10" ht="14.25" customHeight="1">
      <c r="A10" s="184"/>
      <c r="B10" s="184"/>
      <c r="C10" s="184" t="s">
        <v>1447</v>
      </c>
      <c r="D10" s="184" t="s">
        <v>702</v>
      </c>
      <c r="E10" s="185" t="s">
        <v>1448</v>
      </c>
      <c r="F10" s="184" t="s">
        <v>1455</v>
      </c>
      <c r="G10" s="184"/>
      <c r="H10" s="184"/>
      <c r="I10" s="184"/>
      <c r="J10" s="184"/>
      <c r="K10" s="184"/>
      <c r="L10" s="184"/>
      <c r="M10" s="184"/>
      <c r="N10" s="184"/>
      <c r="O10" s="184"/>
      <c r="P10" s="184"/>
      <c r="Q10" s="184"/>
      <c r="R10" s="184"/>
      <c r="S10" s="184"/>
    </row>
    <row r="11" ht="14.25" customHeight="1">
      <c r="A11" s="184"/>
      <c r="B11" s="184"/>
      <c r="C11" s="184" t="s">
        <v>1447</v>
      </c>
      <c r="D11" s="184" t="s">
        <v>966</v>
      </c>
      <c r="E11" s="185" t="s">
        <v>1448</v>
      </c>
      <c r="F11" s="184" t="s">
        <v>1456</v>
      </c>
      <c r="G11" s="184"/>
      <c r="H11" s="184"/>
      <c r="I11" s="184"/>
      <c r="J11" s="184"/>
      <c r="K11" s="184"/>
      <c r="L11" s="184"/>
      <c r="M11" s="184"/>
      <c r="N11" s="184"/>
      <c r="O11" s="184"/>
      <c r="P11" s="184"/>
      <c r="Q11" s="184"/>
      <c r="R11" s="184"/>
      <c r="S11" s="184"/>
    </row>
    <row r="12" ht="14.25" customHeight="1">
      <c r="A12" s="184"/>
      <c r="B12" s="184"/>
      <c r="C12" s="184" t="s">
        <v>1447</v>
      </c>
      <c r="D12" s="184" t="s">
        <v>966</v>
      </c>
      <c r="E12" s="185" t="s">
        <v>1448</v>
      </c>
      <c r="F12" s="184" t="s">
        <v>1457</v>
      </c>
      <c r="G12" s="184"/>
      <c r="H12" s="184"/>
      <c r="I12" s="184"/>
      <c r="J12" s="184"/>
      <c r="K12" s="184"/>
      <c r="L12" s="184"/>
      <c r="M12" s="184"/>
      <c r="N12" s="184"/>
      <c r="O12" s="184"/>
      <c r="P12" s="184"/>
      <c r="Q12" s="184"/>
      <c r="R12" s="184"/>
      <c r="S12" s="184"/>
    </row>
    <row r="13" ht="14.25" customHeight="1">
      <c r="A13" s="184"/>
      <c r="B13" s="184"/>
      <c r="C13" s="184" t="s">
        <v>1447</v>
      </c>
      <c r="D13" s="184" t="s">
        <v>966</v>
      </c>
      <c r="E13" s="185" t="s">
        <v>1448</v>
      </c>
      <c r="F13" s="184" t="s">
        <v>1458</v>
      </c>
      <c r="G13" s="184"/>
      <c r="H13" s="184"/>
      <c r="I13" s="184"/>
      <c r="J13" s="184"/>
      <c r="K13" s="184"/>
      <c r="L13" s="184"/>
      <c r="M13" s="184"/>
      <c r="N13" s="184"/>
      <c r="O13" s="184"/>
      <c r="P13" s="184"/>
      <c r="Q13" s="184"/>
      <c r="R13" s="184"/>
      <c r="S13" s="184"/>
    </row>
    <row r="14" ht="14.25" customHeight="1">
      <c r="A14" s="184"/>
      <c r="B14" s="184"/>
      <c r="C14" s="184" t="s">
        <v>1447</v>
      </c>
      <c r="D14" s="184" t="s">
        <v>966</v>
      </c>
      <c r="E14" s="185" t="s">
        <v>1448</v>
      </c>
      <c r="F14" s="184" t="s">
        <v>1459</v>
      </c>
      <c r="G14" s="184"/>
      <c r="H14" s="184"/>
      <c r="I14" s="184"/>
      <c r="J14" s="184"/>
      <c r="K14" s="184"/>
      <c r="L14" s="184"/>
      <c r="M14" s="184"/>
      <c r="N14" s="184"/>
      <c r="O14" s="184"/>
      <c r="P14" s="184"/>
      <c r="Q14" s="184"/>
      <c r="R14" s="184"/>
      <c r="S14" s="184"/>
    </row>
    <row r="15" ht="14.25" customHeight="1">
      <c r="A15" s="184"/>
      <c r="B15" s="184"/>
      <c r="C15" s="184" t="s">
        <v>1447</v>
      </c>
      <c r="D15" s="184" t="s">
        <v>966</v>
      </c>
      <c r="E15" s="185" t="s">
        <v>1448</v>
      </c>
      <c r="F15" s="184" t="s">
        <v>1460</v>
      </c>
      <c r="G15" s="184"/>
      <c r="H15" s="184"/>
      <c r="I15" s="184"/>
      <c r="J15" s="184"/>
      <c r="K15" s="184"/>
      <c r="L15" s="184"/>
      <c r="M15" s="184"/>
      <c r="N15" s="184"/>
      <c r="O15" s="184"/>
      <c r="P15" s="184"/>
      <c r="Q15" s="184"/>
      <c r="R15" s="184"/>
      <c r="S15" s="184"/>
    </row>
    <row r="16" ht="14.25" customHeight="1">
      <c r="A16" s="184"/>
      <c r="B16" s="184"/>
      <c r="C16" s="184" t="s">
        <v>1447</v>
      </c>
      <c r="D16" s="184" t="s">
        <v>966</v>
      </c>
      <c r="E16" s="185" t="s">
        <v>1448</v>
      </c>
      <c r="F16" s="184" t="s">
        <v>1461</v>
      </c>
      <c r="G16" s="184"/>
      <c r="H16" s="184"/>
      <c r="I16" s="184"/>
      <c r="J16" s="184"/>
      <c r="K16" s="184"/>
      <c r="L16" s="184"/>
      <c r="M16" s="184"/>
      <c r="N16" s="184"/>
      <c r="O16" s="184"/>
      <c r="P16" s="184"/>
      <c r="Q16" s="184"/>
      <c r="R16" s="184"/>
      <c r="S16" s="184"/>
    </row>
    <row r="17" ht="14.25" customHeight="1">
      <c r="A17" s="184"/>
      <c r="B17" s="184"/>
      <c r="C17" s="184" t="s">
        <v>1447</v>
      </c>
      <c r="D17" s="184" t="s">
        <v>966</v>
      </c>
      <c r="E17" s="185" t="s">
        <v>1448</v>
      </c>
      <c r="F17" s="184" t="s">
        <v>1462</v>
      </c>
      <c r="G17" s="184"/>
      <c r="H17" s="184"/>
      <c r="I17" s="184"/>
      <c r="J17" s="184"/>
      <c r="K17" s="184"/>
      <c r="L17" s="184"/>
      <c r="M17" s="184"/>
      <c r="N17" s="184"/>
      <c r="O17" s="184"/>
      <c r="P17" s="184"/>
      <c r="Q17" s="184"/>
      <c r="R17" s="184"/>
      <c r="S17" s="184"/>
    </row>
    <row r="18" ht="14.25" customHeight="1">
      <c r="A18" s="184"/>
      <c r="B18" s="184"/>
      <c r="C18" s="184" t="s">
        <v>1447</v>
      </c>
      <c r="D18" s="184" t="s">
        <v>966</v>
      </c>
      <c r="E18" s="185" t="s">
        <v>1448</v>
      </c>
      <c r="F18" s="184" t="s">
        <v>1463</v>
      </c>
      <c r="G18" s="184"/>
      <c r="H18" s="184"/>
      <c r="I18" s="184"/>
      <c r="J18" s="184"/>
      <c r="K18" s="184"/>
      <c r="L18" s="184"/>
      <c r="M18" s="184"/>
      <c r="N18" s="184"/>
      <c r="O18" s="184"/>
      <c r="P18" s="184"/>
      <c r="Q18" s="184"/>
      <c r="R18" s="184"/>
      <c r="S18" s="184"/>
    </row>
    <row r="19" ht="14.25" customHeight="1">
      <c r="A19" s="184"/>
      <c r="B19" s="184"/>
      <c r="C19" s="184" t="s">
        <v>1447</v>
      </c>
      <c r="D19" s="184" t="s">
        <v>966</v>
      </c>
      <c r="E19" s="185" t="s">
        <v>1448</v>
      </c>
      <c r="F19" s="184" t="s">
        <v>1464</v>
      </c>
      <c r="G19" s="184"/>
      <c r="H19" s="184"/>
      <c r="I19" s="184"/>
      <c r="J19" s="184"/>
      <c r="K19" s="184"/>
      <c r="L19" s="184"/>
      <c r="M19" s="184"/>
      <c r="N19" s="184"/>
      <c r="O19" s="184"/>
      <c r="P19" s="184"/>
      <c r="Q19" s="184"/>
      <c r="R19" s="184"/>
      <c r="S19" s="184"/>
    </row>
    <row r="20" ht="14.25" customHeight="1">
      <c r="A20" s="184"/>
      <c r="B20" s="184"/>
      <c r="C20" s="184" t="s">
        <v>1447</v>
      </c>
      <c r="D20" s="184" t="s">
        <v>966</v>
      </c>
      <c r="E20" s="185" t="s">
        <v>1448</v>
      </c>
      <c r="F20" s="184" t="s">
        <v>1465</v>
      </c>
      <c r="G20" s="184"/>
      <c r="H20" s="184"/>
      <c r="I20" s="184"/>
      <c r="J20" s="184"/>
      <c r="K20" s="184"/>
      <c r="L20" s="184"/>
      <c r="M20" s="184"/>
      <c r="N20" s="184"/>
      <c r="O20" s="184"/>
      <c r="P20" s="184"/>
      <c r="Q20" s="184"/>
      <c r="R20" s="184"/>
      <c r="S20" s="184"/>
    </row>
    <row r="21" ht="14.25" customHeight="1">
      <c r="A21" s="184"/>
      <c r="B21" s="184"/>
      <c r="C21" s="184" t="s">
        <v>1447</v>
      </c>
      <c r="D21" s="184" t="s">
        <v>966</v>
      </c>
      <c r="E21" s="185" t="s">
        <v>1448</v>
      </c>
      <c r="F21" s="184" t="s">
        <v>1466</v>
      </c>
      <c r="G21" s="184"/>
      <c r="H21" s="184"/>
      <c r="I21" s="184"/>
      <c r="J21" s="184"/>
      <c r="K21" s="184"/>
      <c r="L21" s="184"/>
      <c r="M21" s="184"/>
      <c r="N21" s="184"/>
      <c r="O21" s="184"/>
      <c r="P21" s="184"/>
      <c r="Q21" s="184"/>
      <c r="R21" s="184"/>
      <c r="S21" s="184"/>
    </row>
    <row r="22" ht="14.25" customHeight="1">
      <c r="A22" s="184"/>
      <c r="B22" s="184"/>
      <c r="C22" s="184" t="s">
        <v>1447</v>
      </c>
      <c r="D22" s="184" t="s">
        <v>966</v>
      </c>
      <c r="E22" s="185" t="s">
        <v>1448</v>
      </c>
      <c r="F22" s="184" t="s">
        <v>1467</v>
      </c>
      <c r="G22" s="184"/>
      <c r="H22" s="184"/>
      <c r="I22" s="184"/>
      <c r="J22" s="184"/>
      <c r="K22" s="184"/>
      <c r="L22" s="184"/>
      <c r="M22" s="184"/>
      <c r="N22" s="184"/>
      <c r="O22" s="184"/>
      <c r="P22" s="184"/>
      <c r="Q22" s="184"/>
      <c r="R22" s="184"/>
      <c r="S22" s="184"/>
    </row>
    <row r="23" ht="14.25" customHeight="1">
      <c r="A23" s="184"/>
      <c r="B23" s="184"/>
      <c r="C23" s="184" t="s">
        <v>1447</v>
      </c>
      <c r="D23" s="184" t="s">
        <v>1173</v>
      </c>
      <c r="E23" s="185" t="s">
        <v>1448</v>
      </c>
      <c r="F23" s="184" t="s">
        <v>1468</v>
      </c>
      <c r="G23" s="184"/>
      <c r="H23" s="184"/>
      <c r="I23" s="184"/>
      <c r="J23" s="184"/>
      <c r="K23" s="184"/>
      <c r="L23" s="184"/>
      <c r="M23" s="184"/>
      <c r="N23" s="184"/>
      <c r="O23" s="184"/>
      <c r="P23" s="184"/>
      <c r="Q23" s="184"/>
      <c r="R23" s="184"/>
      <c r="S23" s="184"/>
    </row>
    <row r="24" ht="14.25" customHeight="1">
      <c r="A24" s="184"/>
      <c r="B24" s="184"/>
      <c r="C24" s="184" t="s">
        <v>1447</v>
      </c>
      <c r="D24" s="184" t="s">
        <v>1173</v>
      </c>
      <c r="E24" s="185" t="s">
        <v>1448</v>
      </c>
      <c r="F24" s="184" t="s">
        <v>1469</v>
      </c>
      <c r="G24" s="184"/>
      <c r="H24" s="184"/>
      <c r="I24" s="184"/>
      <c r="J24" s="184"/>
      <c r="K24" s="184"/>
      <c r="L24" s="184"/>
      <c r="M24" s="184"/>
      <c r="N24" s="184"/>
      <c r="O24" s="184"/>
      <c r="P24" s="184"/>
      <c r="Q24" s="184"/>
      <c r="R24" s="184"/>
      <c r="S24" s="184"/>
    </row>
    <row r="25" ht="14.25" customHeight="1">
      <c r="A25" s="184"/>
      <c r="B25" s="184"/>
      <c r="C25" s="184" t="s">
        <v>1447</v>
      </c>
      <c r="D25" s="184" t="s">
        <v>1173</v>
      </c>
      <c r="E25" s="185" t="s">
        <v>1448</v>
      </c>
      <c r="F25" s="184" t="s">
        <v>1470</v>
      </c>
      <c r="G25" s="184"/>
      <c r="H25" s="184"/>
      <c r="I25" s="184"/>
      <c r="J25" s="184"/>
      <c r="K25" s="184"/>
      <c r="L25" s="184"/>
      <c r="M25" s="184"/>
      <c r="N25" s="184"/>
      <c r="O25" s="184"/>
      <c r="P25" s="184"/>
      <c r="Q25" s="184"/>
      <c r="R25" s="184"/>
      <c r="S25" s="184"/>
    </row>
    <row r="26" ht="14.25" customHeight="1">
      <c r="A26" s="184"/>
      <c r="B26" s="184"/>
      <c r="C26" s="184" t="s">
        <v>1447</v>
      </c>
      <c r="D26" s="184" t="s">
        <v>1173</v>
      </c>
      <c r="E26" s="185" t="s">
        <v>1448</v>
      </c>
      <c r="F26" s="184" t="s">
        <v>1471</v>
      </c>
      <c r="G26" s="184"/>
      <c r="H26" s="184"/>
      <c r="I26" s="184"/>
      <c r="J26" s="184"/>
      <c r="K26" s="184"/>
      <c r="L26" s="184"/>
      <c r="M26" s="184"/>
      <c r="N26" s="184"/>
      <c r="O26" s="184"/>
      <c r="P26" s="184"/>
      <c r="Q26" s="184"/>
      <c r="R26" s="184"/>
      <c r="S26" s="184"/>
    </row>
    <row r="27" ht="14.25" customHeight="1">
      <c r="A27" s="184"/>
      <c r="B27" s="184"/>
      <c r="C27" s="184" t="s">
        <v>1447</v>
      </c>
      <c r="D27" s="184" t="s">
        <v>1173</v>
      </c>
      <c r="E27" s="185" t="s">
        <v>1448</v>
      </c>
      <c r="F27" s="184" t="s">
        <v>1472</v>
      </c>
      <c r="G27" s="184"/>
      <c r="H27" s="184"/>
      <c r="I27" s="184"/>
      <c r="J27" s="184"/>
      <c r="K27" s="184"/>
      <c r="L27" s="184"/>
      <c r="M27" s="184"/>
      <c r="N27" s="184"/>
      <c r="O27" s="184"/>
      <c r="P27" s="184"/>
      <c r="Q27" s="184"/>
      <c r="R27" s="184"/>
      <c r="S27" s="184"/>
    </row>
    <row r="28" ht="14.25" customHeight="1">
      <c r="A28" s="184"/>
      <c r="B28" s="184"/>
      <c r="C28" s="184" t="s">
        <v>1447</v>
      </c>
      <c r="D28" s="184" t="s">
        <v>1173</v>
      </c>
      <c r="E28" s="185" t="s">
        <v>1448</v>
      </c>
      <c r="F28" s="184" t="s">
        <v>1473</v>
      </c>
      <c r="G28" s="184"/>
      <c r="H28" s="184"/>
      <c r="I28" s="184"/>
      <c r="J28" s="184"/>
      <c r="K28" s="184"/>
      <c r="L28" s="184"/>
      <c r="M28" s="184"/>
      <c r="N28" s="184"/>
      <c r="O28" s="184"/>
      <c r="P28" s="184"/>
      <c r="Q28" s="184"/>
      <c r="R28" s="184"/>
      <c r="S28" s="184"/>
    </row>
    <row r="29" ht="14.25" customHeight="1">
      <c r="A29" s="184"/>
      <c r="B29" s="184"/>
      <c r="C29" s="184" t="s">
        <v>1447</v>
      </c>
      <c r="D29" s="184" t="s">
        <v>1173</v>
      </c>
      <c r="E29" s="185" t="s">
        <v>1448</v>
      </c>
      <c r="F29" s="184" t="s">
        <v>1474</v>
      </c>
      <c r="G29" s="184"/>
      <c r="H29" s="184"/>
      <c r="I29" s="184"/>
      <c r="J29" s="184"/>
      <c r="K29" s="184"/>
      <c r="L29" s="184"/>
      <c r="M29" s="184"/>
      <c r="N29" s="184"/>
      <c r="O29" s="184"/>
      <c r="P29" s="184"/>
      <c r="Q29" s="184"/>
      <c r="R29" s="184"/>
      <c r="S29" s="184"/>
    </row>
    <row r="30" ht="14.25" customHeight="1">
      <c r="A30" s="184"/>
      <c r="B30" s="184"/>
      <c r="C30" s="184" t="s">
        <v>1447</v>
      </c>
      <c r="D30" s="184" t="s">
        <v>1173</v>
      </c>
      <c r="E30" s="185" t="s">
        <v>1448</v>
      </c>
      <c r="F30" s="184" t="s">
        <v>1475</v>
      </c>
      <c r="G30" s="184"/>
      <c r="H30" s="184"/>
      <c r="I30" s="184"/>
      <c r="J30" s="184"/>
      <c r="K30" s="184"/>
      <c r="L30" s="184"/>
      <c r="M30" s="184"/>
      <c r="N30" s="184"/>
      <c r="O30" s="184"/>
      <c r="P30" s="184"/>
      <c r="Q30" s="184"/>
      <c r="R30" s="184"/>
      <c r="S30" s="184"/>
    </row>
    <row r="31" ht="14.25" customHeight="1">
      <c r="A31" s="184"/>
      <c r="B31" s="184"/>
      <c r="C31" s="184" t="s">
        <v>1447</v>
      </c>
      <c r="D31" s="184" t="s">
        <v>1173</v>
      </c>
      <c r="E31" s="185" t="s">
        <v>1448</v>
      </c>
      <c r="F31" s="184" t="s">
        <v>1476</v>
      </c>
      <c r="G31" s="184"/>
      <c r="H31" s="184"/>
      <c r="I31" s="184"/>
      <c r="J31" s="184"/>
      <c r="K31" s="184"/>
      <c r="L31" s="184"/>
      <c r="M31" s="184"/>
      <c r="N31" s="184"/>
      <c r="O31" s="184"/>
      <c r="P31" s="184"/>
      <c r="Q31" s="184"/>
      <c r="R31" s="184"/>
      <c r="S31" s="184"/>
    </row>
    <row r="32" ht="14.25" customHeight="1">
      <c r="A32" s="184"/>
      <c r="B32" s="184"/>
      <c r="C32" s="184" t="s">
        <v>1447</v>
      </c>
      <c r="D32" s="184" t="s">
        <v>1173</v>
      </c>
      <c r="E32" s="185" t="s">
        <v>1448</v>
      </c>
      <c r="F32" s="184" t="s">
        <v>1477</v>
      </c>
      <c r="G32" s="184"/>
      <c r="H32" s="184"/>
      <c r="I32" s="184"/>
      <c r="J32" s="184"/>
      <c r="K32" s="184"/>
      <c r="L32" s="184"/>
      <c r="M32" s="184"/>
      <c r="N32" s="184"/>
      <c r="O32" s="184"/>
      <c r="P32" s="184"/>
      <c r="Q32" s="184"/>
      <c r="R32" s="184"/>
      <c r="S32" s="184"/>
    </row>
    <row r="33" ht="14.25" customHeight="1">
      <c r="A33" s="184"/>
      <c r="B33" s="184"/>
      <c r="C33" s="184" t="s">
        <v>1447</v>
      </c>
      <c r="D33" s="184" t="s">
        <v>1173</v>
      </c>
      <c r="E33" s="185" t="s">
        <v>1448</v>
      </c>
      <c r="F33" s="184" t="s">
        <v>1478</v>
      </c>
      <c r="G33" s="184"/>
      <c r="H33" s="184"/>
      <c r="I33" s="184"/>
      <c r="J33" s="184"/>
      <c r="K33" s="184"/>
      <c r="L33" s="184"/>
      <c r="M33" s="184"/>
      <c r="N33" s="184"/>
      <c r="O33" s="184"/>
      <c r="P33" s="184"/>
      <c r="Q33" s="184"/>
      <c r="R33" s="184"/>
      <c r="S33" s="184"/>
    </row>
    <row r="34" ht="14.25" customHeight="1">
      <c r="A34" s="184"/>
      <c r="B34" s="184"/>
      <c r="C34" s="184" t="s">
        <v>1447</v>
      </c>
      <c r="D34" s="184" t="s">
        <v>1173</v>
      </c>
      <c r="E34" s="185" t="s">
        <v>1448</v>
      </c>
      <c r="F34" s="184" t="s">
        <v>1476</v>
      </c>
      <c r="G34" s="184"/>
      <c r="H34" s="184"/>
      <c r="I34" s="184"/>
      <c r="J34" s="184"/>
      <c r="K34" s="184"/>
      <c r="L34" s="184"/>
      <c r="M34" s="184"/>
      <c r="N34" s="184"/>
      <c r="O34" s="184"/>
      <c r="P34" s="184"/>
      <c r="Q34" s="184"/>
      <c r="R34" s="184"/>
      <c r="S34" s="184"/>
    </row>
    <row r="35" ht="14.25" customHeight="1">
      <c r="A35" s="184"/>
      <c r="B35" s="184"/>
      <c r="C35" s="184" t="s">
        <v>1447</v>
      </c>
      <c r="D35" s="184" t="s">
        <v>1173</v>
      </c>
      <c r="E35" s="185" t="s">
        <v>1448</v>
      </c>
      <c r="F35" s="184" t="s">
        <v>1479</v>
      </c>
      <c r="G35" s="184"/>
      <c r="H35" s="184"/>
      <c r="I35" s="184"/>
      <c r="J35" s="184"/>
      <c r="K35" s="184"/>
      <c r="L35" s="184"/>
      <c r="M35" s="184"/>
      <c r="N35" s="184"/>
      <c r="O35" s="184"/>
      <c r="P35" s="184"/>
      <c r="Q35" s="184"/>
      <c r="R35" s="184"/>
      <c r="S35" s="184"/>
    </row>
    <row r="36" ht="14.25" customHeight="1">
      <c r="A36" s="184"/>
      <c r="B36" s="184"/>
      <c r="C36" s="184" t="s">
        <v>1447</v>
      </c>
      <c r="D36" s="184" t="s">
        <v>1173</v>
      </c>
      <c r="E36" s="185" t="s">
        <v>1448</v>
      </c>
      <c r="F36" s="184" t="s">
        <v>1480</v>
      </c>
      <c r="G36" s="184"/>
      <c r="H36" s="184"/>
      <c r="I36" s="184"/>
      <c r="J36" s="184"/>
      <c r="K36" s="184"/>
      <c r="L36" s="184"/>
      <c r="M36" s="184"/>
      <c r="N36" s="184"/>
      <c r="O36" s="184"/>
      <c r="P36" s="184"/>
      <c r="Q36" s="184"/>
      <c r="R36" s="184"/>
      <c r="S36" s="184"/>
    </row>
    <row r="37" ht="14.25" customHeight="1">
      <c r="A37" s="184"/>
      <c r="B37" s="184"/>
      <c r="C37" s="179" t="s">
        <v>1447</v>
      </c>
      <c r="D37" s="179" t="s">
        <v>831</v>
      </c>
      <c r="E37" s="185" t="s">
        <v>1448</v>
      </c>
      <c r="F37" s="184" t="s">
        <v>1481</v>
      </c>
      <c r="G37" s="179"/>
      <c r="H37" s="179"/>
      <c r="I37" s="179"/>
      <c r="J37" s="179"/>
      <c r="K37" s="179"/>
      <c r="L37" s="179"/>
      <c r="M37" s="179"/>
      <c r="N37" s="179"/>
      <c r="O37" s="179"/>
      <c r="P37" s="179"/>
      <c r="Q37" s="179"/>
      <c r="R37" s="179"/>
      <c r="S37" s="179"/>
    </row>
    <row r="38" ht="14.25" customHeight="1">
      <c r="A38" s="184"/>
      <c r="B38" s="184"/>
      <c r="C38" s="179" t="s">
        <v>1447</v>
      </c>
      <c r="D38" s="179" t="s">
        <v>831</v>
      </c>
      <c r="E38" s="185" t="s">
        <v>1448</v>
      </c>
      <c r="F38" s="184" t="s">
        <v>1482</v>
      </c>
      <c r="G38" s="179"/>
      <c r="H38" s="179"/>
      <c r="I38" s="179"/>
      <c r="J38" s="179"/>
      <c r="K38" s="179"/>
      <c r="L38" s="179"/>
      <c r="M38" s="179"/>
      <c r="N38" s="179"/>
      <c r="O38" s="179"/>
      <c r="P38" s="179"/>
      <c r="Q38" s="179"/>
      <c r="R38" s="179"/>
      <c r="S38" s="179"/>
    </row>
    <row r="39" ht="14.25" customHeight="1">
      <c r="A39" s="184"/>
      <c r="B39" s="184"/>
      <c r="C39" s="179" t="s">
        <v>1447</v>
      </c>
      <c r="D39" s="179" t="s">
        <v>831</v>
      </c>
      <c r="E39" s="185" t="s">
        <v>1448</v>
      </c>
      <c r="F39" s="184" t="s">
        <v>1483</v>
      </c>
      <c r="G39" s="179"/>
      <c r="H39" s="179"/>
      <c r="I39" s="179"/>
      <c r="J39" s="179"/>
      <c r="K39" s="179"/>
      <c r="L39" s="179"/>
      <c r="M39" s="179"/>
      <c r="N39" s="179"/>
      <c r="O39" s="179"/>
      <c r="P39" s="179"/>
      <c r="Q39" s="179"/>
      <c r="R39" s="179"/>
      <c r="S39" s="179"/>
    </row>
    <row r="40" ht="14.25" customHeight="1">
      <c r="A40" s="184"/>
      <c r="B40" s="184"/>
      <c r="C40" s="179" t="s">
        <v>1447</v>
      </c>
      <c r="D40" s="179" t="s">
        <v>831</v>
      </c>
      <c r="E40" s="185" t="s">
        <v>1448</v>
      </c>
      <c r="F40" s="184" t="s">
        <v>1484</v>
      </c>
      <c r="G40" s="179"/>
      <c r="H40" s="179"/>
      <c r="I40" s="179"/>
      <c r="J40" s="179"/>
      <c r="K40" s="179"/>
      <c r="L40" s="179"/>
      <c r="M40" s="179"/>
      <c r="N40" s="179"/>
      <c r="O40" s="179"/>
      <c r="P40" s="179"/>
      <c r="Q40" s="179"/>
      <c r="R40" s="179"/>
      <c r="S40" s="179"/>
    </row>
    <row r="41" ht="14.25" customHeight="1">
      <c r="A41" s="184"/>
      <c r="B41" s="184"/>
      <c r="C41" s="179" t="s">
        <v>1447</v>
      </c>
      <c r="D41" s="179" t="s">
        <v>831</v>
      </c>
      <c r="E41" s="185" t="s">
        <v>1448</v>
      </c>
      <c r="F41" s="184" t="s">
        <v>1485</v>
      </c>
      <c r="G41" s="179"/>
      <c r="H41" s="179"/>
      <c r="I41" s="179"/>
      <c r="J41" s="179"/>
      <c r="K41" s="179"/>
      <c r="L41" s="179"/>
      <c r="M41" s="179"/>
      <c r="N41" s="179"/>
      <c r="O41" s="179"/>
      <c r="P41" s="179"/>
      <c r="Q41" s="179"/>
      <c r="R41" s="179"/>
      <c r="S41" s="179"/>
    </row>
    <row r="42" ht="14.25" customHeight="1">
      <c r="A42" s="184"/>
      <c r="B42" s="184"/>
      <c r="C42" s="179" t="s">
        <v>1447</v>
      </c>
      <c r="D42" s="179" t="s">
        <v>831</v>
      </c>
      <c r="E42" s="185" t="s">
        <v>1448</v>
      </c>
      <c r="F42" s="184" t="s">
        <v>1486</v>
      </c>
      <c r="G42" s="179"/>
      <c r="H42" s="179"/>
      <c r="I42" s="179"/>
      <c r="J42" s="179"/>
      <c r="K42" s="179"/>
      <c r="L42" s="179"/>
      <c r="M42" s="179"/>
      <c r="N42" s="179"/>
      <c r="O42" s="179"/>
      <c r="P42" s="179"/>
      <c r="Q42" s="179"/>
      <c r="R42" s="179"/>
      <c r="S42" s="179"/>
    </row>
    <row r="43" ht="14.25" customHeight="1">
      <c r="A43" s="184"/>
      <c r="B43" s="184"/>
      <c r="C43" s="184" t="s">
        <v>1447</v>
      </c>
      <c r="D43" s="184" t="s">
        <v>842</v>
      </c>
      <c r="E43" s="185" t="s">
        <v>1448</v>
      </c>
      <c r="F43" s="184" t="s">
        <v>1487</v>
      </c>
      <c r="G43" s="184"/>
      <c r="H43" s="184"/>
      <c r="I43" s="184"/>
      <c r="J43" s="184"/>
      <c r="K43" s="184"/>
      <c r="L43" s="184"/>
      <c r="M43" s="184"/>
      <c r="N43" s="184"/>
      <c r="O43" s="184"/>
      <c r="P43" s="184"/>
      <c r="Q43" s="184"/>
      <c r="R43" s="184"/>
      <c r="S43" s="184"/>
    </row>
    <row r="44" ht="14.25" customHeight="1">
      <c r="A44" s="184"/>
      <c r="B44" s="184"/>
      <c r="C44" s="184" t="s">
        <v>1447</v>
      </c>
      <c r="D44" s="184" t="s">
        <v>842</v>
      </c>
      <c r="E44" s="185" t="s">
        <v>1448</v>
      </c>
      <c r="F44" s="184" t="s">
        <v>1488</v>
      </c>
      <c r="G44" s="184"/>
      <c r="H44" s="184"/>
      <c r="I44" s="184"/>
      <c r="J44" s="184"/>
      <c r="K44" s="184"/>
      <c r="L44" s="184"/>
      <c r="M44" s="184"/>
      <c r="N44" s="184"/>
      <c r="O44" s="184"/>
      <c r="P44" s="184"/>
      <c r="Q44" s="184"/>
      <c r="R44" s="184"/>
      <c r="S44" s="184"/>
    </row>
    <row r="45" ht="14.25" customHeight="1">
      <c r="A45" s="184"/>
      <c r="B45" s="184"/>
      <c r="C45" s="184" t="s">
        <v>1447</v>
      </c>
      <c r="D45" s="184" t="s">
        <v>1063</v>
      </c>
      <c r="E45" s="185" t="s">
        <v>1448</v>
      </c>
      <c r="F45" s="184" t="s">
        <v>1489</v>
      </c>
      <c r="G45" s="184"/>
      <c r="H45" s="184"/>
      <c r="I45" s="184"/>
      <c r="J45" s="184"/>
      <c r="K45" s="184"/>
      <c r="L45" s="184"/>
      <c r="M45" s="184"/>
      <c r="N45" s="184"/>
      <c r="O45" s="184"/>
      <c r="P45" s="184"/>
      <c r="Q45" s="184"/>
      <c r="R45" s="184"/>
      <c r="S45" s="184"/>
    </row>
    <row r="46" ht="14.25" customHeight="1">
      <c r="A46" s="184"/>
      <c r="B46" s="184"/>
      <c r="C46" s="184" t="s">
        <v>1447</v>
      </c>
      <c r="D46" s="184" t="s">
        <v>1063</v>
      </c>
      <c r="E46" s="185" t="s">
        <v>1448</v>
      </c>
      <c r="F46" s="184" t="s">
        <v>1490</v>
      </c>
      <c r="G46" s="184"/>
      <c r="H46" s="184"/>
      <c r="I46" s="184"/>
      <c r="J46" s="184"/>
      <c r="K46" s="184"/>
      <c r="L46" s="184"/>
      <c r="M46" s="184"/>
      <c r="N46" s="184"/>
      <c r="O46" s="184"/>
      <c r="P46" s="184"/>
      <c r="Q46" s="184"/>
      <c r="R46" s="184"/>
      <c r="S46" s="184"/>
    </row>
    <row r="47" ht="14.25" customHeight="1">
      <c r="A47" s="184"/>
      <c r="B47" s="184"/>
      <c r="C47" s="184" t="s">
        <v>1447</v>
      </c>
      <c r="D47" s="184" t="s">
        <v>1063</v>
      </c>
      <c r="E47" s="185" t="s">
        <v>1448</v>
      </c>
      <c r="F47" s="184" t="s">
        <v>1491</v>
      </c>
      <c r="G47" s="184"/>
      <c r="H47" s="184"/>
      <c r="I47" s="184"/>
      <c r="J47" s="184"/>
      <c r="K47" s="184"/>
      <c r="L47" s="184"/>
      <c r="M47" s="184"/>
      <c r="N47" s="184"/>
      <c r="O47" s="184"/>
      <c r="P47" s="184"/>
      <c r="Q47" s="184"/>
      <c r="R47" s="184"/>
      <c r="S47" s="184"/>
    </row>
    <row r="48" ht="14.25" customHeight="1">
      <c r="A48" s="184"/>
      <c r="B48" s="184"/>
      <c r="C48" s="184" t="s">
        <v>1447</v>
      </c>
      <c r="D48" s="184" t="s">
        <v>1063</v>
      </c>
      <c r="E48" s="185" t="s">
        <v>1448</v>
      </c>
      <c r="F48" s="184" t="s">
        <v>1492</v>
      </c>
      <c r="G48" s="184"/>
      <c r="H48" s="184"/>
      <c r="I48" s="184"/>
      <c r="J48" s="184"/>
      <c r="K48" s="184"/>
      <c r="L48" s="184"/>
      <c r="M48" s="184"/>
      <c r="N48" s="184"/>
      <c r="O48" s="184"/>
      <c r="P48" s="184"/>
      <c r="Q48" s="184"/>
      <c r="R48" s="184"/>
      <c r="S48" s="184"/>
    </row>
    <row r="49" ht="14.25" customHeight="1">
      <c r="A49" s="184"/>
      <c r="B49" s="184"/>
      <c r="C49" s="184" t="s">
        <v>1447</v>
      </c>
      <c r="D49" s="184" t="s">
        <v>1493</v>
      </c>
      <c r="E49" s="185" t="s">
        <v>1448</v>
      </c>
      <c r="F49" s="184" t="s">
        <v>1494</v>
      </c>
      <c r="G49" s="184"/>
      <c r="H49" s="184"/>
      <c r="I49" s="184"/>
      <c r="J49" s="184"/>
      <c r="K49" s="184"/>
      <c r="L49" s="184"/>
      <c r="M49" s="184"/>
      <c r="N49" s="184"/>
      <c r="O49" s="184"/>
      <c r="P49" s="184"/>
      <c r="Q49" s="184"/>
      <c r="R49" s="184"/>
      <c r="S49" s="184"/>
    </row>
    <row r="50" ht="14.25" customHeight="1">
      <c r="A50" s="184"/>
      <c r="B50" s="184"/>
      <c r="C50" s="184" t="s">
        <v>1447</v>
      </c>
      <c r="D50" s="184" t="s">
        <v>1493</v>
      </c>
      <c r="E50" s="185" t="s">
        <v>1448</v>
      </c>
      <c r="F50" s="184" t="s">
        <v>1495</v>
      </c>
      <c r="G50" s="184"/>
      <c r="H50" s="184"/>
      <c r="I50" s="184"/>
      <c r="J50" s="184"/>
      <c r="K50" s="184"/>
      <c r="L50" s="184"/>
      <c r="M50" s="184"/>
      <c r="N50" s="184"/>
      <c r="O50" s="184"/>
      <c r="P50" s="184"/>
      <c r="Q50" s="184"/>
      <c r="R50" s="184"/>
      <c r="S50" s="184"/>
    </row>
    <row r="51" ht="14.25" customHeight="1">
      <c r="A51" s="184"/>
      <c r="B51" s="184"/>
      <c r="C51" s="184" t="s">
        <v>1447</v>
      </c>
      <c r="D51" s="184" t="s">
        <v>1493</v>
      </c>
      <c r="E51" s="185" t="s">
        <v>1448</v>
      </c>
      <c r="F51" s="184" t="s">
        <v>1496</v>
      </c>
      <c r="G51" s="184"/>
      <c r="H51" s="184"/>
      <c r="I51" s="184"/>
      <c r="J51" s="184"/>
      <c r="K51" s="184"/>
      <c r="L51" s="184"/>
      <c r="M51" s="184"/>
      <c r="N51" s="184"/>
      <c r="O51" s="184"/>
      <c r="P51" s="184"/>
      <c r="Q51" s="184"/>
      <c r="R51" s="184"/>
      <c r="S51" s="184"/>
    </row>
    <row r="52" ht="14.25" customHeight="1">
      <c r="A52" s="184"/>
      <c r="B52" s="184"/>
      <c r="C52" s="184" t="s">
        <v>1447</v>
      </c>
      <c r="D52" s="184" t="s">
        <v>1493</v>
      </c>
      <c r="E52" s="185" t="s">
        <v>1448</v>
      </c>
      <c r="F52" s="184" t="s">
        <v>1497</v>
      </c>
      <c r="G52" s="184"/>
      <c r="H52" s="184"/>
      <c r="I52" s="184"/>
      <c r="J52" s="184"/>
      <c r="K52" s="184"/>
      <c r="L52" s="184"/>
      <c r="M52" s="184"/>
      <c r="N52" s="184"/>
      <c r="O52" s="184"/>
      <c r="P52" s="184"/>
      <c r="Q52" s="184"/>
      <c r="R52" s="184"/>
      <c r="S52" s="184"/>
    </row>
    <row r="53" ht="14.25" customHeight="1">
      <c r="A53" s="184"/>
      <c r="B53" s="184"/>
      <c r="C53" s="184" t="s">
        <v>1447</v>
      </c>
      <c r="D53" s="184" t="s">
        <v>1493</v>
      </c>
      <c r="E53" s="185" t="s">
        <v>1448</v>
      </c>
      <c r="F53" s="184" t="s">
        <v>1498</v>
      </c>
      <c r="G53" s="184"/>
      <c r="H53" s="184"/>
      <c r="I53" s="184"/>
      <c r="J53" s="184"/>
      <c r="K53" s="184"/>
      <c r="L53" s="184"/>
      <c r="M53" s="184"/>
      <c r="N53" s="184"/>
      <c r="O53" s="184"/>
      <c r="P53" s="184"/>
      <c r="Q53" s="184"/>
      <c r="R53" s="184"/>
      <c r="S53" s="184"/>
    </row>
    <row r="54" ht="14.25" customHeight="1">
      <c r="A54" s="184"/>
      <c r="B54" s="184"/>
      <c r="C54" s="184" t="s">
        <v>1447</v>
      </c>
      <c r="D54" s="184" t="s">
        <v>1493</v>
      </c>
      <c r="E54" s="185" t="s">
        <v>1448</v>
      </c>
      <c r="F54" s="184" t="s">
        <v>1499</v>
      </c>
      <c r="G54" s="184"/>
      <c r="H54" s="184"/>
      <c r="I54" s="184"/>
      <c r="J54" s="184"/>
      <c r="K54" s="184"/>
      <c r="L54" s="184"/>
      <c r="M54" s="184"/>
      <c r="N54" s="184"/>
      <c r="O54" s="184"/>
      <c r="P54" s="184"/>
      <c r="Q54" s="184"/>
      <c r="R54" s="184"/>
      <c r="S54" s="184"/>
    </row>
    <row r="55" ht="14.25" customHeight="1">
      <c r="A55" s="184"/>
      <c r="B55" s="184"/>
      <c r="C55" s="184" t="s">
        <v>1447</v>
      </c>
      <c r="D55" s="184" t="s">
        <v>1493</v>
      </c>
      <c r="E55" s="185" t="s">
        <v>1448</v>
      </c>
      <c r="F55" s="184" t="s">
        <v>1500</v>
      </c>
      <c r="G55" s="184"/>
      <c r="H55" s="184"/>
      <c r="I55" s="184"/>
      <c r="J55" s="184"/>
      <c r="K55" s="184"/>
      <c r="L55" s="184"/>
      <c r="M55" s="184"/>
      <c r="N55" s="184"/>
      <c r="O55" s="184"/>
      <c r="P55" s="184"/>
      <c r="Q55" s="184"/>
      <c r="R55" s="184"/>
      <c r="S55" s="184"/>
    </row>
    <row r="56" ht="14.25" customHeight="1">
      <c r="A56" s="184"/>
      <c r="B56" s="184"/>
      <c r="C56" s="184" t="s">
        <v>1447</v>
      </c>
      <c r="D56" s="184" t="s">
        <v>1493</v>
      </c>
      <c r="E56" s="185" t="s">
        <v>1448</v>
      </c>
      <c r="F56" s="184" t="s">
        <v>1501</v>
      </c>
      <c r="G56" s="184"/>
      <c r="H56" s="184"/>
      <c r="I56" s="184"/>
      <c r="J56" s="184"/>
      <c r="K56" s="184"/>
      <c r="L56" s="184"/>
      <c r="M56" s="184"/>
      <c r="N56" s="184"/>
      <c r="O56" s="184"/>
      <c r="P56" s="184"/>
      <c r="Q56" s="184"/>
      <c r="R56" s="184"/>
      <c r="S56" s="184"/>
    </row>
    <row r="57" ht="14.25" customHeight="1">
      <c r="A57" s="184"/>
      <c r="B57" s="184"/>
      <c r="C57" s="184" t="s">
        <v>1447</v>
      </c>
      <c r="D57" s="184" t="s">
        <v>1493</v>
      </c>
      <c r="E57" s="185" t="s">
        <v>1448</v>
      </c>
      <c r="F57" s="184" t="s">
        <v>1502</v>
      </c>
      <c r="G57" s="184"/>
      <c r="H57" s="184"/>
      <c r="I57" s="184"/>
      <c r="J57" s="184"/>
      <c r="K57" s="184"/>
      <c r="L57" s="184"/>
      <c r="M57" s="184"/>
      <c r="N57" s="184"/>
      <c r="O57" s="184"/>
      <c r="P57" s="184"/>
      <c r="Q57" s="184"/>
      <c r="R57" s="184"/>
      <c r="S57" s="184"/>
    </row>
    <row r="58" ht="14.25" customHeight="1">
      <c r="A58" s="184"/>
      <c r="B58" s="184"/>
      <c r="C58" s="184" t="s">
        <v>1447</v>
      </c>
      <c r="D58" s="184" t="s">
        <v>1493</v>
      </c>
      <c r="E58" s="185" t="s">
        <v>1448</v>
      </c>
      <c r="F58" s="184" t="s">
        <v>1503</v>
      </c>
      <c r="G58" s="184"/>
      <c r="H58" s="184"/>
      <c r="I58" s="184"/>
      <c r="J58" s="184"/>
      <c r="K58" s="184"/>
      <c r="L58" s="184"/>
      <c r="M58" s="184"/>
      <c r="N58" s="184"/>
      <c r="O58" s="184"/>
      <c r="P58" s="184"/>
      <c r="Q58" s="184"/>
      <c r="R58" s="184"/>
      <c r="S58" s="184"/>
    </row>
    <row r="59" ht="14.25" customHeight="1">
      <c r="A59" s="184"/>
      <c r="B59" s="184"/>
      <c r="C59" s="179" t="s">
        <v>1447</v>
      </c>
      <c r="D59" s="184" t="s">
        <v>795</v>
      </c>
      <c r="E59" s="185" t="s">
        <v>1448</v>
      </c>
      <c r="F59" s="184" t="s">
        <v>1504</v>
      </c>
      <c r="G59" s="179"/>
      <c r="H59" s="179"/>
      <c r="I59" s="179"/>
      <c r="J59" s="179"/>
      <c r="K59" s="179"/>
      <c r="L59" s="179"/>
      <c r="M59" s="179"/>
      <c r="N59" s="179"/>
      <c r="O59" s="179"/>
      <c r="P59" s="179"/>
      <c r="Q59" s="179"/>
      <c r="R59" s="179"/>
      <c r="S59" s="179"/>
    </row>
    <row r="60" ht="14.25" customHeight="1">
      <c r="A60" s="184"/>
      <c r="B60" s="184"/>
      <c r="C60" s="179" t="s">
        <v>1447</v>
      </c>
      <c r="D60" s="184" t="s">
        <v>795</v>
      </c>
      <c r="E60" s="185" t="s">
        <v>1448</v>
      </c>
      <c r="F60" s="184" t="s">
        <v>1505</v>
      </c>
      <c r="G60" s="179"/>
      <c r="H60" s="179"/>
      <c r="I60" s="179"/>
      <c r="J60" s="179"/>
      <c r="K60" s="179"/>
      <c r="L60" s="179"/>
      <c r="M60" s="179"/>
      <c r="N60" s="179"/>
      <c r="O60" s="179"/>
      <c r="P60" s="179"/>
      <c r="Q60" s="179"/>
      <c r="R60" s="179"/>
      <c r="S60" s="179"/>
    </row>
    <row r="61" ht="14.25" customHeight="1">
      <c r="A61" s="184"/>
      <c r="B61" s="184"/>
      <c r="C61" s="179" t="s">
        <v>1447</v>
      </c>
      <c r="D61" s="184" t="s">
        <v>795</v>
      </c>
      <c r="E61" s="185" t="s">
        <v>1448</v>
      </c>
      <c r="F61" s="184" t="s">
        <v>1506</v>
      </c>
      <c r="G61" s="179"/>
      <c r="H61" s="179"/>
      <c r="I61" s="179"/>
      <c r="J61" s="179"/>
      <c r="K61" s="179"/>
      <c r="L61" s="179"/>
      <c r="M61" s="179"/>
      <c r="N61" s="179"/>
      <c r="O61" s="179"/>
      <c r="P61" s="179"/>
      <c r="Q61" s="179"/>
      <c r="R61" s="179"/>
      <c r="S61" s="179"/>
    </row>
    <row r="62" ht="14.25" customHeight="1">
      <c r="A62" s="184"/>
      <c r="B62" s="184"/>
      <c r="C62" s="184" t="s">
        <v>1447</v>
      </c>
      <c r="D62" s="184" t="s">
        <v>795</v>
      </c>
      <c r="E62" s="185" t="s">
        <v>1448</v>
      </c>
      <c r="F62" s="184" t="s">
        <v>1507</v>
      </c>
      <c r="G62" s="184"/>
      <c r="H62" s="184"/>
      <c r="I62" s="184"/>
      <c r="J62" s="184"/>
      <c r="K62" s="184"/>
      <c r="L62" s="184"/>
      <c r="M62" s="184"/>
      <c r="N62" s="184"/>
      <c r="O62" s="184"/>
      <c r="P62" s="184"/>
      <c r="Q62" s="184"/>
      <c r="R62" s="184"/>
      <c r="S62" s="184"/>
    </row>
    <row r="63" ht="14.25" customHeight="1">
      <c r="A63" s="184"/>
      <c r="B63" s="184"/>
      <c r="C63" s="179" t="s">
        <v>1447</v>
      </c>
      <c r="D63" s="184" t="s">
        <v>795</v>
      </c>
      <c r="E63" s="185" t="s">
        <v>1448</v>
      </c>
      <c r="F63" s="184" t="s">
        <v>1508</v>
      </c>
      <c r="G63" s="179"/>
      <c r="H63" s="179"/>
      <c r="I63" s="179"/>
      <c r="J63" s="179"/>
      <c r="K63" s="179"/>
      <c r="L63" s="179"/>
      <c r="M63" s="179"/>
      <c r="N63" s="179"/>
      <c r="O63" s="179"/>
      <c r="P63" s="179"/>
      <c r="Q63" s="179"/>
      <c r="R63" s="179"/>
      <c r="S63" s="179"/>
    </row>
    <row r="64" ht="14.25" customHeight="1">
      <c r="A64" s="184"/>
      <c r="B64" s="184"/>
      <c r="C64" s="179" t="s">
        <v>1447</v>
      </c>
      <c r="D64" s="184" t="s">
        <v>795</v>
      </c>
      <c r="E64" s="185" t="s">
        <v>1448</v>
      </c>
      <c r="F64" s="184" t="s">
        <v>1509</v>
      </c>
      <c r="G64" s="179"/>
      <c r="H64" s="179"/>
      <c r="I64" s="179"/>
      <c r="J64" s="179"/>
      <c r="K64" s="179"/>
      <c r="L64" s="179"/>
      <c r="M64" s="179"/>
      <c r="N64" s="179"/>
      <c r="O64" s="179"/>
      <c r="P64" s="179"/>
      <c r="Q64" s="179"/>
      <c r="R64" s="179"/>
      <c r="S64" s="179"/>
    </row>
    <row r="65" ht="14.25" customHeight="1">
      <c r="A65" s="184"/>
      <c r="B65" s="184"/>
      <c r="C65" s="179" t="s">
        <v>1447</v>
      </c>
      <c r="D65" s="184" t="s">
        <v>795</v>
      </c>
      <c r="E65" s="185" t="s">
        <v>1448</v>
      </c>
      <c r="F65" s="184" t="s">
        <v>1510</v>
      </c>
      <c r="G65" s="179"/>
      <c r="H65" s="179"/>
      <c r="I65" s="179"/>
      <c r="J65" s="179"/>
      <c r="K65" s="179"/>
      <c r="L65" s="179"/>
      <c r="M65" s="179"/>
      <c r="N65" s="179"/>
      <c r="O65" s="179"/>
      <c r="P65" s="179"/>
      <c r="Q65" s="179"/>
      <c r="R65" s="179"/>
      <c r="S65" s="179"/>
    </row>
    <row r="66" ht="14.25" customHeight="1">
      <c r="A66" s="184"/>
      <c r="B66" s="184"/>
      <c r="C66" s="179" t="s">
        <v>1447</v>
      </c>
      <c r="D66" s="184" t="s">
        <v>795</v>
      </c>
      <c r="E66" s="185" t="s">
        <v>1448</v>
      </c>
      <c r="F66" s="184" t="s">
        <v>1511</v>
      </c>
      <c r="G66" s="179"/>
      <c r="H66" s="179"/>
      <c r="I66" s="179"/>
      <c r="J66" s="179"/>
      <c r="K66" s="179"/>
      <c r="L66" s="179"/>
      <c r="M66" s="179"/>
      <c r="N66" s="179"/>
      <c r="O66" s="179"/>
      <c r="P66" s="179"/>
      <c r="Q66" s="179"/>
      <c r="R66" s="179"/>
      <c r="S66" s="179"/>
    </row>
    <row r="67" ht="14.25" customHeight="1">
      <c r="A67" s="184"/>
      <c r="B67" s="184"/>
      <c r="C67" s="184" t="s">
        <v>1447</v>
      </c>
      <c r="D67" s="184" t="s">
        <v>795</v>
      </c>
      <c r="E67" s="185" t="s">
        <v>1448</v>
      </c>
      <c r="F67" s="184" t="s">
        <v>1512</v>
      </c>
      <c r="G67" s="184"/>
      <c r="H67" s="184"/>
      <c r="I67" s="184"/>
      <c r="J67" s="184"/>
      <c r="K67" s="184"/>
      <c r="L67" s="184"/>
      <c r="M67" s="184"/>
      <c r="N67" s="184"/>
      <c r="O67" s="184"/>
      <c r="P67" s="184"/>
      <c r="Q67" s="184"/>
      <c r="R67" s="184"/>
      <c r="S67" s="184"/>
    </row>
    <row r="68" ht="14.25" customHeight="1">
      <c r="A68" s="184"/>
      <c r="B68" s="184"/>
      <c r="C68" s="184" t="s">
        <v>1447</v>
      </c>
      <c r="D68" s="184" t="s">
        <v>795</v>
      </c>
      <c r="E68" s="185" t="s">
        <v>1448</v>
      </c>
      <c r="F68" s="184" t="s">
        <v>1513</v>
      </c>
      <c r="G68" s="184"/>
      <c r="H68" s="184"/>
      <c r="I68" s="184"/>
      <c r="J68" s="184"/>
      <c r="K68" s="184"/>
      <c r="L68" s="184"/>
      <c r="M68" s="184"/>
      <c r="N68" s="184"/>
      <c r="O68" s="184"/>
      <c r="P68" s="184"/>
      <c r="Q68" s="184"/>
      <c r="R68" s="184"/>
      <c r="S68" s="184"/>
    </row>
    <row r="69" ht="14.25" customHeight="1">
      <c r="A69" s="184"/>
      <c r="B69" s="184"/>
      <c r="C69" s="184" t="s">
        <v>1447</v>
      </c>
      <c r="D69" s="184" t="s">
        <v>795</v>
      </c>
      <c r="E69" s="185" t="s">
        <v>1448</v>
      </c>
      <c r="F69" s="184" t="s">
        <v>1514</v>
      </c>
      <c r="G69" s="184"/>
      <c r="H69" s="184"/>
      <c r="I69" s="184"/>
      <c r="J69" s="184"/>
      <c r="K69" s="184"/>
      <c r="L69" s="184"/>
      <c r="M69" s="184"/>
      <c r="N69" s="184"/>
      <c r="O69" s="184"/>
      <c r="P69" s="184"/>
      <c r="Q69" s="184"/>
      <c r="R69" s="184"/>
      <c r="S69" s="184"/>
    </row>
    <row r="70" ht="14.25" customHeight="1">
      <c r="A70" s="184"/>
      <c r="B70" s="184"/>
      <c r="C70" s="184" t="s">
        <v>1447</v>
      </c>
      <c r="D70" s="184" t="s">
        <v>795</v>
      </c>
      <c r="E70" s="185" t="s">
        <v>1448</v>
      </c>
      <c r="F70" s="184" t="s">
        <v>1515</v>
      </c>
      <c r="G70" s="184"/>
      <c r="H70" s="184"/>
      <c r="I70" s="184"/>
      <c r="J70" s="184"/>
      <c r="K70" s="184"/>
      <c r="L70" s="184"/>
      <c r="M70" s="184"/>
      <c r="N70" s="184"/>
      <c r="O70" s="184"/>
      <c r="P70" s="184"/>
      <c r="Q70" s="184"/>
      <c r="R70" s="184"/>
      <c r="S70" s="184"/>
    </row>
    <row r="71" ht="14.25" customHeight="1">
      <c r="A71" s="184"/>
      <c r="B71" s="184"/>
      <c r="C71" s="179" t="s">
        <v>1447</v>
      </c>
      <c r="D71" s="184" t="s">
        <v>795</v>
      </c>
      <c r="E71" s="185" t="s">
        <v>1448</v>
      </c>
      <c r="F71" s="184" t="s">
        <v>1516</v>
      </c>
      <c r="G71" s="179"/>
      <c r="H71" s="179"/>
      <c r="I71" s="179"/>
      <c r="J71" s="179"/>
      <c r="K71" s="179"/>
      <c r="L71" s="179"/>
      <c r="M71" s="179"/>
      <c r="N71" s="179"/>
      <c r="O71" s="179"/>
      <c r="P71" s="179"/>
      <c r="Q71" s="179"/>
      <c r="R71" s="179"/>
      <c r="S71" s="179"/>
    </row>
    <row r="72" ht="14.25" customHeight="1">
      <c r="A72" s="184"/>
      <c r="B72" s="184"/>
      <c r="C72" s="184" t="s">
        <v>1447</v>
      </c>
      <c r="D72" s="184" t="s">
        <v>795</v>
      </c>
      <c r="E72" s="185" t="s">
        <v>1448</v>
      </c>
      <c r="F72" s="184" t="s">
        <v>1517</v>
      </c>
      <c r="G72" s="184"/>
      <c r="H72" s="184"/>
      <c r="I72" s="184"/>
      <c r="J72" s="184"/>
      <c r="K72" s="184"/>
      <c r="L72" s="184"/>
      <c r="M72" s="184"/>
      <c r="N72" s="184"/>
      <c r="O72" s="184"/>
      <c r="P72" s="184"/>
      <c r="Q72" s="184"/>
      <c r="R72" s="184"/>
      <c r="S72" s="184"/>
    </row>
    <row r="73" ht="14.25" customHeight="1">
      <c r="A73" s="184"/>
      <c r="B73" s="184"/>
      <c r="C73" s="184" t="s">
        <v>1447</v>
      </c>
      <c r="D73" s="184" t="s">
        <v>795</v>
      </c>
      <c r="E73" s="185" t="s">
        <v>1448</v>
      </c>
      <c r="F73" s="184" t="s">
        <v>1518</v>
      </c>
      <c r="G73" s="184"/>
      <c r="H73" s="184"/>
      <c r="I73" s="184"/>
      <c r="J73" s="184"/>
      <c r="K73" s="184"/>
      <c r="L73" s="184"/>
      <c r="M73" s="184"/>
      <c r="N73" s="184"/>
      <c r="O73" s="184"/>
      <c r="P73" s="184"/>
      <c r="Q73" s="184"/>
      <c r="R73" s="184"/>
      <c r="S73" s="184"/>
    </row>
    <row r="74" ht="14.25" customHeight="1">
      <c r="A74" s="184"/>
      <c r="B74" s="184"/>
      <c r="C74" s="184" t="s">
        <v>1447</v>
      </c>
      <c r="D74" s="184" t="s">
        <v>795</v>
      </c>
      <c r="E74" s="185" t="s">
        <v>1448</v>
      </c>
      <c r="F74" s="184" t="s">
        <v>1519</v>
      </c>
      <c r="G74" s="184"/>
      <c r="H74" s="184"/>
      <c r="I74" s="184"/>
      <c r="J74" s="184"/>
      <c r="K74" s="184"/>
      <c r="L74" s="184"/>
      <c r="M74" s="184"/>
      <c r="N74" s="184"/>
      <c r="O74" s="184"/>
      <c r="P74" s="184"/>
      <c r="Q74" s="184"/>
      <c r="R74" s="184"/>
      <c r="S74" s="184"/>
    </row>
    <row r="75" ht="14.25" customHeight="1">
      <c r="A75" s="184"/>
      <c r="B75" s="184"/>
      <c r="C75" s="179" t="s">
        <v>1447</v>
      </c>
      <c r="D75" s="184" t="s">
        <v>795</v>
      </c>
      <c r="E75" s="185" t="s">
        <v>1448</v>
      </c>
      <c r="F75" s="184" t="s">
        <v>1520</v>
      </c>
      <c r="G75" s="179"/>
      <c r="H75" s="179"/>
      <c r="I75" s="179"/>
      <c r="J75" s="179"/>
      <c r="K75" s="179"/>
      <c r="L75" s="179"/>
      <c r="M75" s="179"/>
      <c r="N75" s="179"/>
      <c r="O75" s="179"/>
      <c r="P75" s="179"/>
      <c r="Q75" s="179"/>
      <c r="R75" s="179"/>
      <c r="S75" s="179"/>
    </row>
    <row r="76" ht="14.25" customHeight="1">
      <c r="A76" s="184"/>
      <c r="B76" s="184"/>
      <c r="C76" s="184" t="s">
        <v>1447</v>
      </c>
      <c r="D76" s="184" t="s">
        <v>795</v>
      </c>
      <c r="E76" s="185" t="s">
        <v>1448</v>
      </c>
      <c r="F76" s="184" t="s">
        <v>1521</v>
      </c>
      <c r="G76" s="184"/>
      <c r="H76" s="184"/>
      <c r="I76" s="184"/>
      <c r="J76" s="184"/>
      <c r="K76" s="184"/>
      <c r="L76" s="184"/>
      <c r="M76" s="184"/>
      <c r="N76" s="184"/>
      <c r="O76" s="184"/>
      <c r="P76" s="184"/>
      <c r="Q76" s="184"/>
      <c r="R76" s="184"/>
      <c r="S76" s="184"/>
    </row>
    <row r="77" ht="14.25" customHeight="1">
      <c r="A77" s="184"/>
      <c r="B77" s="184"/>
      <c r="C77" s="184" t="s">
        <v>1447</v>
      </c>
      <c r="D77" s="184" t="s">
        <v>795</v>
      </c>
      <c r="E77" s="185" t="s">
        <v>1448</v>
      </c>
      <c r="F77" s="184" t="s">
        <v>1522</v>
      </c>
      <c r="G77" s="184"/>
      <c r="H77" s="184"/>
      <c r="I77" s="184"/>
      <c r="J77" s="184"/>
      <c r="K77" s="184"/>
      <c r="L77" s="184"/>
      <c r="M77" s="184"/>
      <c r="N77" s="184"/>
      <c r="O77" s="184"/>
      <c r="P77" s="184"/>
      <c r="Q77" s="184"/>
      <c r="R77" s="184"/>
      <c r="S77" s="184"/>
    </row>
    <row r="78" ht="14.25" customHeight="1">
      <c r="A78" s="184"/>
      <c r="B78" s="184"/>
      <c r="C78" s="184" t="s">
        <v>1447</v>
      </c>
      <c r="D78" s="184" t="s">
        <v>795</v>
      </c>
      <c r="E78" s="185" t="s">
        <v>1448</v>
      </c>
      <c r="F78" s="184" t="s">
        <v>1523</v>
      </c>
      <c r="G78" s="184"/>
      <c r="H78" s="184"/>
      <c r="I78" s="184"/>
      <c r="J78" s="184"/>
      <c r="K78" s="184"/>
      <c r="L78" s="184"/>
      <c r="M78" s="184"/>
      <c r="N78" s="184"/>
      <c r="O78" s="184"/>
      <c r="P78" s="184"/>
      <c r="Q78" s="184"/>
      <c r="R78" s="184"/>
      <c r="S78" s="184"/>
    </row>
    <row r="79" ht="14.25" customHeight="1">
      <c r="A79" s="184"/>
      <c r="B79" s="184"/>
      <c r="C79" s="179" t="s">
        <v>1447</v>
      </c>
      <c r="D79" s="184" t="s">
        <v>795</v>
      </c>
      <c r="E79" s="185" t="s">
        <v>1448</v>
      </c>
      <c r="F79" s="184" t="s">
        <v>1524</v>
      </c>
      <c r="G79" s="179"/>
      <c r="H79" s="179"/>
      <c r="I79" s="179"/>
      <c r="J79" s="179"/>
      <c r="K79" s="179"/>
      <c r="L79" s="179"/>
      <c r="M79" s="179"/>
      <c r="N79" s="179"/>
      <c r="O79" s="179"/>
      <c r="P79" s="179"/>
      <c r="Q79" s="179"/>
      <c r="R79" s="179"/>
      <c r="S79" s="179"/>
    </row>
    <row r="80" ht="14.25" customHeight="1">
      <c r="A80" s="184"/>
      <c r="B80" s="184"/>
      <c r="C80" s="179" t="s">
        <v>1447</v>
      </c>
      <c r="D80" s="184" t="s">
        <v>795</v>
      </c>
      <c r="E80" s="185" t="s">
        <v>1448</v>
      </c>
      <c r="F80" s="184" t="s">
        <v>1525</v>
      </c>
      <c r="G80" s="179"/>
      <c r="H80" s="179"/>
      <c r="I80" s="179"/>
      <c r="J80" s="179"/>
      <c r="K80" s="179"/>
      <c r="L80" s="179"/>
      <c r="M80" s="179"/>
      <c r="N80" s="179"/>
      <c r="O80" s="179"/>
      <c r="P80" s="179"/>
      <c r="Q80" s="179"/>
      <c r="R80" s="179"/>
      <c r="S80" s="179"/>
    </row>
    <row r="81" ht="14.25" customHeight="1">
      <c r="A81" s="184"/>
      <c r="B81" s="184"/>
      <c r="C81" s="179" t="s">
        <v>1447</v>
      </c>
      <c r="D81" s="184" t="s">
        <v>795</v>
      </c>
      <c r="E81" s="185" t="s">
        <v>1448</v>
      </c>
      <c r="F81" s="184" t="s">
        <v>1526</v>
      </c>
      <c r="G81" s="179"/>
      <c r="H81" s="179"/>
      <c r="I81" s="179"/>
      <c r="J81" s="179"/>
      <c r="K81" s="179"/>
      <c r="L81" s="179"/>
      <c r="M81" s="179"/>
      <c r="N81" s="179"/>
      <c r="O81" s="179"/>
      <c r="P81" s="179"/>
      <c r="Q81" s="179"/>
      <c r="R81" s="179"/>
      <c r="S81" s="179"/>
    </row>
    <row r="82" ht="14.25" customHeight="1">
      <c r="A82" s="184"/>
      <c r="B82" s="184"/>
      <c r="C82" s="179" t="s">
        <v>1447</v>
      </c>
      <c r="D82" s="184" t="s">
        <v>795</v>
      </c>
      <c r="E82" s="185" t="s">
        <v>1448</v>
      </c>
      <c r="F82" s="184" t="s">
        <v>1527</v>
      </c>
      <c r="G82" s="179"/>
      <c r="H82" s="179"/>
      <c r="I82" s="179"/>
      <c r="J82" s="179"/>
      <c r="K82" s="179"/>
      <c r="L82" s="179"/>
      <c r="M82" s="179"/>
      <c r="N82" s="179"/>
      <c r="O82" s="179"/>
      <c r="P82" s="179"/>
      <c r="Q82" s="179"/>
      <c r="R82" s="179"/>
      <c r="S82" s="179"/>
    </row>
    <row r="83" ht="14.25" customHeight="1">
      <c r="A83" s="184"/>
      <c r="B83" s="184"/>
      <c r="C83" s="179" t="s">
        <v>1447</v>
      </c>
      <c r="D83" s="184" t="s">
        <v>795</v>
      </c>
      <c r="E83" s="185" t="s">
        <v>1448</v>
      </c>
      <c r="F83" s="184" t="s">
        <v>1528</v>
      </c>
      <c r="G83" s="179"/>
      <c r="H83" s="179"/>
      <c r="I83" s="179"/>
      <c r="J83" s="179"/>
      <c r="K83" s="179"/>
      <c r="L83" s="179"/>
      <c r="M83" s="179"/>
      <c r="N83" s="179"/>
      <c r="O83" s="179"/>
      <c r="P83" s="179"/>
      <c r="Q83" s="179"/>
      <c r="R83" s="179"/>
      <c r="S83" s="179"/>
    </row>
    <row r="84" ht="14.25" customHeight="1">
      <c r="A84" s="184"/>
      <c r="B84" s="184"/>
      <c r="C84" s="179" t="s">
        <v>1447</v>
      </c>
      <c r="D84" s="184" t="s">
        <v>795</v>
      </c>
      <c r="E84" s="185" t="s">
        <v>1448</v>
      </c>
      <c r="F84" s="184" t="s">
        <v>1529</v>
      </c>
      <c r="G84" s="179"/>
      <c r="H84" s="179"/>
      <c r="I84" s="179"/>
      <c r="J84" s="179"/>
      <c r="K84" s="179"/>
      <c r="L84" s="179"/>
      <c r="M84" s="179"/>
      <c r="N84" s="179"/>
      <c r="O84" s="179"/>
      <c r="P84" s="179"/>
      <c r="Q84" s="179"/>
      <c r="R84" s="179"/>
      <c r="S84" s="179"/>
    </row>
    <row r="85" ht="14.25" customHeight="1">
      <c r="A85" s="184"/>
      <c r="B85" s="184"/>
      <c r="C85" s="184" t="s">
        <v>1447</v>
      </c>
      <c r="D85" s="184" t="s">
        <v>1066</v>
      </c>
      <c r="E85" s="185" t="s">
        <v>1448</v>
      </c>
      <c r="F85" s="184" t="s">
        <v>1530</v>
      </c>
      <c r="G85" s="184"/>
      <c r="H85" s="184"/>
      <c r="I85" s="184"/>
      <c r="J85" s="184"/>
      <c r="K85" s="184"/>
      <c r="L85" s="184"/>
      <c r="M85" s="184"/>
      <c r="N85" s="184"/>
      <c r="O85" s="184"/>
      <c r="P85" s="184"/>
      <c r="Q85" s="184"/>
      <c r="R85" s="184"/>
      <c r="S85" s="184"/>
    </row>
    <row r="86" ht="14.25" customHeight="1">
      <c r="A86" s="184"/>
      <c r="B86" s="184"/>
      <c r="C86" s="184" t="s">
        <v>1447</v>
      </c>
      <c r="D86" s="184" t="s">
        <v>1066</v>
      </c>
      <c r="E86" s="185" t="s">
        <v>1448</v>
      </c>
      <c r="F86" s="184" t="s">
        <v>1531</v>
      </c>
      <c r="G86" s="184"/>
      <c r="H86" s="184"/>
      <c r="I86" s="184"/>
      <c r="J86" s="184"/>
      <c r="K86" s="184"/>
      <c r="L86" s="184"/>
      <c r="M86" s="184"/>
      <c r="N86" s="184"/>
      <c r="O86" s="184"/>
      <c r="P86" s="184"/>
      <c r="Q86" s="184"/>
      <c r="R86" s="184"/>
      <c r="S86" s="184"/>
    </row>
    <row r="87" ht="14.25" customHeight="1">
      <c r="A87" s="184"/>
      <c r="B87" s="184"/>
      <c r="C87" s="184" t="s">
        <v>1447</v>
      </c>
      <c r="D87" s="184" t="s">
        <v>1066</v>
      </c>
      <c r="E87" s="185" t="s">
        <v>1448</v>
      </c>
      <c r="F87" s="184" t="s">
        <v>1532</v>
      </c>
      <c r="G87" s="184"/>
      <c r="H87" s="184"/>
      <c r="I87" s="184"/>
      <c r="J87" s="184"/>
      <c r="K87" s="184"/>
      <c r="L87" s="184"/>
      <c r="M87" s="184"/>
      <c r="N87" s="184"/>
      <c r="O87" s="184"/>
      <c r="P87" s="184"/>
      <c r="Q87" s="184"/>
      <c r="R87" s="184"/>
      <c r="S87" s="184"/>
    </row>
    <row r="88" ht="14.25" customHeight="1">
      <c r="A88" s="184"/>
      <c r="B88" s="184"/>
      <c r="C88" s="184" t="s">
        <v>1447</v>
      </c>
      <c r="D88" s="184" t="s">
        <v>710</v>
      </c>
      <c r="E88" s="185" t="s">
        <v>1448</v>
      </c>
      <c r="F88" s="184" t="s">
        <v>1533</v>
      </c>
      <c r="G88" s="184"/>
      <c r="H88" s="184"/>
      <c r="I88" s="184"/>
      <c r="J88" s="184"/>
      <c r="K88" s="184"/>
      <c r="L88" s="184"/>
      <c r="M88" s="184"/>
      <c r="N88" s="184"/>
      <c r="O88" s="184"/>
      <c r="P88" s="184"/>
      <c r="Q88" s="184"/>
      <c r="R88" s="184"/>
      <c r="S88" s="184"/>
    </row>
    <row r="89" ht="14.25" customHeight="1">
      <c r="A89" s="184"/>
      <c r="B89" s="184"/>
      <c r="C89" s="184" t="s">
        <v>1447</v>
      </c>
      <c r="D89" s="184" t="s">
        <v>710</v>
      </c>
      <c r="E89" s="185" t="s">
        <v>1448</v>
      </c>
      <c r="F89" s="184" t="s">
        <v>1534</v>
      </c>
      <c r="G89" s="184"/>
      <c r="H89" s="184"/>
      <c r="I89" s="184"/>
      <c r="J89" s="184"/>
      <c r="K89" s="184"/>
      <c r="L89" s="184"/>
      <c r="M89" s="184"/>
      <c r="N89" s="184"/>
      <c r="O89" s="184"/>
      <c r="P89" s="184"/>
      <c r="Q89" s="184"/>
      <c r="R89" s="184"/>
      <c r="S89" s="184"/>
    </row>
    <row r="90" ht="14.25" customHeight="1">
      <c r="A90" s="184"/>
      <c r="B90" s="184"/>
      <c r="C90" s="184" t="s">
        <v>1447</v>
      </c>
      <c r="D90" s="184" t="s">
        <v>710</v>
      </c>
      <c r="E90" s="185" t="s">
        <v>1448</v>
      </c>
      <c r="F90" s="184" t="s">
        <v>1535</v>
      </c>
      <c r="G90" s="184"/>
      <c r="H90" s="184"/>
      <c r="I90" s="184"/>
      <c r="J90" s="184"/>
      <c r="K90" s="184"/>
      <c r="L90" s="184"/>
      <c r="M90" s="184"/>
      <c r="N90" s="184"/>
      <c r="O90" s="184"/>
      <c r="P90" s="184"/>
      <c r="Q90" s="184"/>
      <c r="R90" s="184"/>
      <c r="S90" s="184"/>
    </row>
    <row r="91" ht="14.25" customHeight="1">
      <c r="A91" s="184"/>
      <c r="B91" s="184"/>
      <c r="C91" s="184" t="s">
        <v>1447</v>
      </c>
      <c r="D91" s="184" t="s">
        <v>710</v>
      </c>
      <c r="E91" s="185" t="s">
        <v>1448</v>
      </c>
      <c r="F91" s="184" t="s">
        <v>1536</v>
      </c>
      <c r="G91" s="184"/>
      <c r="H91" s="184"/>
      <c r="I91" s="184"/>
      <c r="J91" s="184"/>
      <c r="K91" s="184"/>
      <c r="L91" s="184"/>
      <c r="M91" s="184"/>
      <c r="N91" s="184"/>
      <c r="O91" s="184"/>
      <c r="P91" s="184"/>
      <c r="Q91" s="184"/>
      <c r="R91" s="184"/>
      <c r="S91" s="184"/>
    </row>
    <row r="92" ht="14.25" customHeight="1">
      <c r="A92" s="184"/>
      <c r="B92" s="184"/>
      <c r="C92" s="184" t="s">
        <v>1447</v>
      </c>
      <c r="D92" s="184" t="s">
        <v>710</v>
      </c>
      <c r="E92" s="185" t="s">
        <v>1448</v>
      </c>
      <c r="F92" s="184" t="s">
        <v>1537</v>
      </c>
      <c r="G92" s="184"/>
      <c r="H92" s="184"/>
      <c r="I92" s="184"/>
      <c r="J92" s="184"/>
      <c r="K92" s="184"/>
      <c r="L92" s="184"/>
      <c r="M92" s="184"/>
      <c r="N92" s="184"/>
      <c r="O92" s="184"/>
      <c r="P92" s="184"/>
      <c r="Q92" s="184"/>
      <c r="R92" s="184"/>
      <c r="S92" s="184"/>
    </row>
    <row r="93" ht="14.25" customHeight="1">
      <c r="A93" s="184"/>
      <c r="B93" s="184"/>
      <c r="C93" s="184" t="s">
        <v>1447</v>
      </c>
      <c r="D93" s="184" t="s">
        <v>710</v>
      </c>
      <c r="E93" s="185" t="s">
        <v>1448</v>
      </c>
      <c r="F93" s="184" t="s">
        <v>1538</v>
      </c>
      <c r="G93" s="184"/>
      <c r="H93" s="184"/>
      <c r="I93" s="184"/>
      <c r="J93" s="184"/>
      <c r="K93" s="184"/>
      <c r="L93" s="184"/>
      <c r="M93" s="184"/>
      <c r="N93" s="184"/>
      <c r="O93" s="184"/>
      <c r="P93" s="184"/>
      <c r="Q93" s="184"/>
      <c r="R93" s="184"/>
      <c r="S93" s="184"/>
    </row>
    <row r="94" ht="14.25" customHeight="1">
      <c r="A94" s="184"/>
      <c r="B94" s="184"/>
      <c r="C94" s="184" t="s">
        <v>1447</v>
      </c>
      <c r="D94" s="184" t="s">
        <v>1539</v>
      </c>
      <c r="E94" s="185" t="s">
        <v>1448</v>
      </c>
      <c r="F94" s="184" t="s">
        <v>1540</v>
      </c>
      <c r="G94" s="184"/>
      <c r="H94" s="184"/>
      <c r="I94" s="184"/>
      <c r="J94" s="184"/>
      <c r="K94" s="184"/>
      <c r="L94" s="184"/>
      <c r="M94" s="184"/>
      <c r="N94" s="184"/>
      <c r="O94" s="184"/>
      <c r="P94" s="184"/>
      <c r="Q94" s="184"/>
      <c r="R94" s="184"/>
      <c r="S94" s="184"/>
    </row>
    <row r="95" ht="14.25" customHeight="1">
      <c r="A95" s="184"/>
      <c r="B95" s="184"/>
      <c r="C95" s="184" t="s">
        <v>1447</v>
      </c>
      <c r="D95" s="184" t="s">
        <v>1539</v>
      </c>
      <c r="E95" s="185" t="s">
        <v>1448</v>
      </c>
      <c r="F95" s="184" t="s">
        <v>1543</v>
      </c>
      <c r="G95" s="184"/>
      <c r="H95" s="184"/>
      <c r="I95" s="184"/>
      <c r="J95" s="184"/>
      <c r="K95" s="184"/>
      <c r="L95" s="184"/>
      <c r="M95" s="184"/>
      <c r="N95" s="184"/>
      <c r="O95" s="184"/>
      <c r="P95" s="184"/>
      <c r="Q95" s="184"/>
      <c r="R95" s="184"/>
      <c r="S95" s="184"/>
    </row>
    <row r="96" ht="14.25" customHeight="1">
      <c r="A96" s="184"/>
      <c r="B96" s="184"/>
      <c r="C96" s="184" t="s">
        <v>1447</v>
      </c>
      <c r="D96" s="184" t="s">
        <v>1539</v>
      </c>
      <c r="E96" s="185" t="s">
        <v>1448</v>
      </c>
      <c r="F96" s="184" t="s">
        <v>1545</v>
      </c>
      <c r="G96" s="184"/>
      <c r="H96" s="184"/>
      <c r="I96" s="184"/>
      <c r="J96" s="184"/>
      <c r="K96" s="184"/>
      <c r="L96" s="184"/>
      <c r="M96" s="184"/>
      <c r="N96" s="184"/>
      <c r="O96" s="184"/>
      <c r="P96" s="184"/>
      <c r="Q96" s="184"/>
      <c r="R96" s="184"/>
      <c r="S96" s="184"/>
    </row>
    <row r="97" ht="14.25" customHeight="1">
      <c r="A97" s="184"/>
      <c r="B97" s="184"/>
      <c r="C97" s="184" t="s">
        <v>1447</v>
      </c>
      <c r="D97" s="184" t="s">
        <v>1539</v>
      </c>
      <c r="E97" s="185" t="s">
        <v>1448</v>
      </c>
      <c r="F97" s="184" t="s">
        <v>1546</v>
      </c>
      <c r="G97" s="184"/>
      <c r="H97" s="184"/>
      <c r="I97" s="184"/>
      <c r="J97" s="184"/>
      <c r="K97" s="184"/>
      <c r="L97" s="184"/>
      <c r="M97" s="184"/>
      <c r="N97" s="184"/>
      <c r="O97" s="184"/>
      <c r="P97" s="184"/>
      <c r="Q97" s="184"/>
      <c r="R97" s="184"/>
      <c r="S97" s="184"/>
    </row>
    <row r="98" ht="14.25" customHeight="1">
      <c r="A98" s="184"/>
      <c r="B98" s="184"/>
      <c r="C98" s="184" t="s">
        <v>1447</v>
      </c>
      <c r="D98" s="184" t="s">
        <v>1539</v>
      </c>
      <c r="E98" s="185" t="s">
        <v>1448</v>
      </c>
      <c r="F98" s="184" t="s">
        <v>1549</v>
      </c>
      <c r="G98" s="184"/>
      <c r="H98" s="184"/>
      <c r="I98" s="184"/>
      <c r="J98" s="184"/>
      <c r="K98" s="184"/>
      <c r="L98" s="184"/>
      <c r="M98" s="184"/>
      <c r="N98" s="184"/>
      <c r="O98" s="184"/>
      <c r="P98" s="184"/>
      <c r="Q98" s="184"/>
      <c r="R98" s="184"/>
      <c r="S98" s="184"/>
    </row>
    <row r="99" ht="14.25" customHeight="1">
      <c r="A99" s="184"/>
      <c r="B99" s="184"/>
      <c r="C99" s="184" t="s">
        <v>1447</v>
      </c>
      <c r="D99" s="184" t="s">
        <v>1539</v>
      </c>
      <c r="E99" s="185" t="s">
        <v>1448</v>
      </c>
      <c r="F99" s="184" t="s">
        <v>1552</v>
      </c>
      <c r="G99" s="184"/>
      <c r="H99" s="184"/>
      <c r="I99" s="184"/>
      <c r="J99" s="184"/>
      <c r="K99" s="184"/>
      <c r="L99" s="184"/>
      <c r="M99" s="184"/>
      <c r="N99" s="184"/>
      <c r="O99" s="184"/>
      <c r="P99" s="184"/>
      <c r="Q99" s="184"/>
      <c r="R99" s="184"/>
      <c r="S99" s="184"/>
    </row>
    <row r="100" ht="14.25" customHeight="1">
      <c r="A100" s="184"/>
      <c r="B100" s="184"/>
      <c r="C100" s="184" t="s">
        <v>1447</v>
      </c>
      <c r="D100" s="184" t="s">
        <v>1539</v>
      </c>
      <c r="E100" s="185" t="s">
        <v>1448</v>
      </c>
      <c r="F100" s="184" t="s">
        <v>1554</v>
      </c>
      <c r="G100" s="184"/>
      <c r="H100" s="184"/>
      <c r="I100" s="184"/>
      <c r="J100" s="184"/>
      <c r="K100" s="184"/>
      <c r="L100" s="184"/>
      <c r="M100" s="184"/>
      <c r="N100" s="184"/>
      <c r="O100" s="184"/>
      <c r="P100" s="184"/>
      <c r="Q100" s="184"/>
      <c r="R100" s="184"/>
      <c r="S100" s="184"/>
    </row>
    <row r="101" ht="14.25" customHeight="1">
      <c r="A101" s="184"/>
      <c r="B101" s="184"/>
      <c r="C101" s="184" t="s">
        <v>1447</v>
      </c>
      <c r="D101" s="184" t="s">
        <v>1539</v>
      </c>
      <c r="E101" s="185" t="s">
        <v>1448</v>
      </c>
      <c r="F101" s="184" t="s">
        <v>1556</v>
      </c>
      <c r="G101" s="184"/>
      <c r="H101" s="184"/>
      <c r="I101" s="184"/>
      <c r="J101" s="184"/>
      <c r="K101" s="184"/>
      <c r="L101" s="184"/>
      <c r="M101" s="184"/>
      <c r="N101" s="184"/>
      <c r="O101" s="184"/>
      <c r="P101" s="184"/>
      <c r="Q101" s="184"/>
      <c r="R101" s="184"/>
      <c r="S101" s="184"/>
    </row>
    <row r="102" ht="14.25" customHeight="1">
      <c r="A102" s="184"/>
      <c r="B102" s="184"/>
      <c r="C102" s="184" t="s">
        <v>1447</v>
      </c>
      <c r="D102" s="184" t="s">
        <v>1539</v>
      </c>
      <c r="E102" s="185" t="s">
        <v>1448</v>
      </c>
      <c r="F102" s="184" t="s">
        <v>1559</v>
      </c>
      <c r="G102" s="184"/>
      <c r="H102" s="184"/>
      <c r="I102" s="184"/>
      <c r="J102" s="184"/>
      <c r="K102" s="184"/>
      <c r="L102" s="184"/>
      <c r="M102" s="184"/>
      <c r="N102" s="184"/>
      <c r="O102" s="184"/>
      <c r="P102" s="184"/>
      <c r="Q102" s="184"/>
      <c r="R102" s="184"/>
      <c r="S102" s="184"/>
    </row>
    <row r="103" ht="14.25" customHeight="1">
      <c r="A103" s="184"/>
      <c r="B103" s="184"/>
      <c r="C103" s="184" t="s">
        <v>1447</v>
      </c>
      <c r="D103" s="184" t="s">
        <v>1539</v>
      </c>
      <c r="E103" s="185" t="s">
        <v>1448</v>
      </c>
      <c r="F103" s="184" t="s">
        <v>1561</v>
      </c>
      <c r="G103" s="184"/>
      <c r="H103" s="184"/>
      <c r="I103" s="184"/>
      <c r="J103" s="184"/>
      <c r="K103" s="184"/>
      <c r="L103" s="184"/>
      <c r="M103" s="184"/>
      <c r="N103" s="184"/>
      <c r="O103" s="184"/>
      <c r="P103" s="184"/>
      <c r="Q103" s="184"/>
      <c r="R103" s="184"/>
      <c r="S103" s="184"/>
    </row>
    <row r="104" ht="14.25" customHeight="1">
      <c r="A104" s="184"/>
      <c r="B104" s="184"/>
      <c r="C104" s="184" t="s">
        <v>1447</v>
      </c>
      <c r="D104" s="184" t="s">
        <v>1539</v>
      </c>
      <c r="E104" s="185" t="s">
        <v>1448</v>
      </c>
      <c r="F104" s="184" t="s">
        <v>1563</v>
      </c>
      <c r="G104" s="184"/>
      <c r="H104" s="184"/>
      <c r="I104" s="184"/>
      <c r="J104" s="184"/>
      <c r="K104" s="184"/>
      <c r="L104" s="184"/>
      <c r="M104" s="184"/>
      <c r="N104" s="184"/>
      <c r="O104" s="184"/>
      <c r="P104" s="184"/>
      <c r="Q104" s="184"/>
      <c r="R104" s="184"/>
      <c r="S104" s="184"/>
    </row>
    <row r="105" ht="14.25" customHeight="1">
      <c r="A105" s="184"/>
      <c r="B105" s="184"/>
      <c r="C105" s="184" t="s">
        <v>1447</v>
      </c>
      <c r="D105" s="184" t="s">
        <v>1539</v>
      </c>
      <c r="E105" s="185" t="s">
        <v>1448</v>
      </c>
      <c r="F105" s="184" t="s">
        <v>1565</v>
      </c>
      <c r="G105" s="184"/>
      <c r="H105" s="184"/>
      <c r="I105" s="184"/>
      <c r="J105" s="184"/>
      <c r="K105" s="184"/>
      <c r="L105" s="184"/>
      <c r="M105" s="184"/>
      <c r="N105" s="184"/>
      <c r="O105" s="184"/>
      <c r="P105" s="184"/>
      <c r="Q105" s="184"/>
      <c r="R105" s="184"/>
      <c r="S105" s="184"/>
    </row>
    <row r="106" ht="14.25" customHeight="1">
      <c r="A106" s="184"/>
      <c r="B106" s="184"/>
      <c r="C106" s="184" t="s">
        <v>1447</v>
      </c>
      <c r="D106" s="184" t="s">
        <v>1539</v>
      </c>
      <c r="E106" s="185" t="s">
        <v>1448</v>
      </c>
      <c r="F106" s="184" t="s">
        <v>1568</v>
      </c>
      <c r="G106" s="184"/>
      <c r="H106" s="184"/>
      <c r="I106" s="184"/>
      <c r="J106" s="184"/>
      <c r="K106" s="184"/>
      <c r="L106" s="184"/>
      <c r="M106" s="184"/>
      <c r="N106" s="184"/>
      <c r="O106" s="184"/>
      <c r="P106" s="184"/>
      <c r="Q106" s="184"/>
      <c r="R106" s="184"/>
      <c r="S106" s="184"/>
    </row>
    <row r="107" ht="14.25" customHeight="1">
      <c r="A107" s="184"/>
      <c r="B107" s="184"/>
      <c r="C107" s="184" t="s">
        <v>1447</v>
      </c>
      <c r="D107" s="184" t="s">
        <v>1570</v>
      </c>
      <c r="E107" s="185" t="s">
        <v>1448</v>
      </c>
      <c r="F107" s="184" t="s">
        <v>1540</v>
      </c>
      <c r="G107" s="184"/>
      <c r="H107" s="184"/>
      <c r="I107" s="184"/>
      <c r="J107" s="184"/>
      <c r="K107" s="184"/>
      <c r="L107" s="184"/>
      <c r="M107" s="184"/>
      <c r="N107" s="184"/>
      <c r="O107" s="184"/>
      <c r="P107" s="184"/>
      <c r="Q107" s="184"/>
      <c r="R107" s="184"/>
      <c r="S107" s="184"/>
    </row>
    <row r="108" ht="14.25" customHeight="1">
      <c r="A108" s="184"/>
      <c r="B108" s="184"/>
      <c r="C108" s="184" t="s">
        <v>1447</v>
      </c>
      <c r="D108" s="184" t="s">
        <v>1570</v>
      </c>
      <c r="E108" s="185" t="s">
        <v>1448</v>
      </c>
      <c r="F108" s="184" t="s">
        <v>1543</v>
      </c>
      <c r="G108" s="184"/>
      <c r="H108" s="184"/>
      <c r="I108" s="184"/>
      <c r="J108" s="184"/>
      <c r="K108" s="184"/>
      <c r="L108" s="184"/>
      <c r="M108" s="184"/>
      <c r="N108" s="184"/>
      <c r="O108" s="184"/>
      <c r="P108" s="184"/>
      <c r="Q108" s="184"/>
      <c r="R108" s="184"/>
      <c r="S108" s="184"/>
    </row>
    <row r="109" ht="14.25" customHeight="1">
      <c r="A109" s="184"/>
      <c r="B109" s="184"/>
      <c r="C109" s="184" t="s">
        <v>1447</v>
      </c>
      <c r="D109" s="184" t="s">
        <v>1570</v>
      </c>
      <c r="E109" s="185" t="s">
        <v>1448</v>
      </c>
      <c r="F109" s="184" t="s">
        <v>1545</v>
      </c>
      <c r="G109" s="184"/>
      <c r="H109" s="184"/>
      <c r="I109" s="184"/>
      <c r="J109" s="184"/>
      <c r="K109" s="184"/>
      <c r="L109" s="184"/>
      <c r="M109" s="184"/>
      <c r="N109" s="184"/>
      <c r="O109" s="184"/>
      <c r="P109" s="184"/>
      <c r="Q109" s="184"/>
      <c r="R109" s="184"/>
      <c r="S109" s="184"/>
    </row>
    <row r="110" ht="14.25" customHeight="1">
      <c r="A110" s="184"/>
      <c r="B110" s="184"/>
      <c r="C110" s="184" t="s">
        <v>1447</v>
      </c>
      <c r="D110" s="184" t="s">
        <v>1570</v>
      </c>
      <c r="E110" s="185" t="s">
        <v>1448</v>
      </c>
      <c r="F110" s="184" t="s">
        <v>1546</v>
      </c>
      <c r="G110" s="184"/>
      <c r="H110" s="184"/>
      <c r="I110" s="184"/>
      <c r="J110" s="184"/>
      <c r="K110" s="184"/>
      <c r="L110" s="184"/>
      <c r="M110" s="184"/>
      <c r="N110" s="184"/>
      <c r="O110" s="184"/>
      <c r="P110" s="184"/>
      <c r="Q110" s="184"/>
      <c r="R110" s="184"/>
      <c r="S110" s="184"/>
    </row>
    <row r="111" ht="14.25" customHeight="1">
      <c r="A111" s="184"/>
      <c r="B111" s="184"/>
      <c r="C111" s="184" t="s">
        <v>1447</v>
      </c>
      <c r="D111" s="184" t="s">
        <v>1570</v>
      </c>
      <c r="E111" s="185" t="s">
        <v>1448</v>
      </c>
      <c r="F111" s="184" t="s">
        <v>1549</v>
      </c>
      <c r="G111" s="184"/>
      <c r="H111" s="184"/>
      <c r="I111" s="184"/>
      <c r="J111" s="184"/>
      <c r="K111" s="184"/>
      <c r="L111" s="184"/>
      <c r="M111" s="184"/>
      <c r="N111" s="184"/>
      <c r="O111" s="184"/>
      <c r="P111" s="184"/>
      <c r="Q111" s="184"/>
      <c r="R111" s="184"/>
      <c r="S111" s="184"/>
    </row>
    <row r="112" ht="14.25" customHeight="1">
      <c r="A112" s="184"/>
      <c r="B112" s="184"/>
      <c r="C112" s="184" t="s">
        <v>1447</v>
      </c>
      <c r="D112" s="184" t="s">
        <v>1570</v>
      </c>
      <c r="E112" s="185" t="s">
        <v>1448</v>
      </c>
      <c r="F112" s="184" t="s">
        <v>1552</v>
      </c>
      <c r="G112" s="184"/>
      <c r="H112" s="184"/>
      <c r="I112" s="184"/>
      <c r="J112" s="184"/>
      <c r="K112" s="184"/>
      <c r="L112" s="184"/>
      <c r="M112" s="184"/>
      <c r="N112" s="184"/>
      <c r="O112" s="184"/>
      <c r="P112" s="184"/>
      <c r="Q112" s="184"/>
      <c r="R112" s="184"/>
      <c r="S112" s="184"/>
    </row>
    <row r="113" ht="14.25" customHeight="1">
      <c r="A113" s="184"/>
      <c r="B113" s="184"/>
      <c r="C113" s="184" t="s">
        <v>1447</v>
      </c>
      <c r="D113" s="184" t="s">
        <v>1570</v>
      </c>
      <c r="E113" s="185" t="s">
        <v>1448</v>
      </c>
      <c r="F113" s="184" t="s">
        <v>1554</v>
      </c>
      <c r="G113" s="184"/>
      <c r="H113" s="184"/>
      <c r="I113" s="184"/>
      <c r="J113" s="184"/>
      <c r="K113" s="184"/>
      <c r="L113" s="184"/>
      <c r="M113" s="184"/>
      <c r="N113" s="184"/>
      <c r="O113" s="184"/>
      <c r="P113" s="184"/>
      <c r="Q113" s="184"/>
      <c r="R113" s="184"/>
      <c r="S113" s="184"/>
    </row>
    <row r="114" ht="14.25" customHeight="1">
      <c r="A114" s="184"/>
      <c r="B114" s="184"/>
      <c r="C114" s="184" t="s">
        <v>1447</v>
      </c>
      <c r="D114" s="184" t="s">
        <v>1570</v>
      </c>
      <c r="E114" s="185" t="s">
        <v>1448</v>
      </c>
      <c r="F114" s="184" t="s">
        <v>1556</v>
      </c>
      <c r="G114" s="184"/>
      <c r="H114" s="184"/>
      <c r="I114" s="184"/>
      <c r="J114" s="184"/>
      <c r="K114" s="184"/>
      <c r="L114" s="184"/>
      <c r="M114" s="184"/>
      <c r="N114" s="184"/>
      <c r="O114" s="184"/>
      <c r="P114" s="184"/>
      <c r="Q114" s="184"/>
      <c r="R114" s="184"/>
      <c r="S114" s="184"/>
    </row>
    <row r="115" ht="14.25" customHeight="1">
      <c r="A115" s="184"/>
      <c r="B115" s="184"/>
      <c r="C115" s="184" t="s">
        <v>1447</v>
      </c>
      <c r="D115" s="184" t="s">
        <v>1570</v>
      </c>
      <c r="E115" s="185" t="s">
        <v>1448</v>
      </c>
      <c r="F115" s="184" t="s">
        <v>1559</v>
      </c>
      <c r="G115" s="184"/>
      <c r="H115" s="184"/>
      <c r="I115" s="184"/>
      <c r="J115" s="184"/>
      <c r="K115" s="184"/>
      <c r="L115" s="184"/>
      <c r="M115" s="184"/>
      <c r="N115" s="184"/>
      <c r="O115" s="184"/>
      <c r="P115" s="184"/>
      <c r="Q115" s="184"/>
      <c r="R115" s="184"/>
      <c r="S115" s="184"/>
    </row>
    <row r="116" ht="14.25" customHeight="1">
      <c r="A116" s="184"/>
      <c r="B116" s="184"/>
      <c r="C116" s="184" t="s">
        <v>1447</v>
      </c>
      <c r="D116" s="184" t="s">
        <v>1570</v>
      </c>
      <c r="E116" s="185" t="s">
        <v>1448</v>
      </c>
      <c r="F116" s="184" t="s">
        <v>1561</v>
      </c>
      <c r="G116" s="184"/>
      <c r="H116" s="184"/>
      <c r="I116" s="184"/>
      <c r="J116" s="184"/>
      <c r="K116" s="184"/>
      <c r="L116" s="184"/>
      <c r="M116" s="184"/>
      <c r="N116" s="184"/>
      <c r="O116" s="184"/>
      <c r="P116" s="184"/>
      <c r="Q116" s="184"/>
      <c r="R116" s="184"/>
      <c r="S116" s="184"/>
    </row>
    <row r="117" ht="14.25" customHeight="1">
      <c r="A117" s="184"/>
      <c r="B117" s="184"/>
      <c r="C117" s="184" t="s">
        <v>1447</v>
      </c>
      <c r="D117" s="184" t="s">
        <v>1570</v>
      </c>
      <c r="E117" s="185" t="s">
        <v>1448</v>
      </c>
      <c r="F117" s="184" t="s">
        <v>1563</v>
      </c>
      <c r="G117" s="184"/>
      <c r="H117" s="184"/>
      <c r="I117" s="184"/>
      <c r="J117" s="184"/>
      <c r="K117" s="184"/>
      <c r="L117" s="184"/>
      <c r="M117" s="184"/>
      <c r="N117" s="184"/>
      <c r="O117" s="184"/>
      <c r="P117" s="184"/>
      <c r="Q117" s="184"/>
      <c r="R117" s="184"/>
      <c r="S117" s="184"/>
    </row>
    <row r="118" ht="14.25" customHeight="1">
      <c r="A118" s="184"/>
      <c r="B118" s="184"/>
      <c r="C118" s="184" t="s">
        <v>1447</v>
      </c>
      <c r="D118" s="184" t="s">
        <v>1570</v>
      </c>
      <c r="E118" s="185" t="s">
        <v>1448</v>
      </c>
      <c r="F118" s="184" t="s">
        <v>1565</v>
      </c>
      <c r="G118" s="184"/>
      <c r="H118" s="184"/>
      <c r="I118" s="184"/>
      <c r="J118" s="184"/>
      <c r="K118" s="184"/>
      <c r="L118" s="184"/>
      <c r="M118" s="184"/>
      <c r="N118" s="184"/>
      <c r="O118" s="184"/>
      <c r="P118" s="184"/>
      <c r="Q118" s="184"/>
      <c r="R118" s="184"/>
      <c r="S118" s="184"/>
    </row>
    <row r="119" ht="14.25" customHeight="1">
      <c r="A119" s="184"/>
      <c r="B119" s="184"/>
      <c r="C119" s="184" t="s">
        <v>1447</v>
      </c>
      <c r="D119" s="184" t="s">
        <v>1570</v>
      </c>
      <c r="E119" s="185" t="s">
        <v>1448</v>
      </c>
      <c r="F119" s="184" t="s">
        <v>1568</v>
      </c>
      <c r="G119" s="184"/>
      <c r="H119" s="184"/>
      <c r="I119" s="184"/>
      <c r="J119" s="184"/>
      <c r="K119" s="184"/>
      <c r="L119" s="184"/>
      <c r="M119" s="184"/>
      <c r="N119" s="184"/>
      <c r="O119" s="184"/>
      <c r="P119" s="184"/>
      <c r="Q119" s="184"/>
      <c r="R119" s="184"/>
      <c r="S119" s="184"/>
    </row>
    <row r="120" ht="14.25" customHeight="1">
      <c r="A120" s="184"/>
      <c r="B120" s="184"/>
      <c r="C120" s="184" t="s">
        <v>1447</v>
      </c>
      <c r="D120" s="184" t="s">
        <v>1585</v>
      </c>
      <c r="E120" s="185" t="s">
        <v>1448</v>
      </c>
      <c r="F120" s="184" t="s">
        <v>1540</v>
      </c>
      <c r="G120" s="184"/>
      <c r="H120" s="184"/>
      <c r="I120" s="184"/>
      <c r="J120" s="184"/>
      <c r="K120" s="184"/>
      <c r="L120" s="184"/>
      <c r="M120" s="184"/>
      <c r="N120" s="184"/>
      <c r="O120" s="184"/>
      <c r="P120" s="184"/>
      <c r="Q120" s="184"/>
      <c r="R120" s="184"/>
      <c r="S120" s="184"/>
    </row>
    <row r="121" ht="14.25" customHeight="1">
      <c r="A121" s="184"/>
      <c r="B121" s="184"/>
      <c r="C121" s="184" t="s">
        <v>1447</v>
      </c>
      <c r="D121" s="184" t="s">
        <v>1585</v>
      </c>
      <c r="E121" s="185" t="s">
        <v>1448</v>
      </c>
      <c r="F121" s="184" t="s">
        <v>1543</v>
      </c>
      <c r="G121" s="184"/>
      <c r="H121" s="184"/>
      <c r="I121" s="184"/>
      <c r="J121" s="184"/>
      <c r="K121" s="184"/>
      <c r="L121" s="184"/>
      <c r="M121" s="184"/>
      <c r="N121" s="184"/>
      <c r="O121" s="184"/>
      <c r="P121" s="184"/>
      <c r="Q121" s="184"/>
      <c r="R121" s="184"/>
      <c r="S121" s="184"/>
    </row>
    <row r="122" ht="14.25" customHeight="1">
      <c r="A122" s="184"/>
      <c r="B122" s="184"/>
      <c r="C122" s="184" t="s">
        <v>1447</v>
      </c>
      <c r="D122" s="184" t="s">
        <v>1585</v>
      </c>
      <c r="E122" s="185" t="s">
        <v>1448</v>
      </c>
      <c r="F122" s="184" t="s">
        <v>1545</v>
      </c>
      <c r="G122" s="184"/>
      <c r="H122" s="184"/>
      <c r="I122" s="184"/>
      <c r="J122" s="184"/>
      <c r="K122" s="184"/>
      <c r="L122" s="184"/>
      <c r="M122" s="184"/>
      <c r="N122" s="184"/>
      <c r="O122" s="184"/>
      <c r="P122" s="184"/>
      <c r="Q122" s="184"/>
      <c r="R122" s="184"/>
      <c r="S122" s="184"/>
    </row>
    <row r="123" ht="14.25" customHeight="1">
      <c r="A123" s="184"/>
      <c r="B123" s="184"/>
      <c r="C123" s="184" t="s">
        <v>1447</v>
      </c>
      <c r="D123" s="184" t="s">
        <v>1585</v>
      </c>
      <c r="E123" s="185" t="s">
        <v>1448</v>
      </c>
      <c r="F123" s="184" t="s">
        <v>1546</v>
      </c>
      <c r="G123" s="184"/>
      <c r="H123" s="184"/>
      <c r="I123" s="184"/>
      <c r="J123" s="184"/>
      <c r="K123" s="184"/>
      <c r="L123" s="184"/>
      <c r="M123" s="184"/>
      <c r="N123" s="184"/>
      <c r="O123" s="184"/>
      <c r="P123" s="184"/>
      <c r="Q123" s="184"/>
      <c r="R123" s="184"/>
      <c r="S123" s="184"/>
    </row>
    <row r="124" ht="14.25" customHeight="1">
      <c r="A124" s="184"/>
      <c r="B124" s="184"/>
      <c r="C124" s="184" t="s">
        <v>1447</v>
      </c>
      <c r="D124" s="184" t="s">
        <v>1585</v>
      </c>
      <c r="E124" s="185" t="s">
        <v>1448</v>
      </c>
      <c r="F124" s="184" t="s">
        <v>1549</v>
      </c>
      <c r="G124" s="184"/>
      <c r="H124" s="184"/>
      <c r="I124" s="184"/>
      <c r="J124" s="184"/>
      <c r="K124" s="184"/>
      <c r="L124" s="184"/>
      <c r="M124" s="184"/>
      <c r="N124" s="184"/>
      <c r="O124" s="184"/>
      <c r="P124" s="184"/>
      <c r="Q124" s="184"/>
      <c r="R124" s="184"/>
      <c r="S124" s="184"/>
    </row>
    <row r="125" ht="14.25" customHeight="1">
      <c r="A125" s="184"/>
      <c r="B125" s="184"/>
      <c r="C125" s="184" t="s">
        <v>1447</v>
      </c>
      <c r="D125" s="184" t="s">
        <v>1585</v>
      </c>
      <c r="E125" s="185" t="s">
        <v>1448</v>
      </c>
      <c r="F125" s="184" t="s">
        <v>1552</v>
      </c>
      <c r="G125" s="184"/>
      <c r="H125" s="184"/>
      <c r="I125" s="184"/>
      <c r="J125" s="184"/>
      <c r="K125" s="184"/>
      <c r="L125" s="184"/>
      <c r="M125" s="184"/>
      <c r="N125" s="184"/>
      <c r="O125" s="184"/>
      <c r="P125" s="184"/>
      <c r="Q125" s="184"/>
      <c r="R125" s="184"/>
      <c r="S125" s="184"/>
    </row>
    <row r="126" ht="14.25" customHeight="1">
      <c r="A126" s="184"/>
      <c r="B126" s="184"/>
      <c r="C126" s="184" t="s">
        <v>1447</v>
      </c>
      <c r="D126" s="184" t="s">
        <v>1585</v>
      </c>
      <c r="E126" s="185" t="s">
        <v>1448</v>
      </c>
      <c r="F126" s="184" t="s">
        <v>1554</v>
      </c>
      <c r="G126" s="184"/>
      <c r="H126" s="184"/>
      <c r="I126" s="184"/>
      <c r="J126" s="184"/>
      <c r="K126" s="184"/>
      <c r="L126" s="184"/>
      <c r="M126" s="184"/>
      <c r="N126" s="184"/>
      <c r="O126" s="184"/>
      <c r="P126" s="184"/>
      <c r="Q126" s="184"/>
      <c r="R126" s="184"/>
      <c r="S126" s="184"/>
    </row>
    <row r="127" ht="14.25" customHeight="1">
      <c r="A127" s="184"/>
      <c r="B127" s="184"/>
      <c r="C127" s="184" t="s">
        <v>1447</v>
      </c>
      <c r="D127" s="184" t="s">
        <v>1585</v>
      </c>
      <c r="E127" s="185" t="s">
        <v>1448</v>
      </c>
      <c r="F127" s="184" t="s">
        <v>1556</v>
      </c>
      <c r="G127" s="184"/>
      <c r="H127" s="184"/>
      <c r="I127" s="184"/>
      <c r="J127" s="184"/>
      <c r="K127" s="184"/>
      <c r="L127" s="184"/>
      <c r="M127" s="184"/>
      <c r="N127" s="184"/>
      <c r="O127" s="184"/>
      <c r="P127" s="184"/>
      <c r="Q127" s="184"/>
      <c r="R127" s="184"/>
      <c r="S127" s="184"/>
    </row>
    <row r="128" ht="14.25" customHeight="1">
      <c r="A128" s="184"/>
      <c r="B128" s="184"/>
      <c r="C128" s="184" t="s">
        <v>1447</v>
      </c>
      <c r="D128" s="184" t="s">
        <v>1585</v>
      </c>
      <c r="E128" s="185" t="s">
        <v>1448</v>
      </c>
      <c r="F128" s="184" t="s">
        <v>1559</v>
      </c>
      <c r="G128" s="184"/>
      <c r="H128" s="184"/>
      <c r="I128" s="184"/>
      <c r="J128" s="184"/>
      <c r="K128" s="184"/>
      <c r="L128" s="184"/>
      <c r="M128" s="184"/>
      <c r="N128" s="184"/>
      <c r="O128" s="184"/>
      <c r="P128" s="184"/>
      <c r="Q128" s="184"/>
      <c r="R128" s="184"/>
      <c r="S128" s="184"/>
    </row>
    <row r="129" ht="14.25" customHeight="1">
      <c r="A129" s="184"/>
      <c r="B129" s="184"/>
      <c r="C129" s="184" t="s">
        <v>1447</v>
      </c>
      <c r="D129" s="184" t="s">
        <v>1585</v>
      </c>
      <c r="E129" s="185" t="s">
        <v>1448</v>
      </c>
      <c r="F129" s="184" t="s">
        <v>1561</v>
      </c>
      <c r="G129" s="184"/>
      <c r="H129" s="184"/>
      <c r="I129" s="184"/>
      <c r="J129" s="184"/>
      <c r="K129" s="184"/>
      <c r="L129" s="184"/>
      <c r="M129" s="184"/>
      <c r="N129" s="184"/>
      <c r="O129" s="184"/>
      <c r="P129" s="184"/>
      <c r="Q129" s="184"/>
      <c r="R129" s="184"/>
      <c r="S129" s="184"/>
    </row>
    <row r="130" ht="14.25" customHeight="1">
      <c r="A130" s="184"/>
      <c r="B130" s="184"/>
      <c r="C130" s="184" t="s">
        <v>1447</v>
      </c>
      <c r="D130" s="184" t="s">
        <v>1585</v>
      </c>
      <c r="E130" s="185" t="s">
        <v>1448</v>
      </c>
      <c r="F130" s="184" t="s">
        <v>1563</v>
      </c>
      <c r="G130" s="184"/>
      <c r="H130" s="184"/>
      <c r="I130" s="184"/>
      <c r="J130" s="184"/>
      <c r="K130" s="184"/>
      <c r="L130" s="184"/>
      <c r="M130" s="184"/>
      <c r="N130" s="184"/>
      <c r="O130" s="184"/>
      <c r="P130" s="184"/>
      <c r="Q130" s="184"/>
      <c r="R130" s="184"/>
      <c r="S130" s="184"/>
    </row>
    <row r="131" ht="14.25" customHeight="1">
      <c r="A131" s="184"/>
      <c r="B131" s="184"/>
      <c r="C131" s="184" t="s">
        <v>1447</v>
      </c>
      <c r="D131" s="184" t="s">
        <v>1585</v>
      </c>
      <c r="E131" s="185" t="s">
        <v>1448</v>
      </c>
      <c r="F131" s="184" t="s">
        <v>1565</v>
      </c>
      <c r="G131" s="184"/>
      <c r="H131" s="184"/>
      <c r="I131" s="184"/>
      <c r="J131" s="184"/>
      <c r="K131" s="184"/>
      <c r="L131" s="184"/>
      <c r="M131" s="184"/>
      <c r="N131" s="184"/>
      <c r="O131" s="184"/>
      <c r="P131" s="184"/>
      <c r="Q131" s="184"/>
      <c r="R131" s="184"/>
      <c r="S131" s="184"/>
    </row>
    <row r="132" ht="14.25" customHeight="1">
      <c r="A132" s="184"/>
      <c r="B132" s="184"/>
      <c r="C132" s="184" t="s">
        <v>1447</v>
      </c>
      <c r="D132" s="184" t="s">
        <v>1585</v>
      </c>
      <c r="E132" s="185" t="s">
        <v>1448</v>
      </c>
      <c r="F132" s="184" t="s">
        <v>1568</v>
      </c>
      <c r="G132" s="184"/>
      <c r="H132" s="184"/>
      <c r="I132" s="184"/>
      <c r="J132" s="184"/>
      <c r="K132" s="184"/>
      <c r="L132" s="184"/>
      <c r="M132" s="184"/>
      <c r="N132" s="184"/>
      <c r="O132" s="184"/>
      <c r="P132" s="184"/>
      <c r="Q132" s="184"/>
      <c r="R132" s="184"/>
      <c r="S132" s="184"/>
    </row>
    <row r="133" ht="14.25" customHeight="1">
      <c r="A133" s="184"/>
      <c r="B133" s="184"/>
      <c r="C133" s="184" t="s">
        <v>1447</v>
      </c>
      <c r="D133" s="184" t="s">
        <v>1604</v>
      </c>
      <c r="E133" s="185" t="s">
        <v>1448</v>
      </c>
      <c r="F133" s="184" t="s">
        <v>1540</v>
      </c>
      <c r="G133" s="184"/>
      <c r="H133" s="184"/>
      <c r="I133" s="184"/>
      <c r="J133" s="184"/>
      <c r="K133" s="184"/>
      <c r="L133" s="184"/>
      <c r="M133" s="184"/>
      <c r="N133" s="184"/>
      <c r="O133" s="184"/>
      <c r="P133" s="184"/>
      <c r="Q133" s="184"/>
      <c r="R133" s="184"/>
      <c r="S133" s="184"/>
    </row>
    <row r="134" ht="14.25" customHeight="1">
      <c r="A134" s="184"/>
      <c r="B134" s="184"/>
      <c r="C134" s="184" t="s">
        <v>1447</v>
      </c>
      <c r="D134" s="184" t="s">
        <v>1604</v>
      </c>
      <c r="E134" s="185" t="s">
        <v>1448</v>
      </c>
      <c r="F134" s="184" t="s">
        <v>1543</v>
      </c>
      <c r="G134" s="184"/>
      <c r="H134" s="184"/>
      <c r="I134" s="184"/>
      <c r="J134" s="184"/>
      <c r="K134" s="184"/>
      <c r="L134" s="184"/>
      <c r="M134" s="184"/>
      <c r="N134" s="184"/>
      <c r="O134" s="184"/>
      <c r="P134" s="184"/>
      <c r="Q134" s="184"/>
      <c r="R134" s="184"/>
      <c r="S134" s="184"/>
    </row>
    <row r="135" ht="14.25" customHeight="1">
      <c r="A135" s="184"/>
      <c r="B135" s="184"/>
      <c r="C135" s="184" t="s">
        <v>1447</v>
      </c>
      <c r="D135" s="184" t="s">
        <v>1604</v>
      </c>
      <c r="E135" s="185" t="s">
        <v>1448</v>
      </c>
      <c r="F135" s="184" t="s">
        <v>1545</v>
      </c>
      <c r="G135" s="184"/>
      <c r="H135" s="184"/>
      <c r="I135" s="184"/>
      <c r="J135" s="184"/>
      <c r="K135" s="184"/>
      <c r="L135" s="184"/>
      <c r="M135" s="184"/>
      <c r="N135" s="184"/>
      <c r="O135" s="184"/>
      <c r="P135" s="184"/>
      <c r="Q135" s="184"/>
      <c r="R135" s="184"/>
      <c r="S135" s="184"/>
    </row>
    <row r="136" ht="14.25" customHeight="1">
      <c r="A136" s="184"/>
      <c r="B136" s="184"/>
      <c r="C136" s="184" t="s">
        <v>1447</v>
      </c>
      <c r="D136" s="184" t="s">
        <v>1604</v>
      </c>
      <c r="E136" s="185" t="s">
        <v>1448</v>
      </c>
      <c r="F136" s="184" t="s">
        <v>1546</v>
      </c>
      <c r="G136" s="184"/>
      <c r="H136" s="184"/>
      <c r="I136" s="184"/>
      <c r="J136" s="184"/>
      <c r="K136" s="184"/>
      <c r="L136" s="184"/>
      <c r="M136" s="184"/>
      <c r="N136" s="184"/>
      <c r="O136" s="184"/>
      <c r="P136" s="184"/>
      <c r="Q136" s="184"/>
      <c r="R136" s="184"/>
      <c r="S136" s="184"/>
    </row>
    <row r="137" ht="14.25" customHeight="1">
      <c r="A137" s="184"/>
      <c r="B137" s="184"/>
      <c r="C137" s="184" t="s">
        <v>1447</v>
      </c>
      <c r="D137" s="184" t="s">
        <v>1604</v>
      </c>
      <c r="E137" s="185" t="s">
        <v>1448</v>
      </c>
      <c r="F137" s="184" t="s">
        <v>1549</v>
      </c>
      <c r="G137" s="184"/>
      <c r="H137" s="184"/>
      <c r="I137" s="184"/>
      <c r="J137" s="184"/>
      <c r="K137" s="184"/>
      <c r="L137" s="184"/>
      <c r="M137" s="184"/>
      <c r="N137" s="184"/>
      <c r="O137" s="184"/>
      <c r="P137" s="184"/>
      <c r="Q137" s="184"/>
      <c r="R137" s="184"/>
      <c r="S137" s="184"/>
    </row>
    <row r="138" ht="14.25" customHeight="1">
      <c r="A138" s="184"/>
      <c r="B138" s="184"/>
      <c r="C138" s="184" t="s">
        <v>1447</v>
      </c>
      <c r="D138" s="184" t="s">
        <v>1604</v>
      </c>
      <c r="E138" s="185" t="s">
        <v>1448</v>
      </c>
      <c r="F138" s="184" t="s">
        <v>1552</v>
      </c>
      <c r="G138" s="184"/>
      <c r="H138" s="184"/>
      <c r="I138" s="184"/>
      <c r="J138" s="184"/>
      <c r="K138" s="184"/>
      <c r="L138" s="184"/>
      <c r="M138" s="184"/>
      <c r="N138" s="184"/>
      <c r="O138" s="184"/>
      <c r="P138" s="184"/>
      <c r="Q138" s="184"/>
      <c r="R138" s="184"/>
      <c r="S138" s="184"/>
    </row>
    <row r="139" ht="14.25" customHeight="1">
      <c r="A139" s="184"/>
      <c r="B139" s="184"/>
      <c r="C139" s="184" t="s">
        <v>1447</v>
      </c>
      <c r="D139" s="184" t="s">
        <v>1604</v>
      </c>
      <c r="E139" s="185" t="s">
        <v>1448</v>
      </c>
      <c r="F139" s="184" t="s">
        <v>1554</v>
      </c>
      <c r="G139" s="184"/>
      <c r="H139" s="184"/>
      <c r="I139" s="184"/>
      <c r="J139" s="184"/>
      <c r="K139" s="184"/>
      <c r="L139" s="184"/>
      <c r="M139" s="184"/>
      <c r="N139" s="184"/>
      <c r="O139" s="184"/>
      <c r="P139" s="184"/>
      <c r="Q139" s="184"/>
      <c r="R139" s="184"/>
      <c r="S139" s="184"/>
    </row>
    <row r="140" ht="14.25" customHeight="1">
      <c r="A140" s="184"/>
      <c r="B140" s="184"/>
      <c r="C140" s="184" t="s">
        <v>1447</v>
      </c>
      <c r="D140" s="184" t="s">
        <v>1604</v>
      </c>
      <c r="E140" s="185" t="s">
        <v>1448</v>
      </c>
      <c r="F140" s="184" t="s">
        <v>1556</v>
      </c>
      <c r="G140" s="184"/>
      <c r="H140" s="184"/>
      <c r="I140" s="184"/>
      <c r="J140" s="184"/>
      <c r="K140" s="184"/>
      <c r="L140" s="184"/>
      <c r="M140" s="184"/>
      <c r="N140" s="184"/>
      <c r="O140" s="184"/>
      <c r="P140" s="184"/>
      <c r="Q140" s="184"/>
      <c r="R140" s="184"/>
      <c r="S140" s="184"/>
    </row>
    <row r="141" ht="14.25" customHeight="1">
      <c r="A141" s="184"/>
      <c r="B141" s="184"/>
      <c r="C141" s="184" t="s">
        <v>1447</v>
      </c>
      <c r="D141" s="184" t="s">
        <v>1604</v>
      </c>
      <c r="E141" s="185" t="s">
        <v>1448</v>
      </c>
      <c r="F141" s="184" t="s">
        <v>1559</v>
      </c>
      <c r="G141" s="184"/>
      <c r="H141" s="184"/>
      <c r="I141" s="184"/>
      <c r="J141" s="184"/>
      <c r="K141" s="184"/>
      <c r="L141" s="184"/>
      <c r="M141" s="184"/>
      <c r="N141" s="184"/>
      <c r="O141" s="184"/>
      <c r="P141" s="184"/>
      <c r="Q141" s="184"/>
      <c r="R141" s="184"/>
      <c r="S141" s="184"/>
    </row>
    <row r="142" ht="14.25" customHeight="1">
      <c r="A142" s="184"/>
      <c r="B142" s="184"/>
      <c r="C142" s="184" t="s">
        <v>1447</v>
      </c>
      <c r="D142" s="184" t="s">
        <v>1604</v>
      </c>
      <c r="E142" s="185" t="s">
        <v>1448</v>
      </c>
      <c r="F142" s="184" t="s">
        <v>1561</v>
      </c>
      <c r="G142" s="184"/>
      <c r="H142" s="184"/>
      <c r="I142" s="184"/>
      <c r="J142" s="184"/>
      <c r="K142" s="184"/>
      <c r="L142" s="184"/>
      <c r="M142" s="184"/>
      <c r="N142" s="184"/>
      <c r="O142" s="184"/>
      <c r="P142" s="184"/>
      <c r="Q142" s="184"/>
      <c r="R142" s="184"/>
      <c r="S142" s="184"/>
    </row>
    <row r="143" ht="14.25" customHeight="1">
      <c r="A143" s="184"/>
      <c r="B143" s="184"/>
      <c r="C143" s="184" t="s">
        <v>1447</v>
      </c>
      <c r="D143" s="184" t="s">
        <v>1604</v>
      </c>
      <c r="E143" s="185" t="s">
        <v>1448</v>
      </c>
      <c r="F143" s="184" t="s">
        <v>1563</v>
      </c>
      <c r="G143" s="184"/>
      <c r="H143" s="184"/>
      <c r="I143" s="184"/>
      <c r="J143" s="184"/>
      <c r="K143" s="184"/>
      <c r="L143" s="184"/>
      <c r="M143" s="184"/>
      <c r="N143" s="184"/>
      <c r="O143" s="184"/>
      <c r="P143" s="184"/>
      <c r="Q143" s="184"/>
      <c r="R143" s="184"/>
      <c r="S143" s="184"/>
    </row>
    <row r="144" ht="14.25" customHeight="1">
      <c r="A144" s="184"/>
      <c r="B144" s="184"/>
      <c r="C144" s="184" t="s">
        <v>1447</v>
      </c>
      <c r="D144" s="184" t="s">
        <v>1604</v>
      </c>
      <c r="E144" s="185" t="s">
        <v>1448</v>
      </c>
      <c r="F144" s="184" t="s">
        <v>1565</v>
      </c>
      <c r="G144" s="184"/>
      <c r="H144" s="184"/>
      <c r="I144" s="184"/>
      <c r="J144" s="184"/>
      <c r="K144" s="184"/>
      <c r="L144" s="184"/>
      <c r="M144" s="184"/>
      <c r="N144" s="184"/>
      <c r="O144" s="184"/>
      <c r="P144" s="184"/>
      <c r="Q144" s="184"/>
      <c r="R144" s="184"/>
      <c r="S144" s="184"/>
    </row>
    <row r="145" ht="14.25" customHeight="1">
      <c r="A145" s="184"/>
      <c r="B145" s="184"/>
      <c r="C145" s="184" t="s">
        <v>1447</v>
      </c>
      <c r="D145" s="184" t="s">
        <v>1604</v>
      </c>
      <c r="E145" s="185" t="s">
        <v>1448</v>
      </c>
      <c r="F145" s="184" t="s">
        <v>1568</v>
      </c>
      <c r="G145" s="184"/>
      <c r="H145" s="184"/>
      <c r="I145" s="184"/>
      <c r="J145" s="184"/>
      <c r="K145" s="184"/>
      <c r="L145" s="184"/>
      <c r="M145" s="184"/>
      <c r="N145" s="184"/>
      <c r="O145" s="184"/>
      <c r="P145" s="184"/>
      <c r="Q145" s="184"/>
      <c r="R145" s="184"/>
      <c r="S145" s="184"/>
    </row>
    <row r="146" ht="14.25" customHeight="1">
      <c r="A146" s="184"/>
      <c r="B146" s="184"/>
      <c r="C146" s="184" t="s">
        <v>1447</v>
      </c>
      <c r="D146" s="184" t="s">
        <v>835</v>
      </c>
      <c r="E146" s="185" t="s">
        <v>1448</v>
      </c>
      <c r="F146" s="184" t="s">
        <v>1628</v>
      </c>
      <c r="G146" s="184"/>
      <c r="H146" s="184"/>
      <c r="I146" s="184"/>
      <c r="J146" s="184"/>
      <c r="K146" s="184"/>
      <c r="L146" s="184"/>
      <c r="M146" s="184"/>
      <c r="N146" s="184"/>
      <c r="O146" s="184"/>
      <c r="P146" s="184"/>
      <c r="Q146" s="184"/>
      <c r="R146" s="184"/>
      <c r="S146" s="184"/>
    </row>
    <row r="147" ht="14.25" customHeight="1">
      <c r="A147" s="184"/>
      <c r="B147" s="184"/>
      <c r="C147" s="184" t="s">
        <v>1447</v>
      </c>
      <c r="D147" s="184" t="s">
        <v>835</v>
      </c>
      <c r="E147" s="185" t="s">
        <v>1448</v>
      </c>
      <c r="F147" s="184" t="s">
        <v>1632</v>
      </c>
      <c r="G147" s="184"/>
      <c r="H147" s="184"/>
      <c r="I147" s="184"/>
      <c r="J147" s="184"/>
      <c r="K147" s="184"/>
      <c r="L147" s="184"/>
      <c r="M147" s="184"/>
      <c r="N147" s="184"/>
      <c r="O147" s="184"/>
      <c r="P147" s="184"/>
      <c r="Q147" s="184"/>
      <c r="R147" s="184"/>
      <c r="S147" s="184"/>
    </row>
    <row r="148" ht="14.25" customHeight="1">
      <c r="A148" s="184"/>
      <c r="B148" s="184"/>
      <c r="C148" s="184" t="s">
        <v>1447</v>
      </c>
      <c r="D148" s="184" t="s">
        <v>835</v>
      </c>
      <c r="E148" s="185" t="s">
        <v>1448</v>
      </c>
      <c r="F148" s="184" t="s">
        <v>1635</v>
      </c>
      <c r="G148" s="184"/>
      <c r="H148" s="184"/>
      <c r="I148" s="184"/>
      <c r="J148" s="184"/>
      <c r="K148" s="184"/>
      <c r="L148" s="184"/>
      <c r="M148" s="184"/>
      <c r="N148" s="184"/>
      <c r="O148" s="184"/>
      <c r="P148" s="184"/>
      <c r="Q148" s="184"/>
      <c r="R148" s="184"/>
      <c r="S148" s="184"/>
    </row>
    <row r="149" ht="14.25" customHeight="1">
      <c r="A149" s="184"/>
      <c r="B149" s="184"/>
      <c r="C149" s="184" t="s">
        <v>1447</v>
      </c>
      <c r="D149" s="184" t="s">
        <v>835</v>
      </c>
      <c r="E149" s="185" t="s">
        <v>1448</v>
      </c>
      <c r="F149" s="184" t="s">
        <v>1638</v>
      </c>
      <c r="G149" s="184"/>
      <c r="H149" s="184"/>
      <c r="I149" s="184"/>
      <c r="J149" s="184"/>
      <c r="K149" s="184"/>
      <c r="L149" s="184"/>
      <c r="M149" s="184"/>
      <c r="N149" s="184"/>
      <c r="O149" s="184"/>
      <c r="P149" s="184"/>
      <c r="Q149" s="184"/>
      <c r="R149" s="184"/>
      <c r="S149" s="184"/>
    </row>
    <row r="150" ht="14.25" customHeight="1">
      <c r="A150" s="184"/>
      <c r="B150" s="184"/>
      <c r="C150" s="184" t="s">
        <v>1447</v>
      </c>
      <c r="D150" s="184" t="s">
        <v>835</v>
      </c>
      <c r="E150" s="185" t="s">
        <v>1448</v>
      </c>
      <c r="F150" s="184" t="s">
        <v>1641</v>
      </c>
      <c r="G150" s="184"/>
      <c r="H150" s="184"/>
      <c r="I150" s="184"/>
      <c r="J150" s="184"/>
      <c r="K150" s="184"/>
      <c r="L150" s="184"/>
      <c r="M150" s="184"/>
      <c r="N150" s="184"/>
      <c r="O150" s="184"/>
      <c r="P150" s="184"/>
      <c r="Q150" s="184"/>
      <c r="R150" s="184"/>
      <c r="S150" s="184"/>
    </row>
    <row r="151" ht="14.25" customHeight="1">
      <c r="A151" s="184"/>
      <c r="B151" s="184"/>
      <c r="C151" s="184" t="s">
        <v>1447</v>
      </c>
      <c r="D151" s="184" t="s">
        <v>835</v>
      </c>
      <c r="E151" s="185" t="s">
        <v>1448</v>
      </c>
      <c r="F151" s="184" t="s">
        <v>1642</v>
      </c>
      <c r="G151" s="184"/>
      <c r="H151" s="184"/>
      <c r="I151" s="184"/>
      <c r="J151" s="184"/>
      <c r="K151" s="184"/>
      <c r="L151" s="184"/>
      <c r="M151" s="184"/>
      <c r="N151" s="184"/>
      <c r="O151" s="184"/>
      <c r="P151" s="184"/>
      <c r="Q151" s="184"/>
      <c r="R151" s="184"/>
      <c r="S151" s="184"/>
    </row>
    <row r="152" ht="14.25" customHeight="1">
      <c r="A152" s="184"/>
      <c r="B152" s="184"/>
      <c r="C152" s="184" t="s">
        <v>1447</v>
      </c>
      <c r="D152" s="184" t="s">
        <v>835</v>
      </c>
      <c r="E152" s="185" t="s">
        <v>1448</v>
      </c>
      <c r="F152" s="184" t="s">
        <v>1643</v>
      </c>
      <c r="G152" s="184"/>
      <c r="H152" s="184"/>
      <c r="I152" s="184"/>
      <c r="J152" s="184"/>
      <c r="K152" s="184"/>
      <c r="L152" s="184"/>
      <c r="M152" s="184"/>
      <c r="N152" s="184"/>
      <c r="O152" s="184"/>
      <c r="P152" s="184"/>
      <c r="Q152" s="184"/>
      <c r="R152" s="184"/>
      <c r="S152" s="184"/>
    </row>
    <row r="153" ht="14.25" customHeight="1">
      <c r="A153" s="184"/>
      <c r="B153" s="184"/>
      <c r="C153" s="184" t="s">
        <v>1447</v>
      </c>
      <c r="D153" s="184" t="s">
        <v>835</v>
      </c>
      <c r="E153" s="185" t="s">
        <v>1448</v>
      </c>
      <c r="F153" s="184" t="s">
        <v>1646</v>
      </c>
      <c r="G153" s="184"/>
      <c r="H153" s="184"/>
      <c r="I153" s="184"/>
      <c r="J153" s="184"/>
      <c r="K153" s="184"/>
      <c r="L153" s="184"/>
      <c r="M153" s="184"/>
      <c r="N153" s="184"/>
      <c r="O153" s="184"/>
      <c r="P153" s="184"/>
      <c r="Q153" s="184"/>
      <c r="R153" s="184"/>
      <c r="S153" s="184"/>
    </row>
    <row r="154" ht="14.25" customHeight="1">
      <c r="A154" s="184"/>
      <c r="B154" s="184"/>
      <c r="C154" s="184" t="s">
        <v>1541</v>
      </c>
      <c r="D154" s="184" t="s">
        <v>1236</v>
      </c>
      <c r="E154" s="185" t="s">
        <v>1448</v>
      </c>
      <c r="F154" s="184" t="s">
        <v>1648</v>
      </c>
      <c r="G154" s="184"/>
      <c r="H154" s="184"/>
      <c r="I154" s="184"/>
      <c r="J154" s="184"/>
      <c r="K154" s="184"/>
      <c r="L154" s="184"/>
      <c r="M154" s="184"/>
      <c r="N154" s="184"/>
      <c r="O154" s="184"/>
      <c r="P154" s="184"/>
      <c r="Q154" s="184"/>
      <c r="R154" s="184"/>
      <c r="S154" s="184"/>
    </row>
    <row r="155" ht="14.25" customHeight="1">
      <c r="A155" s="184"/>
      <c r="B155" s="184"/>
      <c r="C155" s="184" t="s">
        <v>1541</v>
      </c>
      <c r="D155" s="184" t="s">
        <v>1236</v>
      </c>
      <c r="E155" s="185" t="s">
        <v>1448</v>
      </c>
      <c r="F155" s="184" t="s">
        <v>1651</v>
      </c>
      <c r="G155" s="184"/>
      <c r="H155" s="184"/>
      <c r="I155" s="184"/>
      <c r="J155" s="184"/>
      <c r="K155" s="184"/>
      <c r="L155" s="184"/>
      <c r="M155" s="184"/>
      <c r="N155" s="184"/>
      <c r="O155" s="184"/>
      <c r="P155" s="184"/>
      <c r="Q155" s="184"/>
      <c r="R155" s="184"/>
      <c r="S155" s="184"/>
    </row>
    <row r="156" ht="14.25" customHeight="1">
      <c r="A156" s="184"/>
      <c r="B156" s="184"/>
      <c r="C156" s="184" t="s">
        <v>1541</v>
      </c>
      <c r="D156" s="184" t="s">
        <v>1236</v>
      </c>
      <c r="E156" s="185" t="s">
        <v>1448</v>
      </c>
      <c r="F156" s="184" t="s">
        <v>1654</v>
      </c>
      <c r="G156" s="184"/>
      <c r="H156" s="184"/>
      <c r="I156" s="184"/>
      <c r="J156" s="184"/>
      <c r="K156" s="184"/>
      <c r="L156" s="184"/>
      <c r="M156" s="184"/>
      <c r="N156" s="184"/>
      <c r="O156" s="184"/>
      <c r="P156" s="184"/>
      <c r="Q156" s="184"/>
      <c r="R156" s="184"/>
      <c r="S156" s="184"/>
    </row>
    <row r="157" ht="14.25" customHeight="1">
      <c r="A157" s="184"/>
      <c r="B157" s="184"/>
      <c r="C157" s="184" t="s">
        <v>1541</v>
      </c>
      <c r="D157" s="184" t="s">
        <v>1126</v>
      </c>
      <c r="E157" s="185" t="s">
        <v>1448</v>
      </c>
      <c r="F157" s="184" t="s">
        <v>1658</v>
      </c>
      <c r="G157" s="179"/>
      <c r="H157" s="179"/>
      <c r="I157" s="179"/>
      <c r="J157" s="179"/>
      <c r="K157" s="179"/>
      <c r="L157" s="179"/>
      <c r="M157" s="179"/>
      <c r="N157" s="179"/>
      <c r="O157" s="179"/>
      <c r="P157" s="179"/>
      <c r="Q157" s="179"/>
      <c r="R157" s="179"/>
      <c r="S157" s="179"/>
    </row>
    <row r="158" ht="14.25" customHeight="1">
      <c r="A158" s="184"/>
      <c r="B158" s="184"/>
      <c r="C158" s="184" t="s">
        <v>1541</v>
      </c>
      <c r="D158" s="184" t="s">
        <v>1126</v>
      </c>
      <c r="E158" s="185" t="s">
        <v>1448</v>
      </c>
      <c r="F158" s="184" t="s">
        <v>1660</v>
      </c>
      <c r="G158" s="179"/>
      <c r="H158" s="179"/>
      <c r="I158" s="179"/>
      <c r="J158" s="179"/>
      <c r="K158" s="179"/>
      <c r="L158" s="179"/>
      <c r="M158" s="179"/>
      <c r="N158" s="179"/>
      <c r="O158" s="179"/>
      <c r="P158" s="179"/>
      <c r="Q158" s="179"/>
      <c r="R158" s="179"/>
      <c r="S158" s="179"/>
    </row>
    <row r="159" ht="14.25" customHeight="1">
      <c r="A159" s="184"/>
      <c r="B159" s="184"/>
      <c r="C159" s="184" t="s">
        <v>1541</v>
      </c>
      <c r="D159" s="184" t="s">
        <v>1126</v>
      </c>
      <c r="E159" s="185" t="s">
        <v>1448</v>
      </c>
      <c r="F159" s="184" t="s">
        <v>1663</v>
      </c>
      <c r="G159" s="179"/>
      <c r="H159" s="179"/>
      <c r="I159" s="179"/>
      <c r="J159" s="179"/>
      <c r="K159" s="179"/>
      <c r="L159" s="179"/>
      <c r="M159" s="179"/>
      <c r="N159" s="179"/>
      <c r="O159" s="179"/>
      <c r="P159" s="179"/>
      <c r="Q159" s="179"/>
      <c r="R159" s="179"/>
      <c r="S159" s="179"/>
    </row>
    <row r="160" ht="14.25" customHeight="1">
      <c r="A160" s="184"/>
      <c r="B160" s="184"/>
      <c r="C160" s="184" t="s">
        <v>1541</v>
      </c>
      <c r="D160" s="184" t="s">
        <v>1126</v>
      </c>
      <c r="E160" s="185" t="s">
        <v>1448</v>
      </c>
      <c r="F160" s="184" t="s">
        <v>1666</v>
      </c>
      <c r="G160" s="179"/>
      <c r="H160" s="179"/>
      <c r="I160" s="179"/>
      <c r="J160" s="179"/>
      <c r="K160" s="179"/>
      <c r="L160" s="179"/>
      <c r="M160" s="179"/>
      <c r="N160" s="179"/>
      <c r="O160" s="179"/>
      <c r="P160" s="179"/>
      <c r="Q160" s="179"/>
      <c r="R160" s="179"/>
      <c r="S160" s="179"/>
    </row>
    <row r="161" ht="14.25" customHeight="1">
      <c r="A161" s="184"/>
      <c r="B161" s="184"/>
      <c r="C161" s="184" t="s">
        <v>1541</v>
      </c>
      <c r="D161" s="184" t="s">
        <v>1126</v>
      </c>
      <c r="E161" s="185" t="s">
        <v>1448</v>
      </c>
      <c r="F161" s="184" t="s">
        <v>1669</v>
      </c>
      <c r="G161" s="179"/>
      <c r="H161" s="179"/>
      <c r="I161" s="179"/>
      <c r="J161" s="179"/>
      <c r="K161" s="179"/>
      <c r="L161" s="179"/>
      <c r="M161" s="179"/>
      <c r="N161" s="179"/>
      <c r="O161" s="179"/>
      <c r="P161" s="179"/>
      <c r="Q161" s="179"/>
      <c r="R161" s="179"/>
      <c r="S161" s="179"/>
    </row>
    <row r="162" ht="14.25" customHeight="1">
      <c r="A162" s="184"/>
      <c r="B162" s="184"/>
      <c r="C162" s="184" t="s">
        <v>1541</v>
      </c>
      <c r="D162" s="184" t="s">
        <v>1126</v>
      </c>
      <c r="E162" s="185" t="s">
        <v>1448</v>
      </c>
      <c r="F162" s="184" t="s">
        <v>1672</v>
      </c>
      <c r="G162" s="179"/>
      <c r="H162" s="179"/>
      <c r="I162" s="179"/>
      <c r="J162" s="179"/>
      <c r="K162" s="179"/>
      <c r="L162" s="179"/>
      <c r="M162" s="179"/>
      <c r="N162" s="179"/>
      <c r="O162" s="179"/>
      <c r="P162" s="179"/>
      <c r="Q162" s="179"/>
      <c r="R162" s="179"/>
      <c r="S162" s="179"/>
    </row>
    <row r="163" ht="14.25" customHeight="1">
      <c r="A163" s="184"/>
      <c r="B163" s="184"/>
      <c r="C163" s="184" t="s">
        <v>1541</v>
      </c>
      <c r="D163" s="184" t="s">
        <v>1126</v>
      </c>
      <c r="E163" s="185" t="s">
        <v>1448</v>
      </c>
      <c r="F163" s="184" t="s">
        <v>1674</v>
      </c>
      <c r="G163" s="179"/>
      <c r="H163" s="179"/>
      <c r="I163" s="179"/>
      <c r="J163" s="179"/>
      <c r="K163" s="179"/>
      <c r="L163" s="179"/>
      <c r="M163" s="179"/>
      <c r="N163" s="179"/>
      <c r="O163" s="179"/>
      <c r="P163" s="179"/>
      <c r="Q163" s="179"/>
      <c r="R163" s="179"/>
      <c r="S163" s="179"/>
    </row>
    <row r="164" ht="14.25" customHeight="1">
      <c r="A164" s="184"/>
      <c r="B164" s="184"/>
      <c r="C164" s="184" t="s">
        <v>1541</v>
      </c>
      <c r="D164" s="184" t="s">
        <v>1126</v>
      </c>
      <c r="E164" s="185" t="s">
        <v>1448</v>
      </c>
      <c r="F164" s="184" t="s">
        <v>1676</v>
      </c>
      <c r="G164" s="179"/>
      <c r="H164" s="179"/>
      <c r="I164" s="179"/>
      <c r="J164" s="179"/>
      <c r="K164" s="179"/>
      <c r="L164" s="179"/>
      <c r="M164" s="179"/>
      <c r="N164" s="179"/>
      <c r="O164" s="179"/>
      <c r="P164" s="179"/>
      <c r="Q164" s="179"/>
      <c r="R164" s="179"/>
      <c r="S164" s="179"/>
    </row>
    <row r="165" ht="14.25" customHeight="1">
      <c r="A165" s="184"/>
      <c r="B165" s="184"/>
      <c r="C165" s="184" t="s">
        <v>1541</v>
      </c>
      <c r="D165" s="184" t="s">
        <v>1126</v>
      </c>
      <c r="E165" s="185" t="s">
        <v>1448</v>
      </c>
      <c r="F165" s="184" t="s">
        <v>1679</v>
      </c>
      <c r="G165" s="179"/>
      <c r="H165" s="179"/>
      <c r="I165" s="179"/>
      <c r="J165" s="179"/>
      <c r="K165" s="179"/>
      <c r="L165" s="179"/>
      <c r="M165" s="179"/>
      <c r="N165" s="179"/>
      <c r="O165" s="179"/>
      <c r="P165" s="179"/>
      <c r="Q165" s="179"/>
      <c r="R165" s="179"/>
      <c r="S165" s="179"/>
    </row>
    <row r="166" ht="14.25" customHeight="1">
      <c r="A166" s="184"/>
      <c r="B166" s="184"/>
      <c r="C166" s="184" t="s">
        <v>1541</v>
      </c>
      <c r="D166" s="184" t="s">
        <v>1126</v>
      </c>
      <c r="E166" s="185" t="s">
        <v>1448</v>
      </c>
      <c r="F166" s="184" t="s">
        <v>1680</v>
      </c>
      <c r="G166" s="179"/>
      <c r="H166" s="179"/>
      <c r="I166" s="179"/>
      <c r="J166" s="179"/>
      <c r="K166" s="179"/>
      <c r="L166" s="179"/>
      <c r="M166" s="179"/>
      <c r="N166" s="179"/>
      <c r="O166" s="179"/>
      <c r="P166" s="179"/>
      <c r="Q166" s="179"/>
      <c r="R166" s="179"/>
      <c r="S166" s="179"/>
    </row>
    <row r="167" ht="14.25" customHeight="1">
      <c r="A167" s="184"/>
      <c r="B167" s="184"/>
      <c r="C167" s="184" t="s">
        <v>1541</v>
      </c>
      <c r="D167" s="184" t="s">
        <v>1126</v>
      </c>
      <c r="E167" s="185" t="s">
        <v>1448</v>
      </c>
      <c r="F167" s="184" t="s">
        <v>1681</v>
      </c>
      <c r="G167" s="179"/>
      <c r="H167" s="179"/>
      <c r="I167" s="179"/>
      <c r="J167" s="179"/>
      <c r="K167" s="179"/>
      <c r="L167" s="179"/>
      <c r="M167" s="179"/>
      <c r="N167" s="179"/>
      <c r="O167" s="179"/>
      <c r="P167" s="179"/>
      <c r="Q167" s="179"/>
      <c r="R167" s="179"/>
      <c r="S167" s="179"/>
    </row>
    <row r="168" ht="14.25" customHeight="1">
      <c r="A168" s="184"/>
      <c r="B168" s="184"/>
      <c r="C168" s="184" t="s">
        <v>1541</v>
      </c>
      <c r="D168" s="184" t="s">
        <v>1126</v>
      </c>
      <c r="E168" s="185" t="s">
        <v>1448</v>
      </c>
      <c r="F168" s="184" t="s">
        <v>1682</v>
      </c>
      <c r="G168" s="179"/>
      <c r="H168" s="179"/>
      <c r="I168" s="179"/>
      <c r="J168" s="179"/>
      <c r="K168" s="179"/>
      <c r="L168" s="179"/>
      <c r="M168" s="179"/>
      <c r="N168" s="179"/>
      <c r="O168" s="179"/>
      <c r="P168" s="179"/>
      <c r="Q168" s="179"/>
      <c r="R168" s="179"/>
      <c r="S168" s="179"/>
    </row>
    <row r="169" ht="14.25" customHeight="1">
      <c r="A169" s="184"/>
      <c r="B169" s="184"/>
      <c r="C169" s="184" t="s">
        <v>1541</v>
      </c>
      <c r="D169" s="184" t="s">
        <v>1126</v>
      </c>
      <c r="E169" s="185" t="s">
        <v>1448</v>
      </c>
      <c r="F169" s="184" t="s">
        <v>1684</v>
      </c>
      <c r="G169" s="179"/>
      <c r="H169" s="179"/>
      <c r="I169" s="179"/>
      <c r="J169" s="179"/>
      <c r="K169" s="179"/>
      <c r="L169" s="179"/>
      <c r="M169" s="179"/>
      <c r="N169" s="179"/>
      <c r="O169" s="179"/>
      <c r="P169" s="179"/>
      <c r="Q169" s="179"/>
      <c r="R169" s="179"/>
      <c r="S169" s="179"/>
    </row>
    <row r="170" ht="14.25" customHeight="1">
      <c r="A170" s="184"/>
      <c r="B170" s="184"/>
      <c r="C170" s="184" t="s">
        <v>1541</v>
      </c>
      <c r="D170" s="184" t="s">
        <v>1126</v>
      </c>
      <c r="E170" s="185" t="s">
        <v>1448</v>
      </c>
      <c r="F170" s="184" t="s">
        <v>1688</v>
      </c>
      <c r="G170" s="179"/>
      <c r="H170" s="179"/>
      <c r="I170" s="179"/>
      <c r="J170" s="179"/>
      <c r="K170" s="179"/>
      <c r="L170" s="179"/>
      <c r="M170" s="179"/>
      <c r="N170" s="179"/>
      <c r="O170" s="179"/>
      <c r="P170" s="179"/>
      <c r="Q170" s="179"/>
      <c r="R170" s="179"/>
      <c r="S170" s="179"/>
    </row>
    <row r="171" ht="14.25" customHeight="1">
      <c r="A171" s="179"/>
      <c r="B171" s="179"/>
      <c r="C171" s="179" t="s">
        <v>1541</v>
      </c>
      <c r="D171" s="179" t="s">
        <v>1692</v>
      </c>
      <c r="E171" s="185" t="s">
        <v>1448</v>
      </c>
      <c r="F171" s="179" t="s">
        <v>1693</v>
      </c>
      <c r="G171" s="179"/>
      <c r="H171" s="179"/>
      <c r="I171" s="179"/>
      <c r="J171" s="179"/>
      <c r="K171" s="179"/>
      <c r="L171" s="179"/>
      <c r="M171" s="179"/>
      <c r="N171" s="179"/>
      <c r="O171" s="179"/>
      <c r="P171" s="179"/>
      <c r="Q171" s="179"/>
      <c r="R171" s="179"/>
      <c r="S171" s="179"/>
    </row>
    <row r="172" ht="14.25" customHeight="1">
      <c r="A172" s="179"/>
      <c r="B172" s="179"/>
      <c r="C172" s="179" t="s">
        <v>1541</v>
      </c>
      <c r="D172" s="179" t="s">
        <v>1692</v>
      </c>
      <c r="E172" s="185" t="s">
        <v>1448</v>
      </c>
      <c r="F172" s="179" t="s">
        <v>1697</v>
      </c>
      <c r="G172" s="179"/>
      <c r="H172" s="179"/>
      <c r="I172" s="179"/>
      <c r="J172" s="179"/>
      <c r="K172" s="179"/>
      <c r="L172" s="179"/>
      <c r="M172" s="179"/>
      <c r="N172" s="179"/>
      <c r="O172" s="179"/>
      <c r="P172" s="179"/>
      <c r="Q172" s="179"/>
      <c r="R172" s="179"/>
      <c r="S172" s="179"/>
    </row>
    <row r="173" ht="14.25" customHeight="1">
      <c r="A173" s="179"/>
      <c r="B173" s="179"/>
      <c r="C173" s="179" t="s">
        <v>1541</v>
      </c>
      <c r="D173" s="179" t="s">
        <v>1692</v>
      </c>
      <c r="E173" s="185" t="s">
        <v>1448</v>
      </c>
      <c r="F173" s="179" t="s">
        <v>1700</v>
      </c>
      <c r="G173" s="179"/>
      <c r="H173" s="179"/>
      <c r="I173" s="179"/>
      <c r="J173" s="179"/>
      <c r="K173" s="179"/>
      <c r="L173" s="179"/>
      <c r="M173" s="179"/>
      <c r="N173" s="179"/>
      <c r="O173" s="179"/>
      <c r="P173" s="179"/>
      <c r="Q173" s="179"/>
      <c r="R173" s="179"/>
      <c r="S173" s="179"/>
    </row>
    <row r="174" ht="14.25" customHeight="1">
      <c r="A174" s="179"/>
      <c r="B174" s="179"/>
      <c r="C174" s="179" t="s">
        <v>1541</v>
      </c>
      <c r="D174" s="179" t="s">
        <v>1692</v>
      </c>
      <c r="E174" s="185" t="s">
        <v>1448</v>
      </c>
      <c r="F174" s="179" t="s">
        <v>1703</v>
      </c>
      <c r="G174" s="179"/>
      <c r="H174" s="179"/>
      <c r="I174" s="179"/>
      <c r="J174" s="179"/>
      <c r="K174" s="179"/>
      <c r="L174" s="179"/>
      <c r="M174" s="179"/>
      <c r="N174" s="179"/>
      <c r="O174" s="179"/>
      <c r="P174" s="179"/>
      <c r="Q174" s="179"/>
      <c r="R174" s="179"/>
      <c r="S174" s="179"/>
    </row>
    <row r="175" ht="14.25" customHeight="1">
      <c r="A175" s="184"/>
      <c r="B175" s="184"/>
      <c r="C175" s="184" t="s">
        <v>1541</v>
      </c>
      <c r="D175" s="184" t="s">
        <v>708</v>
      </c>
      <c r="E175" s="185" t="s">
        <v>1448</v>
      </c>
      <c r="F175" s="184" t="s">
        <v>1705</v>
      </c>
      <c r="G175" s="179"/>
      <c r="H175" s="179"/>
      <c r="I175" s="179"/>
      <c r="J175" s="179"/>
      <c r="K175" s="179"/>
      <c r="L175" s="179"/>
      <c r="M175" s="179"/>
      <c r="N175" s="179"/>
      <c r="O175" s="179"/>
      <c r="P175" s="179"/>
      <c r="Q175" s="179"/>
      <c r="R175" s="179"/>
      <c r="S175" s="179"/>
    </row>
    <row r="176" ht="14.25" customHeight="1">
      <c r="A176" s="184"/>
      <c r="B176" s="184"/>
      <c r="C176" s="184" t="s">
        <v>1541</v>
      </c>
      <c r="D176" s="184" t="s">
        <v>708</v>
      </c>
      <c r="E176" s="185" t="s">
        <v>1448</v>
      </c>
      <c r="F176" s="184" t="s">
        <v>1708</v>
      </c>
      <c r="G176" s="179"/>
      <c r="H176" s="179"/>
      <c r="I176" s="179"/>
      <c r="J176" s="179"/>
      <c r="K176" s="179"/>
      <c r="L176" s="179"/>
      <c r="M176" s="179"/>
      <c r="N176" s="179"/>
      <c r="O176" s="179"/>
      <c r="P176" s="179"/>
      <c r="Q176" s="179"/>
      <c r="R176" s="179"/>
      <c r="S176" s="179"/>
    </row>
    <row r="177" ht="14.25" customHeight="1">
      <c r="A177" s="184"/>
      <c r="B177" s="184"/>
      <c r="C177" s="184" t="s">
        <v>1541</v>
      </c>
      <c r="D177" s="184" t="s">
        <v>708</v>
      </c>
      <c r="E177" s="185" t="s">
        <v>1448</v>
      </c>
      <c r="F177" s="184" t="s">
        <v>1711</v>
      </c>
      <c r="G177" s="179"/>
      <c r="H177" s="179"/>
      <c r="I177" s="179"/>
      <c r="J177" s="179"/>
      <c r="K177" s="179"/>
      <c r="L177" s="179"/>
      <c r="M177" s="179"/>
      <c r="N177" s="179"/>
      <c r="O177" s="179"/>
      <c r="P177" s="179"/>
      <c r="Q177" s="179"/>
      <c r="R177" s="179"/>
      <c r="S177" s="179"/>
    </row>
    <row r="178" ht="14.25" customHeight="1">
      <c r="A178" s="184"/>
      <c r="B178" s="184"/>
      <c r="C178" s="184" t="s">
        <v>1541</v>
      </c>
      <c r="D178" s="184" t="s">
        <v>708</v>
      </c>
      <c r="E178" s="185" t="s">
        <v>1448</v>
      </c>
      <c r="F178" s="184" t="s">
        <v>1713</v>
      </c>
      <c r="G178" s="179"/>
      <c r="H178" s="179"/>
      <c r="I178" s="179"/>
      <c r="J178" s="179"/>
      <c r="K178" s="179"/>
      <c r="L178" s="179"/>
      <c r="M178" s="179"/>
      <c r="N178" s="179"/>
      <c r="O178" s="179"/>
      <c r="P178" s="179"/>
      <c r="Q178" s="179"/>
      <c r="R178" s="179"/>
      <c r="S178" s="179"/>
    </row>
    <row r="179" ht="14.25" customHeight="1">
      <c r="A179" s="184"/>
      <c r="B179" s="184"/>
      <c r="C179" s="184" t="s">
        <v>1541</v>
      </c>
      <c r="D179" s="184" t="s">
        <v>708</v>
      </c>
      <c r="E179" s="185" t="s">
        <v>1448</v>
      </c>
      <c r="F179" s="184" t="s">
        <v>1717</v>
      </c>
      <c r="G179" s="179"/>
      <c r="H179" s="179"/>
      <c r="I179" s="179"/>
      <c r="J179" s="179"/>
      <c r="K179" s="179"/>
      <c r="L179" s="179"/>
      <c r="M179" s="179"/>
      <c r="N179" s="179"/>
      <c r="O179" s="179"/>
      <c r="P179" s="179"/>
      <c r="Q179" s="179"/>
      <c r="R179" s="179"/>
      <c r="S179" s="179"/>
    </row>
    <row r="180" ht="14.25" customHeight="1">
      <c r="A180" s="184"/>
      <c r="B180" s="184"/>
      <c r="C180" s="184" t="s">
        <v>1541</v>
      </c>
      <c r="D180" s="184" t="s">
        <v>1089</v>
      </c>
      <c r="E180" s="185" t="s">
        <v>1448</v>
      </c>
      <c r="F180" s="184" t="s">
        <v>1720</v>
      </c>
      <c r="G180" s="179"/>
      <c r="H180" s="179"/>
      <c r="I180" s="179"/>
      <c r="J180" s="179"/>
      <c r="K180" s="179"/>
      <c r="L180" s="179"/>
      <c r="M180" s="179"/>
      <c r="N180" s="179"/>
      <c r="O180" s="179"/>
      <c r="P180" s="179"/>
      <c r="Q180" s="179"/>
      <c r="R180" s="179"/>
      <c r="S180" s="179"/>
    </row>
    <row r="181" ht="14.25" customHeight="1">
      <c r="A181" s="184"/>
      <c r="B181" s="184"/>
      <c r="C181" s="184" t="s">
        <v>1541</v>
      </c>
      <c r="D181" s="184" t="s">
        <v>1089</v>
      </c>
      <c r="E181" s="185" t="s">
        <v>1448</v>
      </c>
      <c r="F181" s="184" t="s">
        <v>1723</v>
      </c>
      <c r="G181" s="179"/>
      <c r="H181" s="179"/>
      <c r="I181" s="179"/>
      <c r="J181" s="179"/>
      <c r="K181" s="179"/>
      <c r="L181" s="179"/>
      <c r="M181" s="179"/>
      <c r="N181" s="179"/>
      <c r="O181" s="179"/>
      <c r="P181" s="179"/>
      <c r="Q181" s="179"/>
      <c r="R181" s="179"/>
      <c r="S181" s="179"/>
    </row>
    <row r="182" ht="14.25" customHeight="1">
      <c r="A182" s="184"/>
      <c r="B182" s="184"/>
      <c r="C182" s="184" t="s">
        <v>1541</v>
      </c>
      <c r="D182" s="184" t="s">
        <v>1089</v>
      </c>
      <c r="E182" s="185" t="s">
        <v>1448</v>
      </c>
      <c r="F182" s="184" t="s">
        <v>1708</v>
      </c>
      <c r="G182" s="179"/>
      <c r="H182" s="179"/>
      <c r="I182" s="179"/>
      <c r="J182" s="179"/>
      <c r="K182" s="179"/>
      <c r="L182" s="179"/>
      <c r="M182" s="179"/>
      <c r="N182" s="179"/>
      <c r="O182" s="179"/>
      <c r="P182" s="179"/>
      <c r="Q182" s="179"/>
      <c r="R182" s="179"/>
      <c r="S182" s="179"/>
    </row>
    <row r="183" ht="14.25" customHeight="1">
      <c r="A183" s="184"/>
      <c r="B183" s="184"/>
      <c r="C183" s="184" t="s">
        <v>1541</v>
      </c>
      <c r="D183" s="184" t="s">
        <v>1089</v>
      </c>
      <c r="E183" s="185" t="s">
        <v>1448</v>
      </c>
      <c r="F183" s="184" t="s">
        <v>1713</v>
      </c>
      <c r="G183" s="179"/>
      <c r="H183" s="179"/>
      <c r="I183" s="179"/>
      <c r="J183" s="179"/>
      <c r="K183" s="179"/>
      <c r="L183" s="179"/>
      <c r="M183" s="179"/>
      <c r="N183" s="179"/>
      <c r="O183" s="179"/>
      <c r="P183" s="179"/>
      <c r="Q183" s="179"/>
      <c r="R183" s="179"/>
      <c r="S183" s="179"/>
    </row>
    <row r="184" ht="14.25" customHeight="1">
      <c r="A184" s="184"/>
      <c r="B184" s="184"/>
      <c r="C184" s="184" t="s">
        <v>1541</v>
      </c>
      <c r="D184" s="184" t="s">
        <v>1089</v>
      </c>
      <c r="E184" s="185" t="s">
        <v>1448</v>
      </c>
      <c r="F184" s="184" t="s">
        <v>1717</v>
      </c>
      <c r="G184" s="179"/>
      <c r="H184" s="179"/>
      <c r="I184" s="179"/>
      <c r="J184" s="179"/>
      <c r="K184" s="179"/>
      <c r="L184" s="179"/>
      <c r="M184" s="179"/>
      <c r="N184" s="179"/>
      <c r="O184" s="179"/>
      <c r="P184" s="179"/>
      <c r="Q184" s="179"/>
      <c r="R184" s="179"/>
      <c r="S184" s="179"/>
    </row>
    <row r="185" ht="14.25" customHeight="1">
      <c r="A185" s="184"/>
      <c r="B185" s="184"/>
      <c r="C185" s="184" t="s">
        <v>1541</v>
      </c>
      <c r="D185" s="184" t="s">
        <v>1163</v>
      </c>
      <c r="E185" s="185" t="s">
        <v>1448</v>
      </c>
      <c r="F185" s="184" t="s">
        <v>1732</v>
      </c>
      <c r="G185" s="179"/>
      <c r="H185" s="179"/>
      <c r="I185" s="179"/>
      <c r="J185" s="179"/>
      <c r="K185" s="179"/>
      <c r="L185" s="179"/>
      <c r="M185" s="179"/>
      <c r="N185" s="179"/>
      <c r="O185" s="179"/>
      <c r="P185" s="179"/>
      <c r="Q185" s="179"/>
      <c r="R185" s="179"/>
      <c r="S185" s="179"/>
    </row>
    <row r="186" ht="14.25" customHeight="1">
      <c r="A186" s="184"/>
      <c r="B186" s="184"/>
      <c r="C186" s="184" t="s">
        <v>1541</v>
      </c>
      <c r="D186" s="184" t="s">
        <v>1163</v>
      </c>
      <c r="E186" s="185" t="s">
        <v>1448</v>
      </c>
      <c r="F186" s="184" t="s">
        <v>1735</v>
      </c>
      <c r="G186" s="179"/>
      <c r="H186" s="179"/>
      <c r="I186" s="179"/>
      <c r="J186" s="179"/>
      <c r="K186" s="179"/>
      <c r="L186" s="179"/>
      <c r="M186" s="179"/>
      <c r="N186" s="179"/>
      <c r="O186" s="179"/>
      <c r="P186" s="179"/>
      <c r="Q186" s="179"/>
      <c r="R186" s="179"/>
      <c r="S186" s="179"/>
    </row>
    <row r="187" ht="14.25" customHeight="1">
      <c r="A187" s="184"/>
      <c r="B187" s="184"/>
      <c r="C187" s="184" t="s">
        <v>1541</v>
      </c>
      <c r="D187" s="184" t="s">
        <v>1163</v>
      </c>
      <c r="E187" s="185" t="s">
        <v>1448</v>
      </c>
      <c r="F187" s="184" t="s">
        <v>1737</v>
      </c>
      <c r="G187" s="179"/>
      <c r="H187" s="179"/>
      <c r="I187" s="179"/>
      <c r="J187" s="179"/>
      <c r="K187" s="179"/>
      <c r="L187" s="179"/>
      <c r="M187" s="179"/>
      <c r="N187" s="179"/>
      <c r="O187" s="179"/>
      <c r="P187" s="179"/>
      <c r="Q187" s="179"/>
      <c r="R187" s="179"/>
      <c r="S187" s="179"/>
    </row>
    <row r="188" ht="14.25" customHeight="1">
      <c r="A188" s="184"/>
      <c r="B188" s="184"/>
      <c r="C188" s="184" t="s">
        <v>1541</v>
      </c>
      <c r="D188" s="184" t="s">
        <v>1163</v>
      </c>
      <c r="E188" s="185" t="s">
        <v>1448</v>
      </c>
      <c r="F188" s="184" t="s">
        <v>1739</v>
      </c>
      <c r="G188" s="179"/>
      <c r="H188" s="179"/>
      <c r="I188" s="179"/>
      <c r="J188" s="179"/>
      <c r="K188" s="179"/>
      <c r="L188" s="179"/>
      <c r="M188" s="179"/>
      <c r="N188" s="179"/>
      <c r="O188" s="179"/>
      <c r="P188" s="179"/>
      <c r="Q188" s="179"/>
      <c r="R188" s="179"/>
      <c r="S188" s="179"/>
    </row>
    <row r="189" ht="14.25" customHeight="1">
      <c r="A189" s="184"/>
      <c r="B189" s="184"/>
      <c r="C189" s="184" t="s">
        <v>1541</v>
      </c>
      <c r="D189" s="184" t="s">
        <v>1163</v>
      </c>
      <c r="E189" s="185" t="s">
        <v>1448</v>
      </c>
      <c r="F189" s="184" t="s">
        <v>1740</v>
      </c>
      <c r="G189" s="179"/>
      <c r="H189" s="179"/>
      <c r="I189" s="179"/>
      <c r="J189" s="179"/>
      <c r="K189" s="179"/>
      <c r="L189" s="179"/>
      <c r="M189" s="179"/>
      <c r="N189" s="179"/>
      <c r="O189" s="179"/>
      <c r="P189" s="179"/>
      <c r="Q189" s="179"/>
      <c r="R189" s="179"/>
      <c r="S189" s="179"/>
    </row>
    <row r="190" ht="14.25" customHeight="1">
      <c r="A190" s="184"/>
      <c r="B190" s="184"/>
      <c r="C190" s="184" t="s">
        <v>1541</v>
      </c>
      <c r="D190" s="184" t="s">
        <v>1163</v>
      </c>
      <c r="E190" s="185" t="s">
        <v>1448</v>
      </c>
      <c r="F190" s="184" t="s">
        <v>1741</v>
      </c>
      <c r="G190" s="179"/>
      <c r="H190" s="179"/>
      <c r="I190" s="179"/>
      <c r="J190" s="179"/>
      <c r="K190" s="179"/>
      <c r="L190" s="179"/>
      <c r="M190" s="179"/>
      <c r="N190" s="179"/>
      <c r="O190" s="179"/>
      <c r="P190" s="179"/>
      <c r="Q190" s="179"/>
      <c r="R190" s="179"/>
      <c r="S190" s="179"/>
    </row>
    <row r="191" ht="14.25" customHeight="1">
      <c r="A191" s="184"/>
      <c r="B191" s="184"/>
      <c r="C191" s="184" t="s">
        <v>1541</v>
      </c>
      <c r="D191" s="184" t="s">
        <v>1742</v>
      </c>
      <c r="E191" s="185" t="s">
        <v>1448</v>
      </c>
      <c r="F191" s="184" t="s">
        <v>1743</v>
      </c>
      <c r="G191" s="179"/>
      <c r="H191" s="179"/>
      <c r="I191" s="179"/>
      <c r="J191" s="179"/>
      <c r="K191" s="179"/>
      <c r="L191" s="179"/>
      <c r="M191" s="179"/>
      <c r="N191" s="179"/>
      <c r="O191" s="179"/>
      <c r="P191" s="179"/>
      <c r="Q191" s="179"/>
      <c r="R191" s="179"/>
      <c r="S191" s="179"/>
    </row>
    <row r="192" ht="14.25" customHeight="1">
      <c r="A192" s="184"/>
      <c r="B192" s="184"/>
      <c r="C192" s="184" t="s">
        <v>1541</v>
      </c>
      <c r="D192" s="184" t="s">
        <v>1742</v>
      </c>
      <c r="E192" s="185" t="s">
        <v>1448</v>
      </c>
      <c r="F192" s="184" t="s">
        <v>1745</v>
      </c>
      <c r="G192" s="179"/>
      <c r="H192" s="179"/>
      <c r="I192" s="179"/>
      <c r="J192" s="179"/>
      <c r="K192" s="179"/>
      <c r="L192" s="179"/>
      <c r="M192" s="179"/>
      <c r="N192" s="179"/>
      <c r="O192" s="179"/>
      <c r="P192" s="179"/>
      <c r="Q192" s="179"/>
      <c r="R192" s="179"/>
      <c r="S192" s="179"/>
    </row>
    <row r="193" ht="14.25" customHeight="1">
      <c r="A193" s="184"/>
      <c r="B193" s="184"/>
      <c r="C193" s="184" t="s">
        <v>1541</v>
      </c>
      <c r="D193" s="184" t="s">
        <v>1742</v>
      </c>
      <c r="E193" s="185" t="s">
        <v>1448</v>
      </c>
      <c r="F193" s="184" t="s">
        <v>1746</v>
      </c>
      <c r="G193" s="179"/>
      <c r="H193" s="179"/>
      <c r="I193" s="179"/>
      <c r="J193" s="179"/>
      <c r="K193" s="179"/>
      <c r="L193" s="179"/>
      <c r="M193" s="179"/>
      <c r="N193" s="179"/>
      <c r="O193" s="179"/>
      <c r="P193" s="179"/>
      <c r="Q193" s="179"/>
      <c r="R193" s="179"/>
      <c r="S193" s="179"/>
    </row>
    <row r="194" ht="14.25" customHeight="1">
      <c r="A194" s="184"/>
      <c r="B194" s="184"/>
      <c r="C194" s="184" t="s">
        <v>1541</v>
      </c>
      <c r="D194" s="184" t="s">
        <v>1742</v>
      </c>
      <c r="E194" s="185" t="s">
        <v>1448</v>
      </c>
      <c r="F194" s="184" t="s">
        <v>1747</v>
      </c>
      <c r="G194" s="179"/>
      <c r="H194" s="179"/>
      <c r="I194" s="179"/>
      <c r="J194" s="179"/>
      <c r="K194" s="179"/>
      <c r="L194" s="179"/>
      <c r="M194" s="179"/>
      <c r="N194" s="179"/>
      <c r="O194" s="179"/>
      <c r="P194" s="179"/>
      <c r="Q194" s="179"/>
      <c r="R194" s="179"/>
      <c r="S194" s="179"/>
    </row>
    <row r="195" ht="14.25" customHeight="1">
      <c r="A195" s="184"/>
      <c r="B195" s="184"/>
      <c r="C195" s="184" t="s">
        <v>1541</v>
      </c>
      <c r="D195" s="184" t="s">
        <v>1742</v>
      </c>
      <c r="E195" s="185" t="s">
        <v>1448</v>
      </c>
      <c r="F195" s="184" t="s">
        <v>1748</v>
      </c>
      <c r="G195" s="179"/>
      <c r="H195" s="179"/>
      <c r="I195" s="179"/>
      <c r="J195" s="179"/>
      <c r="K195" s="179"/>
      <c r="L195" s="179"/>
      <c r="M195" s="179"/>
      <c r="N195" s="179"/>
      <c r="O195" s="179"/>
      <c r="P195" s="179"/>
      <c r="Q195" s="179"/>
      <c r="R195" s="179"/>
      <c r="S195" s="179"/>
    </row>
    <row r="196" ht="14.25" customHeight="1">
      <c r="A196" s="184"/>
      <c r="B196" s="184"/>
      <c r="C196" s="184" t="s">
        <v>1541</v>
      </c>
      <c r="D196" s="184" t="s">
        <v>1742</v>
      </c>
      <c r="E196" s="185" t="s">
        <v>1448</v>
      </c>
      <c r="F196" s="184" t="s">
        <v>1749</v>
      </c>
      <c r="G196" s="179"/>
      <c r="H196" s="179"/>
      <c r="I196" s="179"/>
      <c r="J196" s="179"/>
      <c r="K196" s="179"/>
      <c r="L196" s="179"/>
      <c r="M196" s="179"/>
      <c r="N196" s="179"/>
      <c r="O196" s="179"/>
      <c r="P196" s="179"/>
      <c r="Q196" s="179"/>
      <c r="R196" s="179"/>
      <c r="S196" s="179"/>
    </row>
    <row r="197" ht="14.25" customHeight="1">
      <c r="A197" s="179"/>
      <c r="B197" s="179"/>
      <c r="C197" s="179" t="s">
        <v>1541</v>
      </c>
      <c r="D197" s="184" t="s">
        <v>1751</v>
      </c>
      <c r="E197" s="185" t="s">
        <v>1448</v>
      </c>
      <c r="F197" s="179" t="s">
        <v>1752</v>
      </c>
      <c r="G197" s="179"/>
      <c r="H197" s="179"/>
      <c r="I197" s="179"/>
      <c r="J197" s="179"/>
      <c r="K197" s="179"/>
      <c r="L197" s="179"/>
      <c r="M197" s="179"/>
      <c r="N197" s="179"/>
      <c r="O197" s="179"/>
      <c r="P197" s="179"/>
      <c r="Q197" s="179"/>
      <c r="R197" s="179"/>
      <c r="S197" s="179"/>
    </row>
    <row r="198" ht="14.25" customHeight="1">
      <c r="A198" s="179"/>
      <c r="B198" s="179"/>
      <c r="C198" s="179" t="s">
        <v>1541</v>
      </c>
      <c r="D198" s="184" t="s">
        <v>1751</v>
      </c>
      <c r="E198" s="185" t="s">
        <v>1448</v>
      </c>
      <c r="F198" s="179" t="s">
        <v>1753</v>
      </c>
      <c r="G198" s="179"/>
      <c r="H198" s="179"/>
      <c r="I198" s="179"/>
      <c r="J198" s="179"/>
      <c r="K198" s="179"/>
      <c r="L198" s="179"/>
      <c r="M198" s="179"/>
      <c r="N198" s="179"/>
      <c r="O198" s="179"/>
      <c r="P198" s="179"/>
      <c r="Q198" s="179"/>
      <c r="R198" s="179"/>
      <c r="S198" s="179"/>
    </row>
    <row r="199" ht="14.25" customHeight="1">
      <c r="A199" s="179"/>
      <c r="B199" s="179"/>
      <c r="C199" s="179" t="s">
        <v>1541</v>
      </c>
      <c r="D199" s="184" t="s">
        <v>1751</v>
      </c>
      <c r="E199" s="185" t="s">
        <v>1448</v>
      </c>
      <c r="F199" s="179" t="s">
        <v>1754</v>
      </c>
      <c r="G199" s="179"/>
      <c r="H199" s="179"/>
      <c r="I199" s="179"/>
      <c r="J199" s="179"/>
      <c r="K199" s="179"/>
      <c r="L199" s="179"/>
      <c r="M199" s="179"/>
      <c r="N199" s="179"/>
      <c r="O199" s="179"/>
      <c r="P199" s="179"/>
      <c r="Q199" s="179"/>
      <c r="R199" s="179"/>
      <c r="S199" s="179"/>
    </row>
    <row r="200" ht="14.25" customHeight="1">
      <c r="A200" s="179"/>
      <c r="B200" s="179"/>
      <c r="C200" s="179" t="s">
        <v>1541</v>
      </c>
      <c r="D200" s="184" t="s">
        <v>1751</v>
      </c>
      <c r="E200" s="185" t="s">
        <v>1448</v>
      </c>
      <c r="F200" s="179" t="s">
        <v>1755</v>
      </c>
      <c r="G200" s="179"/>
      <c r="H200" s="179"/>
      <c r="I200" s="179"/>
      <c r="J200" s="179"/>
      <c r="K200" s="179"/>
      <c r="L200" s="179"/>
      <c r="M200" s="179"/>
      <c r="N200" s="179"/>
      <c r="O200" s="179"/>
      <c r="P200" s="179"/>
      <c r="Q200" s="179"/>
      <c r="R200" s="179"/>
      <c r="S200" s="179"/>
    </row>
    <row r="201" ht="14.25" customHeight="1">
      <c r="A201" s="184"/>
      <c r="B201" s="184"/>
      <c r="C201" s="184" t="s">
        <v>1541</v>
      </c>
      <c r="D201" s="184" t="s">
        <v>1751</v>
      </c>
      <c r="E201" s="185" t="s">
        <v>1448</v>
      </c>
      <c r="F201" s="184" t="s">
        <v>1756</v>
      </c>
      <c r="G201" s="179"/>
      <c r="H201" s="179"/>
      <c r="I201" s="179"/>
      <c r="J201" s="179"/>
      <c r="K201" s="179"/>
      <c r="L201" s="179"/>
      <c r="M201" s="179"/>
      <c r="N201" s="179"/>
      <c r="O201" s="179"/>
      <c r="P201" s="179"/>
      <c r="Q201" s="179"/>
      <c r="R201" s="179"/>
      <c r="S201" s="179"/>
    </row>
    <row r="202" ht="14.25" customHeight="1">
      <c r="A202" s="184"/>
      <c r="B202" s="184"/>
      <c r="C202" s="184" t="s">
        <v>1541</v>
      </c>
      <c r="D202" s="184" t="s">
        <v>1751</v>
      </c>
      <c r="E202" s="185" t="s">
        <v>1448</v>
      </c>
      <c r="F202" s="184" t="s">
        <v>1759</v>
      </c>
      <c r="G202" s="179"/>
      <c r="H202" s="179"/>
      <c r="I202" s="179"/>
      <c r="J202" s="179"/>
      <c r="K202" s="179"/>
      <c r="L202" s="179"/>
      <c r="M202" s="179"/>
      <c r="N202" s="179"/>
      <c r="O202" s="179"/>
      <c r="P202" s="179"/>
      <c r="Q202" s="179"/>
      <c r="R202" s="179"/>
      <c r="S202" s="179"/>
    </row>
    <row r="203" ht="14.25" customHeight="1">
      <c r="A203" s="184"/>
      <c r="B203" s="184"/>
      <c r="C203" s="184" t="s">
        <v>1541</v>
      </c>
      <c r="D203" s="184" t="s">
        <v>1751</v>
      </c>
      <c r="E203" s="185" t="s">
        <v>1448</v>
      </c>
      <c r="F203" s="184" t="s">
        <v>1760</v>
      </c>
      <c r="G203" s="179"/>
      <c r="H203" s="179"/>
      <c r="I203" s="179"/>
      <c r="J203" s="179"/>
      <c r="K203" s="179"/>
      <c r="L203" s="179"/>
      <c r="M203" s="179"/>
      <c r="N203" s="179"/>
      <c r="O203" s="179"/>
      <c r="P203" s="179"/>
      <c r="Q203" s="179"/>
      <c r="R203" s="179"/>
      <c r="S203" s="179"/>
    </row>
    <row r="204" ht="14.25" customHeight="1">
      <c r="A204" s="184"/>
      <c r="B204" s="184"/>
      <c r="C204" s="184" t="s">
        <v>1541</v>
      </c>
      <c r="D204" s="184" t="s">
        <v>1751</v>
      </c>
      <c r="E204" s="185" t="s">
        <v>1448</v>
      </c>
      <c r="F204" s="184" t="s">
        <v>1762</v>
      </c>
      <c r="G204" s="179"/>
      <c r="H204" s="179"/>
      <c r="I204" s="179"/>
      <c r="J204" s="179"/>
      <c r="K204" s="179"/>
      <c r="L204" s="179"/>
      <c r="M204" s="179"/>
      <c r="N204" s="179"/>
      <c r="O204" s="179"/>
      <c r="P204" s="179"/>
      <c r="Q204" s="179"/>
      <c r="R204" s="179"/>
      <c r="S204" s="179"/>
    </row>
    <row r="205" ht="14.25" customHeight="1">
      <c r="A205" s="184"/>
      <c r="B205" s="184"/>
      <c r="C205" s="184" t="s">
        <v>1541</v>
      </c>
      <c r="D205" s="184" t="s">
        <v>1751</v>
      </c>
      <c r="E205" s="185" t="s">
        <v>1448</v>
      </c>
      <c r="F205" s="184" t="s">
        <v>1765</v>
      </c>
      <c r="G205" s="179"/>
      <c r="H205" s="179"/>
      <c r="I205" s="179"/>
      <c r="J205" s="179"/>
      <c r="K205" s="179"/>
      <c r="L205" s="179"/>
      <c r="M205" s="179"/>
      <c r="N205" s="179"/>
      <c r="O205" s="179"/>
      <c r="P205" s="179"/>
      <c r="Q205" s="179"/>
      <c r="R205" s="179"/>
      <c r="S205" s="179"/>
    </row>
    <row r="206" ht="14.25" customHeight="1">
      <c r="A206" s="184"/>
      <c r="B206" s="184"/>
      <c r="C206" s="184" t="s">
        <v>1541</v>
      </c>
      <c r="D206" s="184" t="s">
        <v>1751</v>
      </c>
      <c r="E206" s="185" t="s">
        <v>1448</v>
      </c>
      <c r="F206" s="184" t="s">
        <v>1768</v>
      </c>
      <c r="G206" s="179"/>
      <c r="H206" s="179"/>
      <c r="I206" s="179"/>
      <c r="J206" s="179"/>
      <c r="K206" s="179"/>
      <c r="L206" s="179"/>
      <c r="M206" s="179"/>
      <c r="N206" s="179"/>
      <c r="O206" s="179"/>
      <c r="P206" s="179"/>
      <c r="Q206" s="179"/>
      <c r="R206" s="179"/>
      <c r="S206" s="179"/>
    </row>
    <row r="207" ht="14.25" customHeight="1">
      <c r="A207" s="184"/>
      <c r="B207" s="184"/>
      <c r="C207" s="184" t="s">
        <v>1541</v>
      </c>
      <c r="D207" s="184" t="s">
        <v>1751</v>
      </c>
      <c r="E207" s="185" t="s">
        <v>1448</v>
      </c>
      <c r="F207" s="184" t="s">
        <v>1769</v>
      </c>
      <c r="G207" s="179"/>
      <c r="H207" s="179"/>
      <c r="I207" s="179"/>
      <c r="J207" s="179"/>
      <c r="K207" s="179"/>
      <c r="L207" s="179"/>
      <c r="M207" s="179"/>
      <c r="N207" s="179"/>
      <c r="O207" s="179"/>
      <c r="P207" s="179"/>
      <c r="Q207" s="179"/>
      <c r="R207" s="179"/>
      <c r="S207" s="179"/>
    </row>
    <row r="208" ht="14.25" customHeight="1">
      <c r="A208" s="184"/>
      <c r="B208" s="184"/>
      <c r="C208" s="184" t="s">
        <v>1541</v>
      </c>
      <c r="D208" s="184" t="s">
        <v>1770</v>
      </c>
      <c r="E208" s="185" t="s">
        <v>1448</v>
      </c>
      <c r="F208" s="184" t="s">
        <v>1771</v>
      </c>
      <c r="G208" s="179"/>
      <c r="H208" s="179"/>
      <c r="I208" s="179"/>
      <c r="J208" s="179"/>
      <c r="K208" s="179"/>
      <c r="L208" s="179"/>
      <c r="M208" s="179"/>
      <c r="N208" s="179"/>
      <c r="O208" s="179"/>
      <c r="P208" s="179"/>
      <c r="Q208" s="179"/>
      <c r="R208" s="179"/>
      <c r="S208" s="179"/>
    </row>
    <row r="209" ht="14.25" customHeight="1">
      <c r="A209" s="184"/>
      <c r="B209" s="184"/>
      <c r="C209" s="184" t="s">
        <v>1541</v>
      </c>
      <c r="D209" s="184" t="s">
        <v>1770</v>
      </c>
      <c r="E209" s="185" t="s">
        <v>1448</v>
      </c>
      <c r="F209" s="184" t="s">
        <v>1772</v>
      </c>
      <c r="G209" s="179"/>
      <c r="H209" s="179"/>
      <c r="I209" s="179"/>
      <c r="J209" s="179"/>
      <c r="K209" s="179"/>
      <c r="L209" s="179"/>
      <c r="M209" s="179"/>
      <c r="N209" s="179"/>
      <c r="O209" s="179"/>
      <c r="P209" s="179"/>
      <c r="Q209" s="179"/>
      <c r="R209" s="179"/>
      <c r="S209" s="179"/>
    </row>
    <row r="210" ht="14.25" customHeight="1">
      <c r="A210" s="184"/>
      <c r="B210" s="184"/>
      <c r="C210" s="184" t="s">
        <v>1541</v>
      </c>
      <c r="D210" s="184" t="s">
        <v>1770</v>
      </c>
      <c r="E210" s="185" t="s">
        <v>1448</v>
      </c>
      <c r="F210" s="184" t="s">
        <v>1775</v>
      </c>
      <c r="G210" s="179"/>
      <c r="H210" s="179"/>
      <c r="I210" s="179"/>
      <c r="J210" s="179"/>
      <c r="K210" s="179"/>
      <c r="L210" s="179"/>
      <c r="M210" s="179"/>
      <c r="N210" s="179"/>
      <c r="O210" s="179"/>
      <c r="P210" s="179"/>
      <c r="Q210" s="179"/>
      <c r="R210" s="179"/>
      <c r="S210" s="179"/>
    </row>
    <row r="211" ht="14.25" customHeight="1">
      <c r="A211" s="184"/>
      <c r="B211" s="184"/>
      <c r="C211" s="184" t="s">
        <v>1541</v>
      </c>
      <c r="D211" s="184" t="s">
        <v>1770</v>
      </c>
      <c r="E211" s="185" t="s">
        <v>1448</v>
      </c>
      <c r="F211" s="184" t="s">
        <v>1776</v>
      </c>
      <c r="G211" s="179"/>
      <c r="H211" s="179"/>
      <c r="I211" s="179"/>
      <c r="J211" s="179"/>
      <c r="K211" s="179"/>
      <c r="L211" s="179"/>
      <c r="M211" s="179"/>
      <c r="N211" s="179"/>
      <c r="O211" s="179"/>
      <c r="P211" s="179"/>
      <c r="Q211" s="179"/>
      <c r="R211" s="179"/>
      <c r="S211" s="179"/>
    </row>
    <row r="212" ht="14.25" customHeight="1">
      <c r="A212" s="184"/>
      <c r="B212" s="184"/>
      <c r="C212" s="184" t="s">
        <v>1541</v>
      </c>
      <c r="D212" s="184" t="s">
        <v>1770</v>
      </c>
      <c r="E212" s="185" t="s">
        <v>1448</v>
      </c>
      <c r="F212" s="184" t="s">
        <v>1777</v>
      </c>
      <c r="G212" s="179"/>
      <c r="H212" s="179"/>
      <c r="I212" s="179"/>
      <c r="J212" s="179"/>
      <c r="K212" s="179"/>
      <c r="L212" s="179"/>
      <c r="M212" s="179"/>
      <c r="N212" s="179"/>
      <c r="O212" s="179"/>
      <c r="P212" s="179"/>
      <c r="Q212" s="179"/>
      <c r="R212" s="179"/>
      <c r="S212" s="179"/>
    </row>
    <row r="213" ht="14.25" customHeight="1">
      <c r="A213" s="184"/>
      <c r="B213" s="184"/>
      <c r="C213" s="184" t="s">
        <v>1541</v>
      </c>
      <c r="D213" s="184" t="s">
        <v>1770</v>
      </c>
      <c r="E213" s="185" t="s">
        <v>1448</v>
      </c>
      <c r="F213" s="184" t="s">
        <v>1778</v>
      </c>
      <c r="G213" s="179"/>
      <c r="H213" s="179"/>
      <c r="I213" s="179"/>
      <c r="J213" s="179"/>
      <c r="K213" s="179"/>
      <c r="L213" s="179"/>
      <c r="M213" s="179"/>
      <c r="N213" s="179"/>
      <c r="O213" s="179"/>
      <c r="P213" s="179"/>
      <c r="Q213" s="179"/>
      <c r="R213" s="179"/>
      <c r="S213" s="179"/>
    </row>
    <row r="214" ht="14.25" customHeight="1">
      <c r="A214" s="184"/>
      <c r="B214" s="184"/>
      <c r="C214" s="184" t="s">
        <v>1541</v>
      </c>
      <c r="D214" s="184" t="s">
        <v>1770</v>
      </c>
      <c r="E214" s="185" t="s">
        <v>1448</v>
      </c>
      <c r="F214" s="184" t="s">
        <v>1779</v>
      </c>
      <c r="G214" s="179"/>
      <c r="H214" s="179"/>
      <c r="I214" s="179"/>
      <c r="J214" s="179"/>
      <c r="K214" s="179"/>
      <c r="L214" s="179"/>
      <c r="M214" s="179"/>
      <c r="N214" s="179"/>
      <c r="O214" s="179"/>
      <c r="P214" s="179"/>
      <c r="Q214" s="179"/>
      <c r="R214" s="179"/>
      <c r="S214" s="179"/>
    </row>
    <row r="215" ht="14.25" customHeight="1">
      <c r="A215" s="184"/>
      <c r="B215" s="184"/>
      <c r="C215" s="184" t="s">
        <v>1541</v>
      </c>
      <c r="D215" s="184" t="s">
        <v>1770</v>
      </c>
      <c r="E215" s="185" t="s">
        <v>1448</v>
      </c>
      <c r="F215" s="184" t="s">
        <v>1782</v>
      </c>
      <c r="G215" s="179"/>
      <c r="H215" s="179"/>
      <c r="I215" s="179"/>
      <c r="J215" s="179"/>
      <c r="K215" s="179"/>
      <c r="L215" s="179"/>
      <c r="M215" s="179"/>
      <c r="N215" s="179"/>
      <c r="O215" s="179"/>
      <c r="P215" s="179"/>
      <c r="Q215" s="179"/>
      <c r="R215" s="179"/>
      <c r="S215" s="179"/>
    </row>
    <row r="216" ht="14.25" customHeight="1">
      <c r="A216" s="184"/>
      <c r="B216" s="184"/>
      <c r="C216" s="184" t="s">
        <v>1541</v>
      </c>
      <c r="D216" s="184" t="s">
        <v>1770</v>
      </c>
      <c r="E216" s="185" t="s">
        <v>1448</v>
      </c>
      <c r="F216" s="184" t="s">
        <v>1783</v>
      </c>
      <c r="G216" s="179"/>
      <c r="H216" s="179"/>
      <c r="I216" s="179"/>
      <c r="J216" s="179"/>
      <c r="K216" s="179"/>
      <c r="L216" s="179"/>
      <c r="M216" s="179"/>
      <c r="N216" s="179"/>
      <c r="O216" s="179"/>
      <c r="P216" s="179"/>
      <c r="Q216" s="179"/>
      <c r="R216" s="179"/>
      <c r="S216" s="179"/>
    </row>
    <row r="217" ht="14.25" customHeight="1">
      <c r="A217" s="184"/>
      <c r="B217" s="184"/>
      <c r="C217" s="184" t="s">
        <v>1541</v>
      </c>
      <c r="D217" s="184" t="s">
        <v>1770</v>
      </c>
      <c r="E217" s="185" t="s">
        <v>1448</v>
      </c>
      <c r="F217" s="184" t="s">
        <v>1784</v>
      </c>
      <c r="G217" s="179"/>
      <c r="H217" s="179"/>
      <c r="I217" s="179"/>
      <c r="J217" s="179"/>
      <c r="K217" s="179"/>
      <c r="L217" s="179"/>
      <c r="M217" s="179"/>
      <c r="N217" s="179"/>
      <c r="O217" s="179"/>
      <c r="P217" s="179"/>
      <c r="Q217" s="179"/>
      <c r="R217" s="179"/>
      <c r="S217" s="179"/>
    </row>
    <row r="218" ht="14.25" customHeight="1">
      <c r="A218" s="184"/>
      <c r="B218" s="184"/>
      <c r="C218" s="184" t="s">
        <v>1541</v>
      </c>
      <c r="D218" s="184" t="s">
        <v>1770</v>
      </c>
      <c r="E218" s="185" t="s">
        <v>1448</v>
      </c>
      <c r="F218" s="184" t="s">
        <v>1785</v>
      </c>
      <c r="G218" s="179"/>
      <c r="H218" s="179"/>
      <c r="I218" s="179"/>
      <c r="J218" s="179"/>
      <c r="K218" s="179"/>
      <c r="L218" s="179"/>
      <c r="M218" s="179"/>
      <c r="N218" s="179"/>
      <c r="O218" s="179"/>
      <c r="P218" s="179"/>
      <c r="Q218" s="179"/>
      <c r="R218" s="179"/>
      <c r="S218" s="179"/>
    </row>
    <row r="219" ht="14.25" customHeight="1">
      <c r="A219" s="184"/>
      <c r="B219" s="184"/>
      <c r="C219" s="184" t="s">
        <v>1541</v>
      </c>
      <c r="D219" s="184" t="s">
        <v>1770</v>
      </c>
      <c r="E219" s="185" t="s">
        <v>1448</v>
      </c>
      <c r="F219" s="184" t="s">
        <v>1786</v>
      </c>
      <c r="G219" s="179"/>
      <c r="H219" s="179"/>
      <c r="I219" s="179"/>
      <c r="J219" s="179"/>
      <c r="K219" s="179"/>
      <c r="L219" s="179"/>
      <c r="M219" s="179"/>
      <c r="N219" s="179"/>
      <c r="O219" s="179"/>
      <c r="P219" s="179"/>
      <c r="Q219" s="179"/>
      <c r="R219" s="179"/>
      <c r="S219" s="179"/>
    </row>
    <row r="220" ht="14.25" customHeight="1">
      <c r="A220" s="184"/>
      <c r="B220" s="184"/>
      <c r="C220" s="184" t="s">
        <v>1541</v>
      </c>
      <c r="D220" s="184" t="s">
        <v>1770</v>
      </c>
      <c r="E220" s="185" t="s">
        <v>1448</v>
      </c>
      <c r="F220" s="184" t="s">
        <v>1788</v>
      </c>
      <c r="G220" s="179"/>
      <c r="H220" s="179"/>
      <c r="I220" s="179"/>
      <c r="J220" s="179"/>
      <c r="K220" s="179"/>
      <c r="L220" s="179"/>
      <c r="M220" s="179"/>
      <c r="N220" s="179"/>
      <c r="O220" s="179"/>
      <c r="P220" s="179"/>
      <c r="Q220" s="179"/>
      <c r="R220" s="179"/>
      <c r="S220" s="179"/>
    </row>
    <row r="221" ht="14.25" customHeight="1">
      <c r="A221" s="184"/>
      <c r="B221" s="184"/>
      <c r="C221" s="184" t="s">
        <v>1541</v>
      </c>
      <c r="D221" s="184" t="s">
        <v>1770</v>
      </c>
      <c r="E221" s="185" t="s">
        <v>1448</v>
      </c>
      <c r="F221" s="184" t="s">
        <v>1789</v>
      </c>
      <c r="G221" s="179"/>
      <c r="H221" s="179"/>
      <c r="I221" s="179"/>
      <c r="J221" s="179"/>
      <c r="K221" s="179"/>
      <c r="L221" s="179"/>
      <c r="M221" s="179"/>
      <c r="N221" s="179"/>
      <c r="O221" s="179"/>
      <c r="P221" s="179"/>
      <c r="Q221" s="179"/>
      <c r="R221" s="179"/>
      <c r="S221" s="179"/>
    </row>
    <row r="222" ht="14.25" customHeight="1">
      <c r="A222" s="184"/>
      <c r="B222" s="184"/>
      <c r="C222" s="184" t="s">
        <v>1541</v>
      </c>
      <c r="D222" s="184" t="s">
        <v>1770</v>
      </c>
      <c r="E222" s="185" t="s">
        <v>1448</v>
      </c>
      <c r="F222" s="184" t="s">
        <v>1790</v>
      </c>
      <c r="G222" s="179"/>
      <c r="H222" s="179"/>
      <c r="I222" s="179"/>
      <c r="J222" s="179"/>
      <c r="K222" s="179"/>
      <c r="L222" s="179"/>
      <c r="M222" s="179"/>
      <c r="N222" s="179"/>
      <c r="O222" s="179"/>
      <c r="P222" s="179"/>
      <c r="Q222" s="179"/>
      <c r="R222" s="179"/>
      <c r="S222" s="179"/>
    </row>
    <row r="223" ht="14.25" customHeight="1">
      <c r="A223" s="184"/>
      <c r="B223" s="184"/>
      <c r="C223" s="184" t="s">
        <v>1541</v>
      </c>
      <c r="D223" s="184" t="s">
        <v>1770</v>
      </c>
      <c r="E223" s="185" t="s">
        <v>1448</v>
      </c>
      <c r="F223" s="184" t="s">
        <v>1791</v>
      </c>
      <c r="G223" s="179"/>
      <c r="H223" s="179"/>
      <c r="I223" s="179"/>
      <c r="J223" s="179"/>
      <c r="K223" s="179"/>
      <c r="L223" s="179"/>
      <c r="M223" s="179"/>
      <c r="N223" s="179"/>
      <c r="O223" s="179"/>
      <c r="P223" s="179"/>
      <c r="Q223" s="179"/>
      <c r="R223" s="179"/>
      <c r="S223" s="179"/>
    </row>
    <row r="224" ht="14.25" customHeight="1">
      <c r="A224" s="184"/>
      <c r="B224" s="184"/>
      <c r="C224" s="184" t="s">
        <v>1541</v>
      </c>
      <c r="D224" s="184" t="s">
        <v>1770</v>
      </c>
      <c r="E224" s="185" t="s">
        <v>1448</v>
      </c>
      <c r="F224" s="184" t="s">
        <v>1793</v>
      </c>
      <c r="G224" s="179"/>
      <c r="H224" s="179"/>
      <c r="I224" s="179"/>
      <c r="J224" s="179"/>
      <c r="K224" s="179"/>
      <c r="L224" s="179"/>
      <c r="M224" s="179"/>
      <c r="N224" s="179"/>
      <c r="O224" s="179"/>
      <c r="P224" s="179"/>
      <c r="Q224" s="179"/>
      <c r="R224" s="179"/>
      <c r="S224" s="179"/>
    </row>
    <row r="225" ht="14.25" customHeight="1">
      <c r="A225" s="184"/>
      <c r="B225" s="184"/>
      <c r="C225" s="184" t="s">
        <v>1541</v>
      </c>
      <c r="D225" s="184" t="s">
        <v>1770</v>
      </c>
      <c r="E225" s="185" t="s">
        <v>1448</v>
      </c>
      <c r="F225" s="184" t="s">
        <v>1794</v>
      </c>
      <c r="G225" s="179"/>
      <c r="H225" s="179"/>
      <c r="I225" s="179"/>
      <c r="J225" s="179"/>
      <c r="K225" s="179"/>
      <c r="L225" s="179"/>
      <c r="M225" s="179"/>
      <c r="N225" s="179"/>
      <c r="O225" s="179"/>
      <c r="P225" s="179"/>
      <c r="Q225" s="179"/>
      <c r="R225" s="179"/>
      <c r="S225" s="179"/>
    </row>
    <row r="226" ht="14.25" customHeight="1">
      <c r="A226" s="184"/>
      <c r="B226" s="184"/>
      <c r="C226" s="184" t="s">
        <v>1541</v>
      </c>
      <c r="D226" s="184" t="s">
        <v>1770</v>
      </c>
      <c r="E226" s="185" t="s">
        <v>1448</v>
      </c>
      <c r="F226" s="184" t="s">
        <v>1797</v>
      </c>
      <c r="G226" s="179"/>
      <c r="H226" s="179"/>
      <c r="I226" s="179"/>
      <c r="J226" s="179"/>
      <c r="K226" s="179"/>
      <c r="L226" s="179"/>
      <c r="M226" s="179"/>
      <c r="N226" s="179"/>
      <c r="O226" s="179"/>
      <c r="P226" s="179"/>
      <c r="Q226" s="179"/>
      <c r="R226" s="179"/>
      <c r="S226" s="179"/>
    </row>
    <row r="227" ht="14.25" customHeight="1">
      <c r="A227" s="184"/>
      <c r="B227" s="184"/>
      <c r="C227" s="184" t="s">
        <v>1541</v>
      </c>
      <c r="D227" s="184" t="s">
        <v>999</v>
      </c>
      <c r="E227" s="185" t="s">
        <v>1448</v>
      </c>
      <c r="F227" s="184" t="s">
        <v>1730</v>
      </c>
      <c r="G227" s="179"/>
      <c r="H227" s="179"/>
      <c r="I227" s="179"/>
      <c r="J227" s="179"/>
      <c r="K227" s="179"/>
      <c r="L227" s="179"/>
      <c r="M227" s="179"/>
      <c r="N227" s="179"/>
      <c r="O227" s="179"/>
      <c r="P227" s="179"/>
      <c r="Q227" s="179"/>
      <c r="R227" s="179"/>
      <c r="S227" s="179"/>
    </row>
    <row r="228" ht="14.25" customHeight="1">
      <c r="A228" s="184"/>
      <c r="B228" s="184"/>
      <c r="C228" s="184" t="s">
        <v>1541</v>
      </c>
      <c r="D228" s="184" t="s">
        <v>999</v>
      </c>
      <c r="E228" s="185" t="s">
        <v>1448</v>
      </c>
      <c r="F228" s="184" t="s">
        <v>1731</v>
      </c>
      <c r="G228" s="179"/>
      <c r="H228" s="179"/>
      <c r="I228" s="179"/>
      <c r="J228" s="179"/>
      <c r="K228" s="179"/>
      <c r="L228" s="179"/>
      <c r="M228" s="179"/>
      <c r="N228" s="179"/>
      <c r="O228" s="179"/>
      <c r="P228" s="179"/>
      <c r="Q228" s="179"/>
      <c r="R228" s="179"/>
      <c r="S228" s="179"/>
    </row>
    <row r="229" ht="14.25" customHeight="1">
      <c r="A229" s="184"/>
      <c r="B229" s="184"/>
      <c r="C229" s="184" t="s">
        <v>1541</v>
      </c>
      <c r="D229" s="184" t="s">
        <v>999</v>
      </c>
      <c r="E229" s="185" t="s">
        <v>1448</v>
      </c>
      <c r="F229" s="184" t="s">
        <v>1734</v>
      </c>
      <c r="G229" s="179"/>
      <c r="H229" s="179"/>
      <c r="I229" s="179"/>
      <c r="J229" s="179"/>
      <c r="K229" s="179"/>
      <c r="L229" s="179"/>
      <c r="M229" s="179"/>
      <c r="N229" s="179"/>
      <c r="O229" s="179"/>
      <c r="P229" s="179"/>
      <c r="Q229" s="179"/>
      <c r="R229" s="179"/>
      <c r="S229" s="179"/>
    </row>
    <row r="230" ht="14.25" customHeight="1">
      <c r="A230" s="184"/>
      <c r="B230" s="184"/>
      <c r="C230" s="184" t="s">
        <v>1541</v>
      </c>
      <c r="D230" s="184" t="s">
        <v>999</v>
      </c>
      <c r="E230" s="185" t="s">
        <v>1448</v>
      </c>
      <c r="F230" s="184" t="s">
        <v>1736</v>
      </c>
      <c r="G230" s="179"/>
      <c r="H230" s="179"/>
      <c r="I230" s="179"/>
      <c r="J230" s="179"/>
      <c r="K230" s="179"/>
      <c r="L230" s="179"/>
      <c r="M230" s="179"/>
      <c r="N230" s="179"/>
      <c r="O230" s="179"/>
      <c r="P230" s="179"/>
      <c r="Q230" s="179"/>
      <c r="R230" s="179"/>
      <c r="S230" s="179"/>
    </row>
    <row r="231" ht="14.25" customHeight="1">
      <c r="A231" s="184"/>
      <c r="B231" s="184"/>
      <c r="C231" s="184" t="s">
        <v>1541</v>
      </c>
      <c r="D231" s="184" t="s">
        <v>1002</v>
      </c>
      <c r="E231" s="185" t="s">
        <v>1448</v>
      </c>
      <c r="F231" s="184" t="s">
        <v>1801</v>
      </c>
      <c r="G231" s="179"/>
      <c r="H231" s="179"/>
      <c r="I231" s="179"/>
      <c r="J231" s="179"/>
      <c r="K231" s="179"/>
      <c r="L231" s="179"/>
      <c r="M231" s="179"/>
      <c r="N231" s="179"/>
      <c r="O231" s="179"/>
      <c r="P231" s="179"/>
      <c r="Q231" s="179"/>
      <c r="R231" s="179"/>
      <c r="S231" s="179"/>
    </row>
    <row r="232" ht="14.25" customHeight="1">
      <c r="A232" s="184"/>
      <c r="B232" s="184"/>
      <c r="C232" s="184" t="s">
        <v>1541</v>
      </c>
      <c r="D232" s="184" t="s">
        <v>1002</v>
      </c>
      <c r="E232" s="185" t="s">
        <v>1448</v>
      </c>
      <c r="F232" s="184" t="s">
        <v>1803</v>
      </c>
      <c r="G232" s="179"/>
      <c r="H232" s="179"/>
      <c r="I232" s="179"/>
      <c r="J232" s="179"/>
      <c r="K232" s="179"/>
      <c r="L232" s="179"/>
      <c r="M232" s="179"/>
      <c r="N232" s="179"/>
      <c r="O232" s="179"/>
      <c r="P232" s="179"/>
      <c r="Q232" s="179"/>
      <c r="R232" s="179"/>
      <c r="S232" s="179"/>
    </row>
    <row r="233" ht="14.25" customHeight="1">
      <c r="A233" s="184"/>
      <c r="B233" s="184"/>
      <c r="C233" s="184" t="s">
        <v>1541</v>
      </c>
      <c r="D233" s="184" t="s">
        <v>1002</v>
      </c>
      <c r="E233" s="185" t="s">
        <v>1448</v>
      </c>
      <c r="F233" s="184" t="s">
        <v>1806</v>
      </c>
      <c r="G233" s="179"/>
      <c r="H233" s="179"/>
      <c r="I233" s="179"/>
      <c r="J233" s="179"/>
      <c r="K233" s="179"/>
      <c r="L233" s="179"/>
      <c r="M233" s="179"/>
      <c r="N233" s="179"/>
      <c r="O233" s="179"/>
      <c r="P233" s="179"/>
      <c r="Q233" s="179"/>
      <c r="R233" s="179"/>
      <c r="S233" s="179"/>
    </row>
    <row r="234" ht="14.25" customHeight="1">
      <c r="A234" s="184"/>
      <c r="B234" s="184"/>
      <c r="C234" s="184" t="s">
        <v>1541</v>
      </c>
      <c r="D234" s="184" t="s">
        <v>1002</v>
      </c>
      <c r="E234" s="185" t="s">
        <v>1448</v>
      </c>
      <c r="F234" s="184" t="s">
        <v>1809</v>
      </c>
      <c r="G234" s="179"/>
      <c r="H234" s="179"/>
      <c r="I234" s="179"/>
      <c r="J234" s="179"/>
      <c r="K234" s="179"/>
      <c r="L234" s="179"/>
      <c r="M234" s="179"/>
      <c r="N234" s="179"/>
      <c r="O234" s="179"/>
      <c r="P234" s="179"/>
      <c r="Q234" s="179"/>
      <c r="R234" s="179"/>
      <c r="S234" s="179"/>
    </row>
    <row r="235" ht="14.25" customHeight="1">
      <c r="A235" s="184"/>
      <c r="B235" s="184"/>
      <c r="C235" s="184" t="s">
        <v>1541</v>
      </c>
      <c r="D235" s="184" t="s">
        <v>1002</v>
      </c>
      <c r="E235" s="185" t="s">
        <v>1448</v>
      </c>
      <c r="F235" s="184" t="s">
        <v>1811</v>
      </c>
      <c r="G235" s="179"/>
      <c r="H235" s="179"/>
      <c r="I235" s="179"/>
      <c r="J235" s="179"/>
      <c r="K235" s="179"/>
      <c r="L235" s="179"/>
      <c r="M235" s="179"/>
      <c r="N235" s="179"/>
      <c r="O235" s="179"/>
      <c r="P235" s="179"/>
      <c r="Q235" s="179"/>
      <c r="R235" s="179"/>
      <c r="S235" s="179"/>
    </row>
    <row r="236" ht="14.25" customHeight="1">
      <c r="A236" s="184"/>
      <c r="B236" s="184"/>
      <c r="C236" s="184" t="s">
        <v>1541</v>
      </c>
      <c r="D236" s="184" t="s">
        <v>1813</v>
      </c>
      <c r="E236" s="185" t="s">
        <v>1448</v>
      </c>
      <c r="F236" s="184" t="s">
        <v>1814</v>
      </c>
      <c r="G236" s="179"/>
      <c r="H236" s="179"/>
      <c r="I236" s="179"/>
      <c r="J236" s="179"/>
      <c r="K236" s="179"/>
      <c r="L236" s="179"/>
      <c r="M236" s="179"/>
      <c r="N236" s="179"/>
      <c r="O236" s="179"/>
      <c r="P236" s="179"/>
      <c r="Q236" s="179"/>
      <c r="R236" s="179"/>
      <c r="S236" s="179"/>
    </row>
    <row r="237" ht="14.25" customHeight="1">
      <c r="A237" s="184"/>
      <c r="B237" s="184"/>
      <c r="C237" s="184" t="s">
        <v>1541</v>
      </c>
      <c r="D237" s="184" t="s">
        <v>1820</v>
      </c>
      <c r="E237" s="185" t="s">
        <v>1448</v>
      </c>
      <c r="F237" s="184" t="s">
        <v>1821</v>
      </c>
      <c r="G237" s="179"/>
      <c r="H237" s="179"/>
      <c r="I237" s="179"/>
      <c r="J237" s="179"/>
      <c r="K237" s="179"/>
      <c r="L237" s="179"/>
      <c r="M237" s="179"/>
      <c r="N237" s="179"/>
      <c r="O237" s="179"/>
      <c r="P237" s="179"/>
      <c r="Q237" s="179"/>
      <c r="R237" s="179"/>
      <c r="S237" s="179"/>
    </row>
    <row r="238" ht="14.25" customHeight="1">
      <c r="A238" s="184"/>
      <c r="B238" s="184"/>
      <c r="C238" s="184" t="s">
        <v>1541</v>
      </c>
      <c r="D238" s="184" t="s">
        <v>1820</v>
      </c>
      <c r="E238" s="185" t="s">
        <v>1448</v>
      </c>
      <c r="F238" s="184" t="s">
        <v>1823</v>
      </c>
      <c r="G238" s="179"/>
      <c r="H238" s="179"/>
      <c r="I238" s="179"/>
      <c r="J238" s="179"/>
      <c r="K238" s="179"/>
      <c r="L238" s="179"/>
      <c r="M238" s="179"/>
      <c r="N238" s="179"/>
      <c r="O238" s="179"/>
      <c r="P238" s="179"/>
      <c r="Q238" s="179"/>
      <c r="R238" s="179"/>
      <c r="S238" s="179"/>
    </row>
    <row r="239" ht="14.25" customHeight="1">
      <c r="A239" s="184"/>
      <c r="B239" s="184"/>
      <c r="C239" s="184" t="s">
        <v>1541</v>
      </c>
      <c r="D239" s="184" t="s">
        <v>994</v>
      </c>
      <c r="E239" s="185" t="s">
        <v>1448</v>
      </c>
      <c r="F239" s="184" t="s">
        <v>1826</v>
      </c>
      <c r="G239" s="179"/>
      <c r="H239" s="179"/>
      <c r="I239" s="179"/>
      <c r="J239" s="179"/>
      <c r="K239" s="179"/>
      <c r="L239" s="179"/>
      <c r="M239" s="179"/>
      <c r="N239" s="179"/>
      <c r="O239" s="179"/>
      <c r="P239" s="179"/>
      <c r="Q239" s="179"/>
      <c r="R239" s="179"/>
      <c r="S239" s="179"/>
    </row>
    <row r="240" ht="14.25" customHeight="1">
      <c r="A240" s="184"/>
      <c r="B240" s="184"/>
      <c r="C240" s="184" t="s">
        <v>1541</v>
      </c>
      <c r="D240" s="184" t="s">
        <v>994</v>
      </c>
      <c r="E240" s="185" t="s">
        <v>1448</v>
      </c>
      <c r="F240" s="184" t="s">
        <v>1828</v>
      </c>
      <c r="G240" s="179"/>
      <c r="H240" s="179"/>
      <c r="I240" s="179"/>
      <c r="J240" s="179"/>
      <c r="K240" s="179"/>
      <c r="L240" s="179"/>
      <c r="M240" s="179"/>
      <c r="N240" s="179"/>
      <c r="O240" s="179"/>
      <c r="P240" s="179"/>
      <c r="Q240" s="179"/>
      <c r="R240" s="179"/>
      <c r="S240" s="179"/>
    </row>
    <row r="241" ht="14.25" customHeight="1">
      <c r="A241" s="184"/>
      <c r="B241" s="184"/>
      <c r="C241" s="184" t="s">
        <v>1541</v>
      </c>
      <c r="D241" s="184" t="s">
        <v>984</v>
      </c>
      <c r="E241" s="185" t="s">
        <v>1448</v>
      </c>
      <c r="F241" s="184" t="s">
        <v>1831</v>
      </c>
      <c r="G241" s="179"/>
      <c r="H241" s="179"/>
      <c r="I241" s="179"/>
      <c r="J241" s="179"/>
      <c r="K241" s="179"/>
      <c r="L241" s="179"/>
      <c r="M241" s="179"/>
      <c r="N241" s="179"/>
      <c r="O241" s="179"/>
      <c r="P241" s="179"/>
      <c r="Q241" s="179"/>
      <c r="R241" s="179"/>
      <c r="S241" s="179"/>
    </row>
    <row r="242" ht="14.25" customHeight="1">
      <c r="A242" s="184"/>
      <c r="B242" s="184"/>
      <c r="C242" s="184" t="s">
        <v>1541</v>
      </c>
      <c r="D242" s="184" t="s">
        <v>984</v>
      </c>
      <c r="E242" s="185" t="s">
        <v>1448</v>
      </c>
      <c r="F242" s="184" t="s">
        <v>1834</v>
      </c>
      <c r="G242" s="179"/>
      <c r="H242" s="179"/>
      <c r="I242" s="179"/>
      <c r="J242" s="179"/>
      <c r="K242" s="179"/>
      <c r="L242" s="179"/>
      <c r="M242" s="179"/>
      <c r="N242" s="179"/>
      <c r="O242" s="179"/>
      <c r="P242" s="179"/>
      <c r="Q242" s="179"/>
      <c r="R242" s="179"/>
      <c r="S242" s="179"/>
    </row>
    <row r="243" ht="14.25" customHeight="1">
      <c r="A243" s="179"/>
      <c r="B243" s="179"/>
      <c r="C243" s="184" t="s">
        <v>1541</v>
      </c>
      <c r="D243" s="179" t="s">
        <v>1837</v>
      </c>
      <c r="E243" s="185" t="s">
        <v>1448</v>
      </c>
      <c r="F243" s="179" t="s">
        <v>1698</v>
      </c>
      <c r="G243" s="179"/>
      <c r="H243" s="179"/>
      <c r="I243" s="179"/>
      <c r="J243" s="179"/>
      <c r="K243" s="179"/>
      <c r="L243" s="179"/>
      <c r="M243" s="179"/>
      <c r="N243" s="179"/>
      <c r="O243" s="179"/>
      <c r="P243" s="179"/>
      <c r="Q243" s="179"/>
      <c r="R243" s="179"/>
      <c r="S243" s="179"/>
    </row>
    <row r="244" ht="14.25" customHeight="1">
      <c r="A244" s="179"/>
      <c r="B244" s="179"/>
      <c r="C244" s="184" t="s">
        <v>1541</v>
      </c>
      <c r="D244" s="179" t="s">
        <v>1837</v>
      </c>
      <c r="E244" s="185" t="s">
        <v>1448</v>
      </c>
      <c r="F244" s="179" t="s">
        <v>1699</v>
      </c>
      <c r="G244" s="179"/>
      <c r="H244" s="179"/>
      <c r="I244" s="179"/>
      <c r="J244" s="179"/>
      <c r="K244" s="179"/>
      <c r="L244" s="179"/>
      <c r="M244" s="179"/>
      <c r="N244" s="179"/>
      <c r="O244" s="179"/>
      <c r="P244" s="179"/>
      <c r="Q244" s="179"/>
      <c r="R244" s="179"/>
      <c r="S244" s="179"/>
    </row>
    <row r="245" ht="14.25" customHeight="1">
      <c r="A245" s="179"/>
      <c r="B245" s="179"/>
      <c r="C245" s="184" t="s">
        <v>1541</v>
      </c>
      <c r="D245" s="179" t="s">
        <v>1837</v>
      </c>
      <c r="E245" s="185" t="s">
        <v>1448</v>
      </c>
      <c r="F245" s="179" t="s">
        <v>1701</v>
      </c>
      <c r="G245" s="179"/>
      <c r="H245" s="179"/>
      <c r="I245" s="179"/>
      <c r="J245" s="179"/>
      <c r="K245" s="179"/>
      <c r="L245" s="179"/>
      <c r="M245" s="179"/>
      <c r="N245" s="179"/>
      <c r="O245" s="179"/>
      <c r="P245" s="179"/>
      <c r="Q245" s="179"/>
      <c r="R245" s="179"/>
      <c r="S245" s="179"/>
    </row>
    <row r="246" ht="14.25" customHeight="1">
      <c r="A246" s="179"/>
      <c r="B246" s="179"/>
      <c r="C246" s="184" t="s">
        <v>1541</v>
      </c>
      <c r="D246" s="179" t="s">
        <v>1837</v>
      </c>
      <c r="E246" s="185" t="s">
        <v>1448</v>
      </c>
      <c r="F246" s="179" t="s">
        <v>1702</v>
      </c>
      <c r="G246" s="179"/>
      <c r="H246" s="179"/>
      <c r="I246" s="179"/>
      <c r="J246" s="179"/>
      <c r="K246" s="179"/>
      <c r="L246" s="179"/>
      <c r="M246" s="179"/>
      <c r="N246" s="179"/>
      <c r="O246" s="179"/>
      <c r="P246" s="179"/>
      <c r="Q246" s="179"/>
      <c r="R246" s="179"/>
      <c r="S246" s="179"/>
    </row>
    <row r="247" ht="14.25" customHeight="1">
      <c r="A247" s="179"/>
      <c r="B247" s="179"/>
      <c r="C247" s="184" t="s">
        <v>1541</v>
      </c>
      <c r="D247" s="179" t="s">
        <v>1837</v>
      </c>
      <c r="E247" s="185" t="s">
        <v>1448</v>
      </c>
      <c r="F247" s="179" t="s">
        <v>1704</v>
      </c>
      <c r="G247" s="179"/>
      <c r="H247" s="179"/>
      <c r="I247" s="179"/>
      <c r="J247" s="179"/>
      <c r="K247" s="179"/>
      <c r="L247" s="179"/>
      <c r="M247" s="179"/>
      <c r="N247" s="179"/>
      <c r="O247" s="179"/>
      <c r="P247" s="179"/>
      <c r="Q247" s="179"/>
      <c r="R247" s="179"/>
      <c r="S247" s="179"/>
    </row>
    <row r="248" ht="14.25" customHeight="1">
      <c r="A248" s="179"/>
      <c r="B248" s="179"/>
      <c r="C248" s="184" t="s">
        <v>1541</v>
      </c>
      <c r="D248" s="179" t="s">
        <v>1837</v>
      </c>
      <c r="E248" s="185" t="s">
        <v>1448</v>
      </c>
      <c r="F248" s="179" t="s">
        <v>1706</v>
      </c>
      <c r="G248" s="179"/>
      <c r="H248" s="179"/>
      <c r="I248" s="179"/>
      <c r="J248" s="179"/>
      <c r="K248" s="179"/>
      <c r="L248" s="179"/>
      <c r="M248" s="179"/>
      <c r="N248" s="179"/>
      <c r="O248" s="179"/>
      <c r="P248" s="179"/>
      <c r="Q248" s="179"/>
      <c r="R248" s="179"/>
      <c r="S248" s="179"/>
    </row>
    <row r="249" ht="14.25" customHeight="1">
      <c r="A249" s="179"/>
      <c r="B249" s="179"/>
      <c r="C249" s="184" t="s">
        <v>1541</v>
      </c>
      <c r="D249" s="179" t="s">
        <v>1837</v>
      </c>
      <c r="E249" s="185" t="s">
        <v>1448</v>
      </c>
      <c r="F249" s="179" t="s">
        <v>1707</v>
      </c>
      <c r="G249" s="179"/>
      <c r="H249" s="179"/>
      <c r="I249" s="179"/>
      <c r="J249" s="179"/>
      <c r="K249" s="179"/>
      <c r="L249" s="179"/>
      <c r="M249" s="179"/>
      <c r="N249" s="179"/>
      <c r="O249" s="179"/>
      <c r="P249" s="179"/>
      <c r="Q249" s="179"/>
      <c r="R249" s="179"/>
      <c r="S249" s="179"/>
    </row>
    <row r="250" ht="14.25" customHeight="1">
      <c r="A250" s="179"/>
      <c r="B250" s="179"/>
      <c r="C250" s="184" t="s">
        <v>1541</v>
      </c>
      <c r="D250" s="179" t="s">
        <v>1837</v>
      </c>
      <c r="E250" s="185" t="s">
        <v>1448</v>
      </c>
      <c r="F250" s="179" t="s">
        <v>1848</v>
      </c>
      <c r="G250" s="179"/>
      <c r="H250" s="179"/>
      <c r="I250" s="179"/>
      <c r="J250" s="179"/>
      <c r="K250" s="179"/>
      <c r="L250" s="179"/>
      <c r="M250" s="179"/>
      <c r="N250" s="179"/>
      <c r="O250" s="179"/>
      <c r="P250" s="179"/>
      <c r="Q250" s="179"/>
      <c r="R250" s="179"/>
      <c r="S250" s="179"/>
    </row>
    <row r="251" ht="14.25" customHeight="1">
      <c r="A251" s="179"/>
      <c r="B251" s="179"/>
      <c r="C251" s="184" t="s">
        <v>1541</v>
      </c>
      <c r="D251" s="179" t="s">
        <v>1837</v>
      </c>
      <c r="E251" s="185" t="s">
        <v>1448</v>
      </c>
      <c r="F251" s="179" t="s">
        <v>1710</v>
      </c>
      <c r="G251" s="179"/>
      <c r="H251" s="179"/>
      <c r="I251" s="179"/>
      <c r="J251" s="179"/>
      <c r="K251" s="179"/>
      <c r="L251" s="179"/>
      <c r="M251" s="179"/>
      <c r="N251" s="179"/>
      <c r="O251" s="179"/>
      <c r="P251" s="179"/>
      <c r="Q251" s="179"/>
      <c r="R251" s="179"/>
      <c r="S251" s="179"/>
    </row>
    <row r="252" ht="14.25" customHeight="1">
      <c r="A252" s="179"/>
      <c r="B252" s="179"/>
      <c r="C252" s="184" t="s">
        <v>1541</v>
      </c>
      <c r="D252" s="179" t="s">
        <v>1837</v>
      </c>
      <c r="E252" s="185" t="s">
        <v>1448</v>
      </c>
      <c r="F252" s="179" t="s">
        <v>1852</v>
      </c>
      <c r="G252" s="179"/>
      <c r="H252" s="179"/>
      <c r="I252" s="179"/>
      <c r="J252" s="179"/>
      <c r="K252" s="179"/>
      <c r="L252" s="179"/>
      <c r="M252" s="179"/>
      <c r="N252" s="179"/>
      <c r="O252" s="179"/>
      <c r="P252" s="179"/>
      <c r="Q252" s="179"/>
      <c r="R252" s="179"/>
      <c r="S252" s="179"/>
    </row>
    <row r="253" ht="14.25" customHeight="1">
      <c r="A253" s="184"/>
      <c r="B253" s="184"/>
      <c r="C253" s="184" t="s">
        <v>1541</v>
      </c>
      <c r="D253" s="179" t="s">
        <v>937</v>
      </c>
      <c r="E253" s="185" t="s">
        <v>1448</v>
      </c>
      <c r="F253" s="9" t="s">
        <v>1855</v>
      </c>
      <c r="G253" s="179"/>
      <c r="H253" s="179"/>
      <c r="I253" s="179"/>
      <c r="J253" s="179"/>
      <c r="K253" s="179"/>
      <c r="L253" s="179"/>
      <c r="M253" s="179"/>
      <c r="N253" s="179"/>
      <c r="O253" s="179"/>
      <c r="P253" s="179"/>
      <c r="Q253" s="179"/>
      <c r="R253" s="179"/>
      <c r="S253" s="179"/>
    </row>
    <row r="254" ht="14.25" customHeight="1">
      <c r="A254" s="184"/>
      <c r="B254" s="184"/>
      <c r="C254" s="184" t="s">
        <v>1541</v>
      </c>
      <c r="D254" s="179" t="s">
        <v>937</v>
      </c>
      <c r="E254" s="185" t="s">
        <v>1448</v>
      </c>
      <c r="F254" s="9" t="s">
        <v>1857</v>
      </c>
      <c r="G254" s="179"/>
      <c r="H254" s="179"/>
      <c r="I254" s="179"/>
      <c r="J254" s="179"/>
      <c r="K254" s="179"/>
      <c r="L254" s="179"/>
      <c r="M254" s="179"/>
      <c r="N254" s="179"/>
      <c r="O254" s="179"/>
      <c r="P254" s="179"/>
      <c r="Q254" s="179"/>
      <c r="R254" s="179"/>
      <c r="S254" s="179"/>
    </row>
    <row r="255" ht="14.25" customHeight="1">
      <c r="A255" s="184"/>
      <c r="B255" s="184"/>
      <c r="C255" s="184" t="s">
        <v>1541</v>
      </c>
      <c r="D255" s="179" t="s">
        <v>937</v>
      </c>
      <c r="E255" s="185" t="s">
        <v>1448</v>
      </c>
      <c r="F255" s="9" t="s">
        <v>1860</v>
      </c>
      <c r="G255" s="179"/>
      <c r="H255" s="179"/>
      <c r="I255" s="179"/>
      <c r="J255" s="179"/>
      <c r="K255" s="179"/>
      <c r="L255" s="179"/>
      <c r="M255" s="179"/>
      <c r="N255" s="179"/>
      <c r="O255" s="179"/>
      <c r="P255" s="179"/>
      <c r="Q255" s="179"/>
      <c r="R255" s="179"/>
      <c r="S255" s="179"/>
    </row>
    <row r="256" ht="14.25" customHeight="1">
      <c r="A256" s="184"/>
      <c r="B256" s="184"/>
      <c r="C256" s="184" t="s">
        <v>1541</v>
      </c>
      <c r="D256" s="179" t="s">
        <v>937</v>
      </c>
      <c r="E256" s="185" t="s">
        <v>1448</v>
      </c>
      <c r="F256" s="9" t="s">
        <v>1863</v>
      </c>
      <c r="G256" s="179"/>
      <c r="H256" s="179"/>
      <c r="I256" s="179"/>
      <c r="J256" s="179"/>
      <c r="K256" s="179"/>
      <c r="L256" s="179"/>
      <c r="M256" s="179"/>
      <c r="N256" s="179"/>
      <c r="O256" s="179"/>
      <c r="P256" s="179"/>
      <c r="Q256" s="179"/>
      <c r="R256" s="179"/>
      <c r="S256" s="179"/>
    </row>
    <row r="257" ht="14.25" customHeight="1">
      <c r="A257" s="184"/>
      <c r="B257" s="184"/>
      <c r="C257" s="184" t="s">
        <v>1541</v>
      </c>
      <c r="D257" s="179" t="s">
        <v>937</v>
      </c>
      <c r="E257" s="185" t="s">
        <v>1448</v>
      </c>
      <c r="F257" s="9" t="s">
        <v>1865</v>
      </c>
      <c r="G257" s="179"/>
      <c r="H257" s="179"/>
      <c r="I257" s="179"/>
      <c r="J257" s="179"/>
      <c r="K257" s="179"/>
      <c r="L257" s="179"/>
      <c r="M257" s="179"/>
      <c r="N257" s="179"/>
      <c r="O257" s="179"/>
      <c r="P257" s="179"/>
      <c r="Q257" s="179"/>
      <c r="R257" s="179"/>
      <c r="S257" s="179"/>
    </row>
    <row r="258" ht="14.25" customHeight="1">
      <c r="A258" s="184"/>
      <c r="B258" s="184"/>
      <c r="C258" s="184" t="s">
        <v>1541</v>
      </c>
      <c r="D258" s="179" t="s">
        <v>937</v>
      </c>
      <c r="E258" s="185" t="s">
        <v>1448</v>
      </c>
      <c r="F258" s="9" t="s">
        <v>1869</v>
      </c>
      <c r="G258" s="179"/>
      <c r="H258" s="179"/>
      <c r="I258" s="179"/>
      <c r="J258" s="179"/>
      <c r="K258" s="179"/>
      <c r="L258" s="179"/>
      <c r="M258" s="179"/>
      <c r="N258" s="179"/>
      <c r="O258" s="179"/>
      <c r="P258" s="179"/>
      <c r="Q258" s="179"/>
      <c r="R258" s="179"/>
      <c r="S258" s="179"/>
    </row>
    <row r="259" ht="14.25" customHeight="1">
      <c r="A259" s="184"/>
      <c r="B259" s="184"/>
      <c r="C259" s="184" t="s">
        <v>1541</v>
      </c>
      <c r="D259" s="179" t="s">
        <v>937</v>
      </c>
      <c r="E259" s="185" t="s">
        <v>1448</v>
      </c>
      <c r="F259" s="9" t="s">
        <v>1871</v>
      </c>
      <c r="G259" s="179"/>
      <c r="H259" s="179"/>
      <c r="I259" s="179"/>
      <c r="J259" s="179"/>
      <c r="K259" s="179"/>
      <c r="L259" s="179"/>
      <c r="M259" s="179"/>
      <c r="N259" s="179"/>
      <c r="O259" s="179"/>
      <c r="P259" s="179"/>
      <c r="Q259" s="179"/>
      <c r="R259" s="179"/>
      <c r="S259" s="179"/>
    </row>
    <row r="260" ht="14.25" customHeight="1">
      <c r="A260" s="184"/>
      <c r="B260" s="184"/>
      <c r="C260" s="184" t="s">
        <v>1541</v>
      </c>
      <c r="D260" s="179" t="s">
        <v>937</v>
      </c>
      <c r="E260" s="185" t="s">
        <v>1448</v>
      </c>
      <c r="F260" s="9" t="s">
        <v>1873</v>
      </c>
      <c r="G260" s="179"/>
      <c r="H260" s="179"/>
      <c r="I260" s="179"/>
      <c r="J260" s="179"/>
      <c r="K260" s="179"/>
      <c r="L260" s="179"/>
      <c r="M260" s="179"/>
      <c r="N260" s="179"/>
      <c r="O260" s="179"/>
      <c r="P260" s="179"/>
      <c r="Q260" s="179"/>
      <c r="R260" s="179"/>
      <c r="S260" s="179"/>
    </row>
    <row r="261" ht="14.25" customHeight="1">
      <c r="A261" s="184"/>
      <c r="B261" s="184"/>
      <c r="C261" s="184" t="s">
        <v>1541</v>
      </c>
      <c r="D261" s="179" t="s">
        <v>937</v>
      </c>
      <c r="E261" s="185" t="s">
        <v>1448</v>
      </c>
      <c r="F261" s="9" t="s">
        <v>1876</v>
      </c>
      <c r="G261" s="179"/>
      <c r="H261" s="179"/>
      <c r="I261" s="179"/>
      <c r="J261" s="179"/>
      <c r="K261" s="179"/>
      <c r="L261" s="179"/>
      <c r="M261" s="179"/>
      <c r="N261" s="179"/>
      <c r="O261" s="179"/>
      <c r="P261" s="179"/>
      <c r="Q261" s="179"/>
      <c r="R261" s="179"/>
      <c r="S261" s="179"/>
    </row>
    <row r="262" ht="14.25" customHeight="1">
      <c r="A262" s="184"/>
      <c r="B262" s="184"/>
      <c r="C262" s="184" t="s">
        <v>1541</v>
      </c>
      <c r="D262" s="179" t="s">
        <v>937</v>
      </c>
      <c r="E262" s="185" t="s">
        <v>1448</v>
      </c>
      <c r="F262" s="9" t="s">
        <v>1878</v>
      </c>
      <c r="G262" s="179"/>
      <c r="H262" s="179"/>
      <c r="I262" s="179"/>
      <c r="J262" s="179"/>
      <c r="K262" s="179"/>
      <c r="L262" s="179"/>
      <c r="M262" s="179"/>
      <c r="N262" s="179"/>
      <c r="O262" s="179"/>
      <c r="P262" s="179"/>
      <c r="Q262" s="179"/>
      <c r="R262" s="179"/>
      <c r="S262" s="179"/>
    </row>
    <row r="263" ht="14.25" customHeight="1">
      <c r="A263" s="184"/>
      <c r="B263" s="184"/>
      <c r="C263" s="184" t="s">
        <v>1541</v>
      </c>
      <c r="D263" s="179" t="s">
        <v>937</v>
      </c>
      <c r="E263" s="185" t="s">
        <v>1448</v>
      </c>
      <c r="F263" s="9" t="s">
        <v>1881</v>
      </c>
      <c r="G263" s="179"/>
      <c r="H263" s="179"/>
      <c r="I263" s="179"/>
      <c r="J263" s="179"/>
      <c r="K263" s="179"/>
      <c r="L263" s="179"/>
      <c r="M263" s="179"/>
      <c r="N263" s="179"/>
      <c r="O263" s="179"/>
      <c r="P263" s="179"/>
      <c r="Q263" s="179"/>
      <c r="R263" s="179"/>
      <c r="S263" s="179"/>
    </row>
    <row r="264" ht="14.25" customHeight="1">
      <c r="A264" s="184"/>
      <c r="B264" s="184"/>
      <c r="C264" s="184" t="s">
        <v>1541</v>
      </c>
      <c r="D264" s="179" t="s">
        <v>937</v>
      </c>
      <c r="E264" s="185" t="s">
        <v>1448</v>
      </c>
      <c r="F264" s="9" t="s">
        <v>1883</v>
      </c>
      <c r="G264" s="179"/>
      <c r="H264" s="179"/>
      <c r="I264" s="179"/>
      <c r="J264" s="179"/>
      <c r="K264" s="179"/>
      <c r="L264" s="179"/>
      <c r="M264" s="179"/>
      <c r="N264" s="179"/>
      <c r="O264" s="179"/>
      <c r="P264" s="179"/>
      <c r="Q264" s="179"/>
      <c r="R264" s="179"/>
      <c r="S264" s="179"/>
    </row>
    <row r="265" ht="14.25" customHeight="1">
      <c r="A265" s="184"/>
      <c r="B265" s="184"/>
      <c r="C265" s="184" t="s">
        <v>1541</v>
      </c>
      <c r="D265" s="179" t="s">
        <v>937</v>
      </c>
      <c r="E265" s="185" t="s">
        <v>1448</v>
      </c>
      <c r="F265" s="9" t="s">
        <v>1886</v>
      </c>
      <c r="G265" s="179"/>
      <c r="H265" s="179"/>
      <c r="I265" s="179"/>
      <c r="J265" s="179"/>
      <c r="K265" s="179"/>
      <c r="L265" s="179"/>
      <c r="M265" s="179"/>
      <c r="N265" s="179"/>
      <c r="O265" s="179"/>
      <c r="P265" s="179"/>
      <c r="Q265" s="179"/>
      <c r="R265" s="179"/>
      <c r="S265" s="179"/>
    </row>
    <row r="266" ht="14.25" customHeight="1">
      <c r="A266" s="184"/>
      <c r="B266" s="184"/>
      <c r="C266" s="184" t="s">
        <v>1541</v>
      </c>
      <c r="D266" s="179" t="s">
        <v>937</v>
      </c>
      <c r="E266" s="185" t="s">
        <v>1448</v>
      </c>
      <c r="F266" s="9" t="s">
        <v>1888</v>
      </c>
      <c r="G266" s="179"/>
      <c r="H266" s="179"/>
      <c r="I266" s="179"/>
      <c r="J266" s="179"/>
      <c r="K266" s="179"/>
      <c r="L266" s="179"/>
      <c r="M266" s="179"/>
      <c r="N266" s="179"/>
      <c r="O266" s="179"/>
      <c r="P266" s="179"/>
      <c r="Q266" s="179"/>
      <c r="R266" s="179"/>
      <c r="S266" s="179"/>
    </row>
    <row r="267" ht="14.25" customHeight="1">
      <c r="A267" s="184"/>
      <c r="B267" s="184"/>
      <c r="C267" s="184" t="s">
        <v>1541</v>
      </c>
      <c r="D267" s="179" t="s">
        <v>937</v>
      </c>
      <c r="E267" s="185" t="s">
        <v>1448</v>
      </c>
      <c r="F267" s="9" t="s">
        <v>1891</v>
      </c>
      <c r="G267" s="179"/>
      <c r="H267" s="179"/>
      <c r="I267" s="179"/>
      <c r="J267" s="179"/>
      <c r="K267" s="179"/>
      <c r="L267" s="179"/>
      <c r="M267" s="179"/>
      <c r="N267" s="179"/>
      <c r="O267" s="179"/>
      <c r="P267" s="179"/>
      <c r="Q267" s="179"/>
      <c r="R267" s="179"/>
      <c r="S267" s="179"/>
    </row>
    <row r="268" ht="14.25" customHeight="1">
      <c r="A268" s="184"/>
      <c r="B268" s="184"/>
      <c r="C268" s="184" t="s">
        <v>1541</v>
      </c>
      <c r="D268" s="179" t="s">
        <v>937</v>
      </c>
      <c r="E268" s="185" t="s">
        <v>1448</v>
      </c>
      <c r="F268" s="9" t="s">
        <v>1893</v>
      </c>
      <c r="G268" s="179"/>
      <c r="H268" s="179"/>
      <c r="I268" s="179"/>
      <c r="J268" s="179"/>
      <c r="K268" s="179"/>
      <c r="L268" s="179"/>
      <c r="M268" s="179"/>
      <c r="N268" s="179"/>
      <c r="O268" s="179"/>
      <c r="P268" s="179"/>
      <c r="Q268" s="179"/>
      <c r="R268" s="179"/>
      <c r="S268" s="179"/>
    </row>
    <row r="269" ht="14.25" customHeight="1">
      <c r="A269" s="184"/>
      <c r="B269" s="184"/>
      <c r="C269" s="184" t="s">
        <v>1541</v>
      </c>
      <c r="D269" s="179" t="s">
        <v>937</v>
      </c>
      <c r="E269" s="185" t="s">
        <v>1448</v>
      </c>
      <c r="F269" s="9" t="s">
        <v>1896</v>
      </c>
      <c r="G269" s="179"/>
      <c r="H269" s="179"/>
      <c r="I269" s="179"/>
      <c r="J269" s="179"/>
      <c r="K269" s="179"/>
      <c r="L269" s="179"/>
      <c r="M269" s="179"/>
      <c r="N269" s="179"/>
      <c r="O269" s="179"/>
      <c r="P269" s="179"/>
      <c r="Q269" s="179"/>
      <c r="R269" s="179"/>
      <c r="S269" s="179"/>
    </row>
    <row r="270" ht="14.25" customHeight="1">
      <c r="A270" s="184"/>
      <c r="B270" s="184"/>
      <c r="C270" s="184" t="s">
        <v>1541</v>
      </c>
      <c r="D270" s="179" t="s">
        <v>937</v>
      </c>
      <c r="E270" s="185" t="s">
        <v>1448</v>
      </c>
      <c r="F270" s="9" t="s">
        <v>1898</v>
      </c>
      <c r="G270" s="179"/>
      <c r="H270" s="179"/>
      <c r="I270" s="179"/>
      <c r="J270" s="179"/>
      <c r="K270" s="179"/>
      <c r="L270" s="179"/>
      <c r="M270" s="179"/>
      <c r="N270" s="179"/>
      <c r="O270" s="179"/>
      <c r="P270" s="179"/>
      <c r="Q270" s="179"/>
      <c r="R270" s="179"/>
      <c r="S270" s="179"/>
    </row>
    <row r="271" ht="14.25" customHeight="1">
      <c r="A271" s="184"/>
      <c r="B271" s="184"/>
      <c r="C271" s="184" t="s">
        <v>1541</v>
      </c>
      <c r="D271" s="179" t="s">
        <v>937</v>
      </c>
      <c r="E271" s="185" t="s">
        <v>1448</v>
      </c>
      <c r="F271" s="9" t="s">
        <v>1900</v>
      </c>
      <c r="G271" s="179"/>
      <c r="H271" s="179"/>
      <c r="I271" s="179"/>
      <c r="J271" s="179"/>
      <c r="K271" s="179"/>
      <c r="L271" s="179"/>
      <c r="M271" s="179"/>
      <c r="N271" s="179"/>
      <c r="O271" s="179"/>
      <c r="P271" s="179"/>
      <c r="Q271" s="179"/>
      <c r="R271" s="179"/>
      <c r="S271" s="179"/>
    </row>
    <row r="272" ht="14.25" customHeight="1">
      <c r="A272" s="184"/>
      <c r="B272" s="184"/>
      <c r="C272" s="179" t="s">
        <v>1796</v>
      </c>
      <c r="D272" s="179" t="s">
        <v>716</v>
      </c>
      <c r="E272" s="179" t="s">
        <v>1798</v>
      </c>
      <c r="F272" s="179" t="s">
        <v>1903</v>
      </c>
      <c r="G272" s="179"/>
      <c r="H272" s="179"/>
      <c r="I272" s="179"/>
      <c r="J272" s="179"/>
      <c r="K272" s="179"/>
      <c r="L272" s="179"/>
      <c r="M272" s="179"/>
      <c r="N272" s="179"/>
      <c r="O272" s="179"/>
      <c r="P272" s="179"/>
      <c r="Q272" s="179"/>
      <c r="R272" s="179"/>
      <c r="S272" s="179"/>
    </row>
    <row r="273" ht="14.25" customHeight="1">
      <c r="A273" s="184"/>
      <c r="B273" s="184"/>
      <c r="C273" s="179" t="s">
        <v>1796</v>
      </c>
      <c r="D273" s="179" t="s">
        <v>716</v>
      </c>
      <c r="E273" s="179" t="s">
        <v>1798</v>
      </c>
      <c r="F273" s="179" t="s">
        <v>1905</v>
      </c>
      <c r="G273" s="179"/>
      <c r="H273" s="179"/>
      <c r="I273" s="179"/>
      <c r="J273" s="179"/>
      <c r="K273" s="179"/>
      <c r="L273" s="179"/>
      <c r="M273" s="179"/>
      <c r="N273" s="179"/>
      <c r="O273" s="179"/>
      <c r="P273" s="179"/>
      <c r="Q273" s="179"/>
      <c r="R273" s="179"/>
      <c r="S273" s="179"/>
    </row>
    <row r="274" ht="14.25" customHeight="1">
      <c r="A274" s="184"/>
      <c r="B274" s="184"/>
      <c r="C274" s="179" t="s">
        <v>1796</v>
      </c>
      <c r="D274" s="179" t="s">
        <v>716</v>
      </c>
      <c r="E274" s="179" t="s">
        <v>1798</v>
      </c>
      <c r="F274" s="179" t="s">
        <v>1907</v>
      </c>
      <c r="G274" s="179"/>
      <c r="H274" s="179"/>
      <c r="I274" s="179"/>
      <c r="J274" s="179"/>
      <c r="K274" s="179"/>
      <c r="L274" s="179"/>
      <c r="M274" s="179"/>
      <c r="N274" s="179"/>
      <c r="O274" s="179"/>
      <c r="P274" s="179"/>
      <c r="Q274" s="179"/>
      <c r="R274" s="179"/>
      <c r="S274" s="179"/>
    </row>
    <row r="275" ht="14.25" customHeight="1">
      <c r="A275" s="184"/>
      <c r="B275" s="184"/>
      <c r="C275" s="179" t="s">
        <v>1796</v>
      </c>
      <c r="D275" s="179" t="s">
        <v>716</v>
      </c>
      <c r="E275" s="179" t="s">
        <v>1798</v>
      </c>
      <c r="F275" s="179" t="s">
        <v>1910</v>
      </c>
      <c r="G275" s="179"/>
      <c r="H275" s="179"/>
      <c r="I275" s="179"/>
      <c r="J275" s="179"/>
      <c r="K275" s="179"/>
      <c r="L275" s="179"/>
      <c r="M275" s="179"/>
      <c r="N275" s="179"/>
      <c r="O275" s="179"/>
      <c r="P275" s="179"/>
      <c r="Q275" s="179"/>
      <c r="R275" s="179"/>
      <c r="S275" s="179"/>
    </row>
    <row r="276" ht="14.25" customHeight="1">
      <c r="A276" s="184"/>
      <c r="B276" s="184"/>
      <c r="C276" s="179" t="s">
        <v>1796</v>
      </c>
      <c r="D276" s="179" t="s">
        <v>716</v>
      </c>
      <c r="E276" s="179" t="s">
        <v>1798</v>
      </c>
      <c r="F276" s="179" t="s">
        <v>1912</v>
      </c>
      <c r="G276" s="179"/>
      <c r="H276" s="179"/>
      <c r="I276" s="179"/>
      <c r="J276" s="179"/>
      <c r="K276" s="179"/>
      <c r="L276" s="179"/>
      <c r="M276" s="179"/>
      <c r="N276" s="179"/>
      <c r="O276" s="179"/>
      <c r="P276" s="179"/>
      <c r="Q276" s="179"/>
      <c r="R276" s="179"/>
      <c r="S276" s="179"/>
    </row>
    <row r="277" ht="14.25" customHeight="1">
      <c r="A277" s="184"/>
      <c r="B277" s="184"/>
      <c r="C277" s="179" t="s">
        <v>1796</v>
      </c>
      <c r="D277" s="179" t="s">
        <v>716</v>
      </c>
      <c r="E277" s="179" t="s">
        <v>1798</v>
      </c>
      <c r="F277" s="179" t="s">
        <v>1915</v>
      </c>
      <c r="G277" s="179"/>
      <c r="H277" s="179"/>
      <c r="I277" s="179"/>
      <c r="J277" s="179"/>
      <c r="K277" s="179"/>
      <c r="L277" s="179"/>
      <c r="M277" s="179"/>
      <c r="N277" s="179"/>
      <c r="O277" s="179"/>
      <c r="P277" s="179"/>
      <c r="Q277" s="179"/>
      <c r="R277" s="179"/>
      <c r="S277" s="179"/>
    </row>
    <row r="278" ht="14.25" customHeight="1">
      <c r="A278" s="184"/>
      <c r="B278" s="184"/>
      <c r="C278" s="179" t="s">
        <v>1796</v>
      </c>
      <c r="D278" s="179" t="s">
        <v>716</v>
      </c>
      <c r="E278" s="179" t="s">
        <v>1798</v>
      </c>
      <c r="F278" s="179" t="s">
        <v>1918</v>
      </c>
      <c r="G278" s="179"/>
      <c r="H278" s="179"/>
      <c r="I278" s="179"/>
      <c r="J278" s="179"/>
      <c r="K278" s="179"/>
      <c r="L278" s="179"/>
      <c r="M278" s="179"/>
      <c r="N278" s="179"/>
      <c r="O278" s="179"/>
      <c r="P278" s="179"/>
      <c r="Q278" s="179"/>
      <c r="R278" s="179"/>
      <c r="S278" s="179"/>
    </row>
    <row r="279" ht="14.25" customHeight="1">
      <c r="A279" s="184"/>
      <c r="B279" s="184"/>
      <c r="C279" s="179" t="s">
        <v>1796</v>
      </c>
      <c r="D279" s="179" t="s">
        <v>716</v>
      </c>
      <c r="E279" s="179" t="s">
        <v>1798</v>
      </c>
      <c r="F279" s="179" t="s">
        <v>1923</v>
      </c>
      <c r="G279" s="179"/>
      <c r="H279" s="179"/>
      <c r="I279" s="179"/>
      <c r="J279" s="179"/>
      <c r="K279" s="179"/>
      <c r="L279" s="179"/>
      <c r="M279" s="179"/>
      <c r="N279" s="179"/>
      <c r="O279" s="179"/>
      <c r="P279" s="179"/>
      <c r="Q279" s="179"/>
      <c r="R279" s="179"/>
      <c r="S279" s="179"/>
    </row>
    <row r="280" ht="14.25" customHeight="1">
      <c r="A280" s="184"/>
      <c r="B280" s="184"/>
      <c r="C280" s="179" t="s">
        <v>1796</v>
      </c>
      <c r="D280" s="179" t="s">
        <v>716</v>
      </c>
      <c r="E280" s="179" t="s">
        <v>1798</v>
      </c>
      <c r="F280" s="179" t="s">
        <v>1925</v>
      </c>
      <c r="G280" s="179"/>
      <c r="H280" s="179"/>
      <c r="I280" s="179"/>
      <c r="J280" s="179"/>
      <c r="K280" s="179"/>
      <c r="L280" s="179"/>
      <c r="M280" s="179"/>
      <c r="N280" s="179"/>
      <c r="O280" s="179"/>
      <c r="P280" s="179"/>
      <c r="Q280" s="179"/>
      <c r="R280" s="179"/>
      <c r="S280" s="179"/>
    </row>
    <row r="281" ht="14.25" customHeight="1">
      <c r="A281" s="184"/>
      <c r="B281" s="184"/>
      <c r="C281" s="179" t="s">
        <v>1796</v>
      </c>
      <c r="D281" s="179" t="s">
        <v>1197</v>
      </c>
      <c r="E281" s="179" t="s">
        <v>1798</v>
      </c>
      <c r="F281" s="179" t="s">
        <v>1929</v>
      </c>
      <c r="G281" s="179"/>
      <c r="H281" s="179"/>
      <c r="I281" s="179"/>
      <c r="J281" s="179"/>
      <c r="K281" s="179"/>
      <c r="L281" s="179"/>
      <c r="M281" s="179"/>
      <c r="N281" s="179"/>
      <c r="O281" s="179"/>
      <c r="P281" s="179"/>
      <c r="Q281" s="179"/>
      <c r="R281" s="179"/>
      <c r="S281" s="179"/>
    </row>
    <row r="282" ht="14.25" customHeight="1">
      <c r="A282" s="184"/>
      <c r="B282" s="184"/>
      <c r="C282" s="179" t="s">
        <v>1796</v>
      </c>
      <c r="D282" s="179" t="s">
        <v>1197</v>
      </c>
      <c r="E282" s="179" t="s">
        <v>1798</v>
      </c>
      <c r="F282" s="179" t="s">
        <v>1932</v>
      </c>
      <c r="G282" s="179"/>
      <c r="H282" s="179"/>
      <c r="I282" s="179"/>
      <c r="J282" s="179"/>
      <c r="K282" s="179"/>
      <c r="L282" s="179"/>
      <c r="M282" s="179"/>
      <c r="N282" s="179"/>
      <c r="O282" s="179"/>
      <c r="P282" s="179"/>
      <c r="Q282" s="179"/>
      <c r="R282" s="179"/>
      <c r="S282" s="179"/>
    </row>
    <row r="283" ht="14.25" customHeight="1">
      <c r="A283" s="184"/>
      <c r="B283" s="184"/>
      <c r="C283" s="179" t="s">
        <v>1796</v>
      </c>
      <c r="D283" s="179" t="s">
        <v>1197</v>
      </c>
      <c r="E283" s="179" t="s">
        <v>1798</v>
      </c>
      <c r="F283" s="179" t="s">
        <v>1935</v>
      </c>
      <c r="G283" s="179"/>
      <c r="H283" s="179"/>
      <c r="I283" s="179"/>
      <c r="J283" s="179"/>
      <c r="K283" s="179"/>
      <c r="L283" s="179"/>
      <c r="M283" s="179"/>
      <c r="N283" s="179"/>
      <c r="O283" s="179"/>
      <c r="P283" s="179"/>
      <c r="Q283" s="179"/>
      <c r="R283" s="179"/>
      <c r="S283" s="179"/>
    </row>
    <row r="284" ht="14.25" customHeight="1">
      <c r="A284" s="184"/>
      <c r="B284" s="184"/>
      <c r="C284" s="179" t="s">
        <v>1796</v>
      </c>
      <c r="D284" s="179" t="s">
        <v>1197</v>
      </c>
      <c r="E284" s="179" t="s">
        <v>1798</v>
      </c>
      <c r="F284" s="179" t="s">
        <v>1937</v>
      </c>
      <c r="G284" s="179"/>
      <c r="H284" s="179"/>
      <c r="I284" s="179"/>
      <c r="J284" s="179"/>
      <c r="K284" s="179"/>
      <c r="L284" s="179"/>
      <c r="M284" s="179"/>
      <c r="N284" s="179"/>
      <c r="O284" s="179"/>
      <c r="P284" s="179"/>
      <c r="Q284" s="179"/>
      <c r="R284" s="179"/>
      <c r="S284" s="179"/>
    </row>
    <row r="285" ht="14.25" customHeight="1">
      <c r="A285" s="184"/>
      <c r="B285" s="184"/>
      <c r="C285" s="179" t="s">
        <v>1796</v>
      </c>
      <c r="D285" s="179" t="s">
        <v>1197</v>
      </c>
      <c r="E285" s="179" t="s">
        <v>1798</v>
      </c>
      <c r="F285" s="179" t="s">
        <v>1940</v>
      </c>
      <c r="G285" s="179"/>
      <c r="H285" s="179"/>
      <c r="I285" s="179"/>
      <c r="J285" s="179"/>
      <c r="K285" s="179"/>
      <c r="L285" s="179"/>
      <c r="M285" s="179"/>
      <c r="N285" s="179"/>
      <c r="O285" s="179"/>
      <c r="P285" s="179"/>
      <c r="Q285" s="179"/>
      <c r="R285" s="179"/>
      <c r="S285" s="179"/>
    </row>
    <row r="286" ht="14.25" customHeight="1">
      <c r="A286" s="184"/>
      <c r="B286" s="184"/>
      <c r="C286" s="179" t="s">
        <v>1796</v>
      </c>
      <c r="D286" s="179" t="s">
        <v>1197</v>
      </c>
      <c r="E286" s="179" t="s">
        <v>1798</v>
      </c>
      <c r="F286" s="179" t="s">
        <v>1944</v>
      </c>
      <c r="G286" s="179"/>
      <c r="H286" s="179"/>
      <c r="I286" s="179"/>
      <c r="J286" s="179"/>
      <c r="K286" s="179"/>
      <c r="L286" s="179"/>
      <c r="M286" s="179"/>
      <c r="N286" s="179"/>
      <c r="O286" s="179"/>
      <c r="P286" s="179"/>
      <c r="Q286" s="179"/>
      <c r="R286" s="179"/>
      <c r="S286" s="179"/>
    </row>
    <row r="287" ht="14.25" customHeight="1">
      <c r="A287" s="184"/>
      <c r="B287" s="184"/>
      <c r="C287" s="179" t="s">
        <v>1946</v>
      </c>
      <c r="D287" s="184" t="s">
        <v>1947</v>
      </c>
      <c r="E287" s="184" t="s">
        <v>1818</v>
      </c>
      <c r="F287" s="184" t="s">
        <v>1922</v>
      </c>
      <c r="G287" s="179"/>
      <c r="H287" s="179"/>
      <c r="I287" s="179"/>
      <c r="J287" s="179"/>
      <c r="K287" s="179"/>
      <c r="L287" s="179"/>
      <c r="M287" s="179"/>
      <c r="N287" s="179"/>
      <c r="O287" s="179"/>
      <c r="P287" s="179"/>
      <c r="Q287" s="179"/>
      <c r="R287" s="179"/>
      <c r="S287" s="179"/>
    </row>
    <row r="288" ht="14.25" customHeight="1">
      <c r="A288" s="184"/>
      <c r="B288" s="184"/>
      <c r="C288" s="179" t="s">
        <v>1946</v>
      </c>
      <c r="D288" s="184" t="s">
        <v>1947</v>
      </c>
      <c r="E288" s="184" t="s">
        <v>1818</v>
      </c>
      <c r="F288" s="184" t="s">
        <v>1924</v>
      </c>
      <c r="G288" s="179"/>
      <c r="H288" s="179"/>
      <c r="I288" s="179"/>
      <c r="J288" s="179"/>
      <c r="K288" s="179"/>
      <c r="L288" s="179"/>
      <c r="M288" s="179"/>
      <c r="N288" s="179"/>
      <c r="O288" s="179"/>
      <c r="P288" s="179"/>
      <c r="Q288" s="179"/>
      <c r="R288" s="179"/>
      <c r="S288" s="179"/>
    </row>
    <row r="289" ht="14.25" customHeight="1">
      <c r="A289" s="184"/>
      <c r="B289" s="184"/>
      <c r="C289" s="179" t="s">
        <v>1946</v>
      </c>
      <c r="D289" s="184" t="s">
        <v>1947</v>
      </c>
      <c r="E289" s="184" t="s">
        <v>1818</v>
      </c>
      <c r="F289" s="184" t="s">
        <v>1926</v>
      </c>
      <c r="G289" s="179"/>
      <c r="H289" s="179"/>
      <c r="I289" s="179"/>
      <c r="J289" s="179"/>
      <c r="K289" s="179"/>
      <c r="L289" s="179"/>
      <c r="M289" s="179"/>
      <c r="N289" s="179"/>
      <c r="O289" s="179"/>
      <c r="P289" s="179"/>
      <c r="Q289" s="179"/>
      <c r="R289" s="179"/>
      <c r="S289" s="179"/>
    </row>
    <row r="290" ht="14.25" customHeight="1">
      <c r="A290" s="184"/>
      <c r="B290" s="184"/>
      <c r="C290" s="179" t="s">
        <v>1946</v>
      </c>
      <c r="D290" s="184" t="s">
        <v>1947</v>
      </c>
      <c r="E290" s="184" t="s">
        <v>1818</v>
      </c>
      <c r="F290" s="184" t="s">
        <v>1927</v>
      </c>
      <c r="G290" s="179"/>
      <c r="H290" s="179"/>
      <c r="I290" s="179"/>
      <c r="J290" s="179"/>
      <c r="K290" s="179"/>
      <c r="L290" s="179"/>
      <c r="M290" s="179"/>
      <c r="N290" s="179"/>
      <c r="O290" s="179"/>
      <c r="P290" s="179"/>
      <c r="Q290" s="179"/>
      <c r="R290" s="179"/>
      <c r="S290" s="179"/>
    </row>
    <row r="291" ht="14.25" customHeight="1">
      <c r="A291" s="184"/>
      <c r="B291" s="184"/>
      <c r="C291" s="179" t="s">
        <v>1946</v>
      </c>
      <c r="D291" s="184" t="s">
        <v>1947</v>
      </c>
      <c r="E291" s="184" t="s">
        <v>1818</v>
      </c>
      <c r="F291" s="184" t="s">
        <v>1928</v>
      </c>
      <c r="G291" s="179"/>
      <c r="H291" s="179"/>
      <c r="I291" s="179"/>
      <c r="J291" s="179"/>
      <c r="K291" s="179"/>
      <c r="L291" s="179"/>
      <c r="M291" s="179"/>
      <c r="N291" s="179"/>
      <c r="O291" s="179"/>
      <c r="P291" s="179"/>
      <c r="Q291" s="179"/>
      <c r="R291" s="179"/>
      <c r="S291" s="179"/>
    </row>
    <row r="292" ht="14.25" customHeight="1">
      <c r="A292" s="184"/>
      <c r="B292" s="184"/>
      <c r="C292" s="179" t="s">
        <v>1946</v>
      </c>
      <c r="D292" s="184" t="s">
        <v>1958</v>
      </c>
      <c r="E292" s="184" t="s">
        <v>1818</v>
      </c>
      <c r="F292" s="184" t="s">
        <v>1960</v>
      </c>
      <c r="G292" s="179"/>
      <c r="H292" s="179"/>
      <c r="I292" s="179"/>
      <c r="J292" s="179"/>
      <c r="K292" s="179"/>
      <c r="L292" s="179"/>
      <c r="M292" s="179"/>
      <c r="N292" s="179"/>
      <c r="O292" s="179"/>
      <c r="P292" s="179"/>
      <c r="Q292" s="179"/>
      <c r="R292" s="179"/>
      <c r="S292" s="179"/>
    </row>
    <row r="293" ht="14.25" customHeight="1">
      <c r="A293" s="184"/>
      <c r="B293" s="184"/>
      <c r="C293" s="179" t="s">
        <v>1946</v>
      </c>
      <c r="D293" s="184" t="s">
        <v>1958</v>
      </c>
      <c r="E293" s="184" t="s">
        <v>1818</v>
      </c>
      <c r="F293" s="184" t="s">
        <v>1962</v>
      </c>
      <c r="G293" s="179"/>
      <c r="H293" s="179"/>
      <c r="I293" s="179"/>
      <c r="J293" s="179"/>
      <c r="K293" s="179"/>
      <c r="L293" s="179"/>
      <c r="M293" s="179"/>
      <c r="N293" s="179"/>
      <c r="O293" s="179"/>
      <c r="P293" s="179"/>
      <c r="Q293" s="179"/>
      <c r="R293" s="179"/>
      <c r="S293" s="179"/>
    </row>
    <row r="294" ht="14.25" customHeight="1">
      <c r="A294" s="184"/>
      <c r="B294" s="184"/>
      <c r="C294" s="179" t="s">
        <v>1946</v>
      </c>
      <c r="D294" s="184" t="s">
        <v>1958</v>
      </c>
      <c r="E294" s="184" t="s">
        <v>1818</v>
      </c>
      <c r="F294" s="184" t="s">
        <v>1964</v>
      </c>
      <c r="G294" s="179"/>
      <c r="H294" s="179"/>
      <c r="I294" s="179"/>
      <c r="J294" s="179"/>
      <c r="K294" s="179"/>
      <c r="L294" s="179"/>
      <c r="M294" s="179"/>
      <c r="N294" s="179"/>
      <c r="O294" s="179"/>
      <c r="P294" s="179"/>
      <c r="Q294" s="179"/>
      <c r="R294" s="179"/>
      <c r="S294" s="179"/>
    </row>
    <row r="295" ht="14.25" customHeight="1">
      <c r="A295" s="184"/>
      <c r="B295" s="184"/>
      <c r="C295" s="179" t="s">
        <v>1946</v>
      </c>
      <c r="D295" s="184" t="s">
        <v>1958</v>
      </c>
      <c r="E295" s="184" t="s">
        <v>1818</v>
      </c>
      <c r="F295" s="184" t="s">
        <v>1965</v>
      </c>
      <c r="G295" s="179"/>
      <c r="H295" s="179"/>
      <c r="I295" s="179"/>
      <c r="J295" s="179"/>
      <c r="K295" s="179"/>
      <c r="L295" s="179"/>
      <c r="M295" s="179"/>
      <c r="N295" s="179"/>
      <c r="O295" s="179"/>
      <c r="P295" s="179"/>
      <c r="Q295" s="179"/>
      <c r="R295" s="179"/>
      <c r="S295" s="179"/>
    </row>
    <row r="296" ht="14.25" customHeight="1">
      <c r="A296" s="184"/>
      <c r="B296" s="184"/>
      <c r="C296" s="179" t="s">
        <v>1946</v>
      </c>
      <c r="D296" s="184" t="s">
        <v>1958</v>
      </c>
      <c r="E296" s="184" t="s">
        <v>1818</v>
      </c>
      <c r="F296" s="184" t="s">
        <v>1969</v>
      </c>
      <c r="G296" s="179"/>
      <c r="H296" s="179"/>
      <c r="I296" s="179"/>
      <c r="J296" s="179"/>
      <c r="K296" s="179"/>
      <c r="L296" s="179"/>
      <c r="M296" s="179"/>
      <c r="N296" s="179"/>
      <c r="O296" s="179"/>
      <c r="P296" s="179"/>
      <c r="Q296" s="179"/>
      <c r="R296" s="179"/>
      <c r="S296" s="179"/>
    </row>
    <row r="297" ht="14.25" customHeight="1">
      <c r="A297" s="184"/>
      <c r="B297" s="184"/>
      <c r="C297" s="179" t="s">
        <v>1946</v>
      </c>
      <c r="D297" s="184" t="s">
        <v>1958</v>
      </c>
      <c r="E297" s="184" t="s">
        <v>1818</v>
      </c>
      <c r="F297" s="184" t="s">
        <v>1973</v>
      </c>
      <c r="G297" s="179"/>
      <c r="H297" s="179"/>
      <c r="I297" s="179"/>
      <c r="J297" s="179"/>
      <c r="K297" s="179"/>
      <c r="L297" s="179"/>
      <c r="M297" s="179"/>
      <c r="N297" s="179"/>
      <c r="O297" s="179"/>
      <c r="P297" s="179"/>
      <c r="Q297" s="179"/>
      <c r="R297" s="179"/>
      <c r="S297" s="179"/>
    </row>
    <row r="298" ht="14.25" customHeight="1">
      <c r="A298" s="184"/>
      <c r="B298" s="184"/>
      <c r="C298" s="179" t="s">
        <v>1946</v>
      </c>
      <c r="D298" s="184" t="s">
        <v>1958</v>
      </c>
      <c r="E298" s="184" t="s">
        <v>1818</v>
      </c>
      <c r="F298" s="184" t="s">
        <v>1974</v>
      </c>
      <c r="G298" s="179"/>
      <c r="H298" s="179"/>
      <c r="I298" s="179"/>
      <c r="J298" s="179"/>
      <c r="K298" s="179"/>
      <c r="L298" s="179"/>
      <c r="M298" s="179"/>
      <c r="N298" s="179"/>
      <c r="O298" s="179"/>
      <c r="P298" s="179"/>
      <c r="Q298" s="179"/>
      <c r="R298" s="179"/>
      <c r="S298" s="179"/>
    </row>
    <row r="299" ht="14.25" customHeight="1">
      <c r="A299" s="184"/>
      <c r="B299" s="184"/>
      <c r="C299" s="179" t="s">
        <v>1946</v>
      </c>
      <c r="D299" s="184" t="s">
        <v>1958</v>
      </c>
      <c r="E299" s="184" t="s">
        <v>1818</v>
      </c>
      <c r="F299" s="184" t="s">
        <v>1975</v>
      </c>
      <c r="G299" s="179"/>
      <c r="H299" s="179"/>
      <c r="I299" s="179"/>
      <c r="J299" s="179"/>
      <c r="K299" s="179"/>
      <c r="L299" s="179"/>
      <c r="M299" s="179"/>
      <c r="N299" s="179"/>
      <c r="O299" s="179"/>
      <c r="P299" s="179"/>
      <c r="Q299" s="179"/>
      <c r="R299" s="179"/>
      <c r="S299" s="179"/>
    </row>
    <row r="300" ht="14.25" customHeight="1">
      <c r="A300" s="184"/>
      <c r="B300" s="184"/>
      <c r="C300" s="179" t="s">
        <v>1946</v>
      </c>
      <c r="D300" s="184" t="s">
        <v>1958</v>
      </c>
      <c r="E300" s="184" t="s">
        <v>1818</v>
      </c>
      <c r="F300" s="184" t="s">
        <v>1976</v>
      </c>
      <c r="G300" s="179"/>
      <c r="H300" s="179"/>
      <c r="I300" s="179"/>
      <c r="J300" s="179"/>
      <c r="K300" s="179"/>
      <c r="L300" s="179"/>
      <c r="M300" s="179"/>
      <c r="N300" s="179"/>
      <c r="O300" s="179"/>
      <c r="P300" s="179"/>
      <c r="Q300" s="179"/>
      <c r="R300" s="179"/>
      <c r="S300" s="179"/>
    </row>
    <row r="301" ht="14.25" customHeight="1">
      <c r="A301" s="184"/>
      <c r="B301" s="184"/>
      <c r="C301" s="179" t="s">
        <v>1946</v>
      </c>
      <c r="D301" s="184" t="s">
        <v>1980</v>
      </c>
      <c r="E301" s="184" t="s">
        <v>1818</v>
      </c>
      <c r="F301" s="184" t="s">
        <v>1982</v>
      </c>
      <c r="G301" s="179"/>
      <c r="H301" s="179"/>
      <c r="I301" s="179"/>
      <c r="J301" s="179"/>
      <c r="K301" s="179"/>
      <c r="L301" s="179"/>
      <c r="M301" s="179"/>
      <c r="N301" s="179"/>
      <c r="O301" s="179"/>
      <c r="P301" s="179"/>
      <c r="Q301" s="179"/>
      <c r="R301" s="179"/>
      <c r="S301" s="179"/>
    </row>
    <row r="302" ht="14.25" customHeight="1">
      <c r="A302" s="184"/>
      <c r="B302" s="184"/>
      <c r="C302" s="179" t="s">
        <v>1946</v>
      </c>
      <c r="D302" s="184" t="s">
        <v>1980</v>
      </c>
      <c r="E302" s="184" t="s">
        <v>1818</v>
      </c>
      <c r="F302" s="184" t="s">
        <v>1962</v>
      </c>
      <c r="G302" s="179"/>
      <c r="H302" s="179"/>
      <c r="I302" s="179"/>
      <c r="J302" s="179"/>
      <c r="K302" s="179"/>
      <c r="L302" s="179"/>
      <c r="M302" s="179"/>
      <c r="N302" s="179"/>
      <c r="O302" s="179"/>
      <c r="P302" s="179"/>
      <c r="Q302" s="179"/>
      <c r="R302" s="179"/>
      <c r="S302" s="179"/>
    </row>
    <row r="303" ht="14.25" customHeight="1">
      <c r="A303" s="184"/>
      <c r="B303" s="184"/>
      <c r="C303" s="179" t="s">
        <v>1946</v>
      </c>
      <c r="D303" s="184" t="s">
        <v>1980</v>
      </c>
      <c r="E303" s="184" t="s">
        <v>1818</v>
      </c>
      <c r="F303" s="184" t="s">
        <v>1987</v>
      </c>
      <c r="G303" s="179"/>
      <c r="H303" s="179"/>
      <c r="I303" s="179"/>
      <c r="J303" s="179"/>
      <c r="K303" s="179"/>
      <c r="L303" s="179"/>
      <c r="M303" s="179"/>
      <c r="N303" s="179"/>
      <c r="O303" s="179"/>
      <c r="P303" s="179"/>
      <c r="Q303" s="179"/>
      <c r="R303" s="179"/>
      <c r="S303" s="179"/>
    </row>
    <row r="304" ht="14.25" customHeight="1">
      <c r="A304" s="184"/>
      <c r="B304" s="184"/>
      <c r="C304" s="179" t="s">
        <v>1946</v>
      </c>
      <c r="D304" s="184" t="s">
        <v>1980</v>
      </c>
      <c r="E304" s="184" t="s">
        <v>1818</v>
      </c>
      <c r="F304" s="184" t="s">
        <v>1990</v>
      </c>
      <c r="G304" s="179"/>
      <c r="H304" s="179"/>
      <c r="I304" s="179"/>
      <c r="J304" s="179"/>
      <c r="K304" s="179"/>
      <c r="L304" s="179"/>
      <c r="M304" s="179"/>
      <c r="N304" s="179"/>
      <c r="O304" s="179"/>
      <c r="P304" s="179"/>
      <c r="Q304" s="179"/>
      <c r="R304" s="179"/>
      <c r="S304" s="179"/>
    </row>
    <row r="305" ht="14.25" customHeight="1">
      <c r="A305" s="184"/>
      <c r="B305" s="184"/>
      <c r="C305" s="179" t="s">
        <v>1946</v>
      </c>
      <c r="D305" s="184" t="s">
        <v>1980</v>
      </c>
      <c r="E305" s="184" t="s">
        <v>1818</v>
      </c>
      <c r="F305" s="184" t="s">
        <v>1991</v>
      </c>
      <c r="G305" s="179"/>
      <c r="H305" s="179"/>
      <c r="I305" s="179"/>
      <c r="J305" s="179"/>
      <c r="K305" s="179"/>
      <c r="L305" s="179"/>
      <c r="M305" s="179"/>
      <c r="N305" s="179"/>
      <c r="O305" s="179"/>
      <c r="P305" s="179"/>
      <c r="Q305" s="179"/>
      <c r="R305" s="179"/>
      <c r="S305" s="179"/>
    </row>
    <row r="306" ht="14.25" customHeight="1">
      <c r="A306" s="184"/>
      <c r="B306" s="184"/>
      <c r="C306" s="179" t="s">
        <v>1946</v>
      </c>
      <c r="D306" s="184" t="s">
        <v>1980</v>
      </c>
      <c r="E306" s="184" t="s">
        <v>1818</v>
      </c>
      <c r="F306" s="184" t="s">
        <v>1995</v>
      </c>
      <c r="G306" s="179"/>
      <c r="H306" s="179"/>
      <c r="I306" s="179"/>
      <c r="J306" s="179"/>
      <c r="K306" s="179"/>
      <c r="L306" s="179"/>
      <c r="M306" s="179"/>
      <c r="N306" s="179"/>
      <c r="O306" s="179"/>
      <c r="P306" s="179"/>
      <c r="Q306" s="179"/>
      <c r="R306" s="179"/>
      <c r="S306" s="179"/>
    </row>
    <row r="307" ht="14.25" customHeight="1">
      <c r="A307" s="184"/>
      <c r="B307" s="184"/>
      <c r="C307" s="179" t="s">
        <v>1946</v>
      </c>
      <c r="D307" s="184" t="s">
        <v>1980</v>
      </c>
      <c r="E307" s="184" t="s">
        <v>1818</v>
      </c>
      <c r="F307" s="184" t="s">
        <v>1974</v>
      </c>
      <c r="G307" s="179"/>
      <c r="H307" s="179"/>
      <c r="I307" s="179"/>
      <c r="J307" s="179"/>
      <c r="K307" s="179"/>
      <c r="L307" s="179"/>
      <c r="M307" s="179"/>
      <c r="N307" s="179"/>
      <c r="O307" s="179"/>
      <c r="P307" s="179"/>
      <c r="Q307" s="179"/>
      <c r="R307" s="179"/>
      <c r="S307" s="179"/>
    </row>
    <row r="308" ht="14.25" customHeight="1">
      <c r="A308" s="184"/>
      <c r="B308" s="184"/>
      <c r="C308" s="179" t="s">
        <v>1946</v>
      </c>
      <c r="D308" s="184" t="s">
        <v>1980</v>
      </c>
      <c r="E308" s="184" t="s">
        <v>1818</v>
      </c>
      <c r="F308" s="184" t="s">
        <v>2000</v>
      </c>
      <c r="G308" s="179"/>
      <c r="H308" s="179"/>
      <c r="I308" s="179"/>
      <c r="J308" s="179"/>
      <c r="K308" s="179"/>
      <c r="L308" s="179"/>
      <c r="M308" s="179"/>
      <c r="N308" s="179"/>
      <c r="O308" s="179"/>
      <c r="P308" s="179"/>
      <c r="Q308" s="179"/>
      <c r="R308" s="179"/>
      <c r="S308" s="179"/>
    </row>
    <row r="309" ht="14.25" customHeight="1">
      <c r="A309" s="184"/>
      <c r="B309" s="184"/>
      <c r="C309" s="179" t="s">
        <v>1946</v>
      </c>
      <c r="D309" s="184" t="s">
        <v>1980</v>
      </c>
      <c r="E309" s="184" t="s">
        <v>1818</v>
      </c>
      <c r="F309" s="184" t="s">
        <v>2004</v>
      </c>
      <c r="G309" s="179"/>
      <c r="H309" s="179"/>
      <c r="I309" s="179"/>
      <c r="J309" s="179"/>
      <c r="K309" s="179"/>
      <c r="L309" s="179"/>
      <c r="M309" s="179"/>
      <c r="N309" s="179"/>
      <c r="O309" s="179"/>
      <c r="P309" s="179"/>
      <c r="Q309" s="179"/>
      <c r="R309" s="179"/>
      <c r="S309" s="179"/>
    </row>
    <row r="310" ht="14.25" customHeight="1">
      <c r="A310" s="184"/>
      <c r="B310" s="184"/>
      <c r="C310" s="179" t="s">
        <v>1946</v>
      </c>
      <c r="D310" s="184" t="s">
        <v>1980</v>
      </c>
      <c r="E310" s="184" t="s">
        <v>1818</v>
      </c>
      <c r="F310" s="184" t="s">
        <v>2006</v>
      </c>
      <c r="G310" s="179"/>
      <c r="H310" s="179"/>
      <c r="I310" s="179"/>
      <c r="J310" s="179"/>
      <c r="K310" s="179"/>
      <c r="L310" s="179"/>
      <c r="M310" s="179"/>
      <c r="N310" s="179"/>
      <c r="O310" s="179"/>
      <c r="P310" s="179"/>
      <c r="Q310" s="179"/>
      <c r="R310" s="179"/>
      <c r="S310" s="179"/>
    </row>
    <row r="311" ht="14.25" customHeight="1">
      <c r="A311" s="184"/>
      <c r="B311" s="184"/>
      <c r="C311" s="179" t="s">
        <v>1946</v>
      </c>
      <c r="D311" s="184" t="s">
        <v>1980</v>
      </c>
      <c r="E311" s="184" t="s">
        <v>1818</v>
      </c>
      <c r="F311" s="184" t="s">
        <v>2008</v>
      </c>
      <c r="G311" s="179"/>
      <c r="H311" s="179"/>
      <c r="I311" s="179"/>
      <c r="J311" s="179"/>
      <c r="K311" s="179"/>
      <c r="L311" s="179"/>
      <c r="M311" s="179"/>
      <c r="N311" s="179"/>
      <c r="O311" s="179"/>
      <c r="P311" s="179"/>
      <c r="Q311" s="179"/>
      <c r="R311" s="179"/>
      <c r="S311" s="179"/>
    </row>
    <row r="312" ht="14.25" customHeight="1">
      <c r="A312" s="184"/>
      <c r="B312" s="184"/>
      <c r="C312" s="179" t="s">
        <v>1946</v>
      </c>
      <c r="D312" s="184" t="s">
        <v>1980</v>
      </c>
      <c r="E312" s="184" t="s">
        <v>1818</v>
      </c>
      <c r="F312" s="184" t="s">
        <v>2011</v>
      </c>
      <c r="G312" s="179"/>
      <c r="H312" s="179"/>
      <c r="I312" s="179"/>
      <c r="J312" s="179"/>
      <c r="K312" s="179"/>
      <c r="L312" s="179"/>
      <c r="M312" s="179"/>
      <c r="N312" s="179"/>
      <c r="O312" s="179"/>
      <c r="P312" s="179"/>
      <c r="Q312" s="179"/>
      <c r="R312" s="179"/>
      <c r="S312" s="179"/>
    </row>
    <row r="313" ht="14.25" customHeight="1">
      <c r="A313" s="184"/>
      <c r="B313" s="184"/>
      <c r="C313" s="179" t="s">
        <v>1946</v>
      </c>
      <c r="D313" s="184" t="s">
        <v>2014</v>
      </c>
      <c r="E313" s="184" t="s">
        <v>1818</v>
      </c>
      <c r="F313" s="184" t="s">
        <v>2015</v>
      </c>
      <c r="G313" s="179"/>
      <c r="H313" s="179"/>
      <c r="I313" s="179"/>
      <c r="J313" s="179"/>
      <c r="K313" s="179"/>
      <c r="L313" s="179"/>
      <c r="M313" s="179"/>
      <c r="N313" s="179"/>
      <c r="O313" s="179"/>
      <c r="P313" s="179"/>
      <c r="Q313" s="179"/>
      <c r="R313" s="179"/>
      <c r="S313" s="179"/>
    </row>
    <row r="314" ht="14.25" customHeight="1">
      <c r="A314" s="184"/>
      <c r="B314" s="184"/>
      <c r="C314" s="179" t="s">
        <v>1946</v>
      </c>
      <c r="D314" s="184" t="s">
        <v>2014</v>
      </c>
      <c r="E314" s="184" t="s">
        <v>1818</v>
      </c>
      <c r="F314" s="184" t="s">
        <v>2019</v>
      </c>
      <c r="G314" s="179"/>
      <c r="H314" s="179"/>
      <c r="I314" s="179"/>
      <c r="J314" s="179"/>
      <c r="K314" s="179"/>
      <c r="L314" s="179"/>
      <c r="M314" s="179"/>
      <c r="N314" s="179"/>
      <c r="O314" s="179"/>
      <c r="P314" s="179"/>
      <c r="Q314" s="179"/>
      <c r="R314" s="179"/>
      <c r="S314" s="179"/>
    </row>
    <row r="315" ht="14.25" customHeight="1">
      <c r="A315" s="184"/>
      <c r="B315" s="184"/>
      <c r="C315" s="179" t="s">
        <v>1946</v>
      </c>
      <c r="D315" s="184" t="s">
        <v>2014</v>
      </c>
      <c r="E315" s="184" t="s">
        <v>1818</v>
      </c>
      <c r="F315" s="184" t="s">
        <v>2022</v>
      </c>
      <c r="G315" s="179"/>
      <c r="H315" s="179"/>
      <c r="I315" s="179"/>
      <c r="J315" s="179"/>
      <c r="K315" s="179"/>
      <c r="L315" s="179"/>
      <c r="M315" s="179"/>
      <c r="N315" s="179"/>
      <c r="O315" s="179"/>
      <c r="P315" s="179"/>
      <c r="Q315" s="179"/>
      <c r="R315" s="179"/>
      <c r="S315" s="179"/>
    </row>
    <row r="316" ht="14.25" customHeight="1">
      <c r="A316" s="184"/>
      <c r="B316" s="184"/>
      <c r="C316" s="179" t="s">
        <v>1946</v>
      </c>
      <c r="D316" s="184" t="s">
        <v>2014</v>
      </c>
      <c r="E316" s="184" t="s">
        <v>1818</v>
      </c>
      <c r="F316" s="184" t="s">
        <v>2025</v>
      </c>
      <c r="G316" s="179"/>
      <c r="H316" s="179"/>
      <c r="I316" s="179"/>
      <c r="J316" s="179"/>
      <c r="K316" s="179"/>
      <c r="L316" s="179"/>
      <c r="M316" s="179"/>
      <c r="N316" s="179"/>
      <c r="O316" s="179"/>
      <c r="P316" s="179"/>
      <c r="Q316" s="179"/>
      <c r="R316" s="179"/>
      <c r="S316" s="179"/>
    </row>
    <row r="317" ht="14.25" customHeight="1">
      <c r="A317" s="184"/>
      <c r="B317" s="184"/>
      <c r="C317" s="179" t="s">
        <v>1946</v>
      </c>
      <c r="D317" s="184" t="s">
        <v>1047</v>
      </c>
      <c r="E317" s="184" t="s">
        <v>1818</v>
      </c>
      <c r="F317" s="184" t="s">
        <v>2027</v>
      </c>
      <c r="G317" s="179"/>
      <c r="H317" s="179"/>
      <c r="I317" s="179"/>
      <c r="J317" s="179"/>
      <c r="K317" s="179"/>
      <c r="L317" s="179"/>
      <c r="M317" s="179"/>
      <c r="N317" s="179"/>
      <c r="O317" s="179"/>
      <c r="P317" s="179"/>
      <c r="Q317" s="179"/>
      <c r="R317" s="179"/>
      <c r="S317" s="179"/>
    </row>
    <row r="318" ht="14.25" customHeight="1">
      <c r="A318" s="184"/>
      <c r="B318" s="184"/>
      <c r="C318" s="179" t="s">
        <v>1946</v>
      </c>
      <c r="D318" s="184" t="s">
        <v>1047</v>
      </c>
      <c r="E318" s="184" t="s">
        <v>1818</v>
      </c>
      <c r="F318" s="184" t="s">
        <v>2029</v>
      </c>
      <c r="G318" s="179"/>
      <c r="H318" s="179"/>
      <c r="I318" s="179"/>
      <c r="J318" s="179"/>
      <c r="K318" s="179"/>
      <c r="L318" s="179"/>
      <c r="M318" s="179"/>
      <c r="N318" s="179"/>
      <c r="O318" s="179"/>
      <c r="P318" s="179"/>
      <c r="Q318" s="179"/>
      <c r="R318" s="179"/>
      <c r="S318" s="179"/>
    </row>
    <row r="319" ht="14.25" customHeight="1">
      <c r="A319" s="184"/>
      <c r="B319" s="184"/>
      <c r="C319" s="179" t="s">
        <v>1946</v>
      </c>
      <c r="D319" s="184" t="s">
        <v>1047</v>
      </c>
      <c r="E319" s="184" t="s">
        <v>1818</v>
      </c>
      <c r="F319" s="184" t="s">
        <v>2031</v>
      </c>
      <c r="G319" s="179"/>
      <c r="H319" s="179"/>
      <c r="I319" s="179"/>
      <c r="J319" s="179"/>
      <c r="K319" s="179"/>
      <c r="L319" s="179"/>
      <c r="M319" s="179"/>
      <c r="N319" s="179"/>
      <c r="O319" s="179"/>
      <c r="P319" s="179"/>
      <c r="Q319" s="179"/>
      <c r="R319" s="179"/>
      <c r="S319" s="179"/>
    </row>
    <row r="320" ht="14.25" customHeight="1">
      <c r="A320" s="184"/>
      <c r="B320" s="184"/>
      <c r="C320" s="179" t="s">
        <v>1946</v>
      </c>
      <c r="D320" s="184" t="s">
        <v>1047</v>
      </c>
      <c r="E320" s="184" t="s">
        <v>1818</v>
      </c>
      <c r="F320" s="184" t="s">
        <v>2034</v>
      </c>
      <c r="G320" s="179"/>
      <c r="H320" s="179"/>
      <c r="I320" s="179"/>
      <c r="J320" s="179"/>
      <c r="K320" s="179"/>
      <c r="L320" s="179"/>
      <c r="M320" s="179"/>
      <c r="N320" s="179"/>
      <c r="O320" s="179"/>
      <c r="P320" s="179"/>
      <c r="Q320" s="179"/>
      <c r="R320" s="179"/>
      <c r="S320" s="179"/>
    </row>
    <row r="321" ht="14.25" customHeight="1">
      <c r="A321" s="184"/>
      <c r="B321" s="184"/>
      <c r="C321" s="179" t="s">
        <v>1946</v>
      </c>
      <c r="D321" s="184" t="s">
        <v>1047</v>
      </c>
      <c r="E321" s="184" t="s">
        <v>1818</v>
      </c>
      <c r="F321" s="184" t="s">
        <v>2037</v>
      </c>
      <c r="G321" s="179"/>
      <c r="H321" s="179"/>
      <c r="I321" s="179"/>
      <c r="J321" s="179"/>
      <c r="K321" s="179"/>
      <c r="L321" s="179"/>
      <c r="M321" s="179"/>
      <c r="N321" s="179"/>
      <c r="O321" s="179"/>
      <c r="P321" s="179"/>
      <c r="Q321" s="179"/>
      <c r="R321" s="179"/>
      <c r="S321" s="179"/>
    </row>
    <row r="322" ht="14.25" customHeight="1">
      <c r="A322" s="184"/>
      <c r="B322" s="184"/>
      <c r="C322" s="179" t="s">
        <v>1946</v>
      </c>
      <c r="D322" s="184" t="s">
        <v>2040</v>
      </c>
      <c r="E322" s="184" t="s">
        <v>1818</v>
      </c>
      <c r="F322" s="184" t="s">
        <v>2016</v>
      </c>
      <c r="G322" s="179"/>
      <c r="H322" s="179"/>
      <c r="I322" s="179"/>
      <c r="J322" s="179"/>
      <c r="K322" s="179"/>
      <c r="L322" s="179"/>
      <c r="M322" s="179"/>
      <c r="N322" s="179"/>
      <c r="O322" s="179"/>
      <c r="P322" s="179"/>
      <c r="Q322" s="179"/>
      <c r="R322" s="179"/>
      <c r="S322" s="179"/>
    </row>
    <row r="323" ht="14.25" customHeight="1">
      <c r="A323" s="184"/>
      <c r="B323" s="184"/>
      <c r="C323" s="179" t="s">
        <v>1946</v>
      </c>
      <c r="D323" s="184" t="s">
        <v>2040</v>
      </c>
      <c r="E323" s="184" t="s">
        <v>1818</v>
      </c>
      <c r="F323" s="184" t="s">
        <v>2017</v>
      </c>
      <c r="G323" s="179"/>
      <c r="H323" s="179"/>
      <c r="I323" s="179"/>
      <c r="J323" s="179"/>
      <c r="K323" s="179"/>
      <c r="L323" s="179"/>
      <c r="M323" s="179"/>
      <c r="N323" s="179"/>
      <c r="O323" s="179"/>
      <c r="P323" s="179"/>
      <c r="Q323" s="179"/>
      <c r="R323" s="179"/>
      <c r="S323" s="179"/>
    </row>
    <row r="324" ht="14.25" customHeight="1">
      <c r="A324" s="184"/>
      <c r="B324" s="184"/>
      <c r="C324" s="179" t="s">
        <v>1946</v>
      </c>
      <c r="D324" s="184" t="s">
        <v>2040</v>
      </c>
      <c r="E324" s="184" t="s">
        <v>1818</v>
      </c>
      <c r="F324" s="184" t="s">
        <v>2018</v>
      </c>
      <c r="G324" s="179"/>
      <c r="H324" s="179"/>
      <c r="I324" s="179"/>
      <c r="J324" s="179"/>
      <c r="K324" s="179"/>
      <c r="L324" s="179"/>
      <c r="M324" s="179"/>
      <c r="N324" s="179"/>
      <c r="O324" s="179"/>
      <c r="P324" s="179"/>
      <c r="Q324" s="179"/>
      <c r="R324" s="179"/>
      <c r="S324" s="179"/>
    </row>
    <row r="325" ht="14.25" customHeight="1">
      <c r="A325" s="184"/>
      <c r="B325" s="184"/>
      <c r="C325" s="179" t="s">
        <v>1946</v>
      </c>
      <c r="D325" s="184" t="s">
        <v>2040</v>
      </c>
      <c r="E325" s="184" t="s">
        <v>1818</v>
      </c>
      <c r="F325" s="184" t="s">
        <v>2020</v>
      </c>
      <c r="G325" s="179"/>
      <c r="H325" s="179"/>
      <c r="I325" s="179"/>
      <c r="J325" s="179"/>
      <c r="K325" s="179"/>
      <c r="L325" s="179"/>
      <c r="M325" s="179"/>
      <c r="N325" s="179"/>
      <c r="O325" s="179"/>
      <c r="P325" s="179"/>
      <c r="Q325" s="179"/>
      <c r="R325" s="179"/>
      <c r="S325" s="179"/>
    </row>
    <row r="326" ht="14.25" customHeight="1">
      <c r="A326" s="184"/>
      <c r="B326" s="184"/>
      <c r="C326" s="179" t="s">
        <v>1946</v>
      </c>
      <c r="D326" s="184" t="s">
        <v>2040</v>
      </c>
      <c r="E326" s="184" t="s">
        <v>1818</v>
      </c>
      <c r="F326" s="184" t="s">
        <v>2021</v>
      </c>
      <c r="G326" s="179"/>
      <c r="H326" s="179"/>
      <c r="I326" s="179"/>
      <c r="J326" s="179"/>
      <c r="K326" s="179"/>
      <c r="L326" s="179"/>
      <c r="M326" s="179"/>
      <c r="N326" s="179"/>
      <c r="O326" s="179"/>
      <c r="P326" s="179"/>
      <c r="Q326" s="179"/>
      <c r="R326" s="179"/>
      <c r="S326" s="179"/>
    </row>
    <row r="327" ht="14.25" customHeight="1">
      <c r="A327" s="184"/>
      <c r="B327" s="184"/>
      <c r="C327" s="179" t="s">
        <v>1946</v>
      </c>
      <c r="D327" s="184" t="s">
        <v>1037</v>
      </c>
      <c r="E327" s="184" t="s">
        <v>1818</v>
      </c>
      <c r="F327" s="184" t="s">
        <v>2052</v>
      </c>
      <c r="G327" s="179"/>
      <c r="H327" s="179"/>
      <c r="I327" s="179"/>
      <c r="J327" s="179"/>
      <c r="K327" s="179"/>
      <c r="L327" s="179"/>
      <c r="M327" s="179"/>
      <c r="N327" s="179"/>
      <c r="O327" s="179"/>
      <c r="P327" s="179"/>
      <c r="Q327" s="179"/>
      <c r="R327" s="179"/>
      <c r="S327" s="179"/>
    </row>
    <row r="328" ht="14.25" customHeight="1">
      <c r="A328" s="184"/>
      <c r="B328" s="184"/>
      <c r="C328" s="179" t="s">
        <v>1946</v>
      </c>
      <c r="D328" s="184" t="s">
        <v>1037</v>
      </c>
      <c r="E328" s="184" t="s">
        <v>1818</v>
      </c>
      <c r="F328" s="184" t="s">
        <v>2055</v>
      </c>
      <c r="G328" s="179"/>
      <c r="H328" s="179"/>
      <c r="I328" s="179"/>
      <c r="J328" s="179"/>
      <c r="K328" s="179"/>
      <c r="L328" s="179"/>
      <c r="M328" s="179"/>
      <c r="N328" s="179"/>
      <c r="O328" s="179"/>
      <c r="P328" s="179"/>
      <c r="Q328" s="179"/>
      <c r="R328" s="179"/>
      <c r="S328" s="179"/>
    </row>
    <row r="329" ht="14.25" customHeight="1">
      <c r="A329" s="184"/>
      <c r="B329" s="184"/>
      <c r="C329" s="179" t="s">
        <v>1946</v>
      </c>
      <c r="D329" s="184" t="s">
        <v>1037</v>
      </c>
      <c r="E329" s="184" t="s">
        <v>1818</v>
      </c>
      <c r="F329" s="184" t="s">
        <v>2058</v>
      </c>
      <c r="G329" s="179"/>
      <c r="H329" s="179"/>
      <c r="I329" s="179"/>
      <c r="J329" s="179"/>
      <c r="K329" s="179"/>
      <c r="L329" s="179"/>
      <c r="M329" s="179"/>
      <c r="N329" s="179"/>
      <c r="O329" s="179"/>
      <c r="P329" s="179"/>
      <c r="Q329" s="179"/>
      <c r="R329" s="179"/>
      <c r="S329" s="179"/>
    </row>
    <row r="330" ht="14.25" customHeight="1">
      <c r="A330" s="184"/>
      <c r="B330" s="184"/>
      <c r="C330" s="179" t="s">
        <v>1946</v>
      </c>
      <c r="D330" s="184" t="s">
        <v>1037</v>
      </c>
      <c r="E330" s="184" t="s">
        <v>1818</v>
      </c>
      <c r="F330" s="184" t="s">
        <v>2062</v>
      </c>
      <c r="G330" s="179"/>
      <c r="H330" s="179"/>
      <c r="I330" s="179"/>
      <c r="J330" s="179"/>
      <c r="K330" s="179"/>
      <c r="L330" s="179"/>
      <c r="M330" s="179"/>
      <c r="N330" s="179"/>
      <c r="O330" s="179"/>
      <c r="P330" s="179"/>
      <c r="Q330" s="179"/>
      <c r="R330" s="179"/>
      <c r="S330" s="179"/>
    </row>
    <row r="331" ht="14.25" customHeight="1">
      <c r="A331" s="184"/>
      <c r="B331" s="184"/>
      <c r="C331" s="179" t="s">
        <v>1946</v>
      </c>
      <c r="D331" s="184" t="s">
        <v>1037</v>
      </c>
      <c r="E331" s="184" t="s">
        <v>1818</v>
      </c>
      <c r="F331" s="184" t="s">
        <v>2064</v>
      </c>
      <c r="G331" s="179"/>
      <c r="H331" s="179"/>
      <c r="I331" s="179"/>
      <c r="J331" s="179"/>
      <c r="K331" s="179"/>
      <c r="L331" s="179"/>
      <c r="M331" s="179"/>
      <c r="N331" s="179"/>
      <c r="O331" s="179"/>
      <c r="P331" s="179"/>
      <c r="Q331" s="179"/>
      <c r="R331" s="179"/>
      <c r="S331" s="179"/>
    </row>
    <row r="332" ht="14.25" customHeight="1">
      <c r="A332" s="184"/>
      <c r="B332" s="184"/>
      <c r="C332" s="179" t="s">
        <v>1946</v>
      </c>
      <c r="D332" s="184" t="s">
        <v>1037</v>
      </c>
      <c r="E332" s="184" t="s">
        <v>1818</v>
      </c>
      <c r="F332" s="184" t="s">
        <v>2067</v>
      </c>
      <c r="G332" s="179"/>
      <c r="H332" s="179"/>
      <c r="I332" s="179"/>
      <c r="J332" s="179"/>
      <c r="K332" s="179"/>
      <c r="L332" s="179"/>
      <c r="M332" s="179"/>
      <c r="N332" s="179"/>
      <c r="O332" s="179"/>
      <c r="P332" s="179"/>
      <c r="Q332" s="179"/>
      <c r="R332" s="179"/>
      <c r="S332" s="179"/>
    </row>
    <row r="333" ht="14.25" customHeight="1">
      <c r="A333" s="184"/>
      <c r="B333" s="184"/>
      <c r="C333" s="179" t="s">
        <v>1946</v>
      </c>
      <c r="D333" s="184" t="s">
        <v>1037</v>
      </c>
      <c r="E333" s="184" t="s">
        <v>1818</v>
      </c>
      <c r="F333" s="184" t="s">
        <v>1928</v>
      </c>
      <c r="G333" s="179"/>
      <c r="H333" s="179"/>
      <c r="I333" s="179"/>
      <c r="J333" s="179"/>
      <c r="K333" s="179"/>
      <c r="L333" s="179"/>
      <c r="M333" s="179"/>
      <c r="N333" s="179"/>
      <c r="O333" s="179"/>
      <c r="P333" s="179"/>
      <c r="Q333" s="179"/>
      <c r="R333" s="179"/>
      <c r="S333" s="179"/>
    </row>
    <row r="334" ht="14.25" customHeight="1">
      <c r="A334" s="184"/>
      <c r="B334" s="184"/>
      <c r="C334" s="179" t="s">
        <v>1946</v>
      </c>
      <c r="D334" s="184" t="s">
        <v>1042</v>
      </c>
      <c r="E334" s="184" t="s">
        <v>1818</v>
      </c>
      <c r="F334" s="184" t="s">
        <v>2073</v>
      </c>
      <c r="G334" s="179"/>
      <c r="H334" s="179"/>
      <c r="I334" s="179"/>
      <c r="J334" s="179"/>
      <c r="K334" s="179"/>
      <c r="L334" s="179"/>
      <c r="M334" s="179"/>
      <c r="N334" s="179"/>
      <c r="O334" s="179"/>
      <c r="P334" s="179"/>
      <c r="Q334" s="179"/>
      <c r="R334" s="179"/>
      <c r="S334" s="179"/>
    </row>
    <row r="335" ht="14.25" customHeight="1">
      <c r="A335" s="184"/>
      <c r="B335" s="184"/>
      <c r="C335" s="179" t="s">
        <v>1946</v>
      </c>
      <c r="D335" s="184" t="s">
        <v>1042</v>
      </c>
      <c r="E335" s="184" t="s">
        <v>1818</v>
      </c>
      <c r="F335" s="184" t="s">
        <v>2076</v>
      </c>
      <c r="G335" s="179"/>
      <c r="H335" s="179"/>
      <c r="I335" s="179"/>
      <c r="J335" s="179"/>
      <c r="K335" s="179"/>
      <c r="L335" s="179"/>
      <c r="M335" s="179"/>
      <c r="N335" s="179"/>
      <c r="O335" s="179"/>
      <c r="P335" s="179"/>
      <c r="Q335" s="179"/>
      <c r="R335" s="179"/>
      <c r="S335" s="179"/>
    </row>
    <row r="336" ht="14.25" customHeight="1">
      <c r="A336" s="184"/>
      <c r="B336" s="184"/>
      <c r="C336" s="179" t="s">
        <v>1946</v>
      </c>
      <c r="D336" s="184" t="s">
        <v>1042</v>
      </c>
      <c r="E336" s="184" t="s">
        <v>1818</v>
      </c>
      <c r="F336" s="184" t="s">
        <v>2079</v>
      </c>
      <c r="G336" s="179"/>
      <c r="H336" s="179"/>
      <c r="I336" s="179"/>
      <c r="J336" s="179"/>
      <c r="K336" s="179"/>
      <c r="L336" s="179"/>
      <c r="M336" s="179"/>
      <c r="N336" s="179"/>
      <c r="O336" s="179"/>
      <c r="P336" s="179"/>
      <c r="Q336" s="179"/>
      <c r="R336" s="179"/>
      <c r="S336" s="179"/>
    </row>
    <row r="337" ht="14.25" customHeight="1">
      <c r="A337" s="184"/>
      <c r="B337" s="184"/>
      <c r="C337" s="179" t="s">
        <v>1946</v>
      </c>
      <c r="D337" s="184" t="s">
        <v>1042</v>
      </c>
      <c r="E337" s="184" t="s">
        <v>1818</v>
      </c>
      <c r="F337" s="184" t="s">
        <v>2083</v>
      </c>
      <c r="G337" s="179"/>
      <c r="H337" s="179"/>
      <c r="I337" s="179"/>
      <c r="J337" s="179"/>
      <c r="K337" s="179"/>
      <c r="L337" s="179"/>
      <c r="M337" s="179"/>
      <c r="N337" s="179"/>
      <c r="O337" s="179"/>
      <c r="P337" s="179"/>
      <c r="Q337" s="179"/>
      <c r="R337" s="179"/>
      <c r="S337" s="179"/>
    </row>
    <row r="338" ht="14.25" customHeight="1">
      <c r="A338" s="184"/>
      <c r="B338" s="184"/>
      <c r="C338" s="179" t="s">
        <v>1946</v>
      </c>
      <c r="D338" s="184" t="s">
        <v>1042</v>
      </c>
      <c r="E338" s="184" t="s">
        <v>1818</v>
      </c>
      <c r="F338" s="184" t="s">
        <v>2087</v>
      </c>
      <c r="G338" s="179"/>
      <c r="H338" s="179"/>
      <c r="I338" s="179"/>
      <c r="J338" s="179"/>
      <c r="K338" s="179"/>
      <c r="L338" s="179"/>
      <c r="M338" s="179"/>
      <c r="N338" s="179"/>
      <c r="O338" s="179"/>
      <c r="P338" s="179"/>
      <c r="Q338" s="179"/>
      <c r="R338" s="179"/>
      <c r="S338" s="179"/>
    </row>
    <row r="339" ht="14.25" customHeight="1">
      <c r="A339" s="184"/>
      <c r="B339" s="184"/>
      <c r="C339" s="179" t="s">
        <v>1946</v>
      </c>
      <c r="D339" s="184" t="s">
        <v>1042</v>
      </c>
      <c r="E339" s="184" t="s">
        <v>1818</v>
      </c>
      <c r="F339" s="184" t="s">
        <v>2090</v>
      </c>
      <c r="G339" s="179"/>
      <c r="H339" s="179"/>
      <c r="I339" s="179"/>
      <c r="J339" s="179"/>
      <c r="K339" s="179"/>
      <c r="L339" s="179"/>
      <c r="M339" s="179"/>
      <c r="N339" s="179"/>
      <c r="O339" s="179"/>
      <c r="P339" s="179"/>
      <c r="Q339" s="179"/>
      <c r="R339" s="179"/>
      <c r="S339" s="179"/>
    </row>
    <row r="340" ht="14.25" customHeight="1">
      <c r="A340" s="184"/>
      <c r="B340" s="184"/>
      <c r="C340" s="179" t="s">
        <v>1946</v>
      </c>
      <c r="D340" s="184" t="s">
        <v>1042</v>
      </c>
      <c r="E340" s="184" t="s">
        <v>1818</v>
      </c>
      <c r="F340" s="184" t="s">
        <v>2093</v>
      </c>
      <c r="G340" s="179"/>
      <c r="H340" s="179"/>
      <c r="I340" s="179"/>
      <c r="J340" s="179"/>
      <c r="K340" s="179"/>
      <c r="L340" s="179"/>
      <c r="M340" s="179"/>
      <c r="N340" s="179"/>
      <c r="O340" s="179"/>
      <c r="P340" s="179"/>
      <c r="Q340" s="179"/>
      <c r="R340" s="179"/>
      <c r="S340" s="179"/>
    </row>
    <row r="341" ht="14.25" customHeight="1">
      <c r="A341" s="184"/>
      <c r="B341" s="184"/>
      <c r="C341" s="179" t="s">
        <v>1946</v>
      </c>
      <c r="D341" s="184" t="s">
        <v>1034</v>
      </c>
      <c r="E341" s="184" t="s">
        <v>1818</v>
      </c>
      <c r="F341" s="184" t="s">
        <v>2096</v>
      </c>
      <c r="G341" s="179"/>
      <c r="H341" s="179"/>
      <c r="I341" s="179"/>
      <c r="J341" s="179"/>
      <c r="K341" s="179"/>
      <c r="L341" s="179"/>
      <c r="M341" s="179"/>
      <c r="N341" s="179"/>
      <c r="O341" s="179"/>
      <c r="P341" s="179"/>
      <c r="Q341" s="179"/>
      <c r="R341" s="179"/>
      <c r="S341" s="179"/>
    </row>
    <row r="342" ht="14.25" customHeight="1">
      <c r="A342" s="184"/>
      <c r="B342" s="184"/>
      <c r="C342" s="179" t="s">
        <v>1946</v>
      </c>
      <c r="D342" s="184" t="s">
        <v>1034</v>
      </c>
      <c r="E342" s="184" t="s">
        <v>1818</v>
      </c>
      <c r="F342" s="184" t="s">
        <v>2099</v>
      </c>
      <c r="G342" s="179"/>
      <c r="H342" s="179"/>
      <c r="I342" s="179"/>
      <c r="J342" s="179"/>
      <c r="K342" s="179"/>
      <c r="L342" s="179"/>
      <c r="M342" s="179"/>
      <c r="N342" s="179"/>
      <c r="O342" s="179"/>
      <c r="P342" s="179"/>
      <c r="Q342" s="179"/>
      <c r="R342" s="179"/>
      <c r="S342" s="179"/>
    </row>
    <row r="343" ht="14.25" customHeight="1">
      <c r="A343" s="184"/>
      <c r="B343" s="184"/>
      <c r="C343" s="179" t="s">
        <v>1946</v>
      </c>
      <c r="D343" s="184" t="s">
        <v>1034</v>
      </c>
      <c r="E343" s="184" t="s">
        <v>1818</v>
      </c>
      <c r="F343" s="184" t="s">
        <v>2102</v>
      </c>
      <c r="G343" s="179"/>
      <c r="H343" s="179"/>
      <c r="I343" s="179"/>
      <c r="J343" s="179"/>
      <c r="K343" s="179"/>
      <c r="L343" s="179"/>
      <c r="M343" s="179"/>
      <c r="N343" s="179"/>
      <c r="O343" s="179"/>
      <c r="P343" s="179"/>
      <c r="Q343" s="179"/>
      <c r="R343" s="179"/>
      <c r="S343" s="179"/>
    </row>
    <row r="344" ht="14.25" customHeight="1">
      <c r="A344" s="184"/>
      <c r="B344" s="184"/>
      <c r="C344" s="179" t="s">
        <v>1946</v>
      </c>
      <c r="D344" s="184" t="s">
        <v>1034</v>
      </c>
      <c r="E344" s="184" t="s">
        <v>1818</v>
      </c>
      <c r="F344" s="184" t="s">
        <v>2106</v>
      </c>
      <c r="G344" s="179"/>
      <c r="H344" s="179"/>
      <c r="I344" s="179"/>
      <c r="J344" s="179"/>
      <c r="K344" s="179"/>
      <c r="L344" s="179"/>
      <c r="M344" s="179"/>
      <c r="N344" s="179"/>
      <c r="O344" s="179"/>
      <c r="P344" s="179"/>
      <c r="Q344" s="179"/>
      <c r="R344" s="179"/>
      <c r="S344" s="179"/>
    </row>
    <row r="345" ht="14.25" customHeight="1">
      <c r="A345" s="184"/>
      <c r="B345" s="184"/>
      <c r="C345" s="179" t="s">
        <v>1946</v>
      </c>
      <c r="D345" s="184" t="s">
        <v>1034</v>
      </c>
      <c r="E345" s="184" t="s">
        <v>1818</v>
      </c>
      <c r="F345" s="184" t="s">
        <v>2109</v>
      </c>
      <c r="G345" s="179"/>
      <c r="H345" s="179"/>
      <c r="I345" s="179"/>
      <c r="J345" s="179"/>
      <c r="K345" s="179"/>
      <c r="L345" s="179"/>
      <c r="M345" s="179"/>
      <c r="N345" s="179"/>
      <c r="O345" s="179"/>
      <c r="P345" s="179"/>
      <c r="Q345" s="179"/>
      <c r="R345" s="179"/>
      <c r="S345" s="179"/>
    </row>
    <row r="346" ht="14.25" customHeight="1">
      <c r="A346" s="184"/>
      <c r="B346" s="184"/>
      <c r="C346" s="179" t="s">
        <v>1946</v>
      </c>
      <c r="D346" s="184" t="s">
        <v>1034</v>
      </c>
      <c r="E346" s="184" t="s">
        <v>1818</v>
      </c>
      <c r="F346" s="184" t="s">
        <v>2112</v>
      </c>
      <c r="G346" s="179"/>
      <c r="H346" s="179"/>
      <c r="I346" s="179"/>
      <c r="J346" s="179"/>
      <c r="K346" s="179"/>
      <c r="L346" s="179"/>
      <c r="M346" s="179"/>
      <c r="N346" s="179"/>
      <c r="O346" s="179"/>
      <c r="P346" s="179"/>
      <c r="Q346" s="179"/>
      <c r="R346" s="179"/>
      <c r="S346" s="179"/>
    </row>
    <row r="347" ht="14.25" customHeight="1">
      <c r="A347" s="184"/>
      <c r="B347" s="184"/>
      <c r="C347" s="179" t="s">
        <v>1946</v>
      </c>
      <c r="D347" s="184" t="s">
        <v>1034</v>
      </c>
      <c r="E347" s="184" t="s">
        <v>1818</v>
      </c>
      <c r="F347" s="184" t="s">
        <v>2116</v>
      </c>
      <c r="G347" s="179"/>
      <c r="H347" s="179"/>
      <c r="I347" s="179"/>
      <c r="J347" s="179"/>
      <c r="K347" s="179"/>
      <c r="L347" s="179"/>
      <c r="M347" s="179"/>
      <c r="N347" s="179"/>
      <c r="O347" s="179"/>
      <c r="P347" s="179"/>
      <c r="Q347" s="179"/>
      <c r="R347" s="179"/>
      <c r="S347" s="179"/>
    </row>
    <row r="348" ht="14.25" customHeight="1">
      <c r="A348" s="184"/>
      <c r="B348" s="184"/>
      <c r="C348" s="179" t="s">
        <v>1946</v>
      </c>
      <c r="D348" s="184" t="s">
        <v>1034</v>
      </c>
      <c r="E348" s="184" t="s">
        <v>1818</v>
      </c>
      <c r="F348" s="184" t="s">
        <v>2118</v>
      </c>
      <c r="G348" s="179"/>
      <c r="H348" s="179"/>
      <c r="I348" s="179"/>
      <c r="J348" s="179"/>
      <c r="K348" s="179"/>
      <c r="L348" s="179"/>
      <c r="M348" s="179"/>
      <c r="N348" s="179"/>
      <c r="O348" s="179"/>
      <c r="P348" s="179"/>
      <c r="Q348" s="179"/>
      <c r="R348" s="179"/>
      <c r="S348" s="179"/>
    </row>
    <row r="349" ht="14.25" customHeight="1">
      <c r="A349" s="184"/>
      <c r="B349" s="184"/>
      <c r="C349" s="179" t="s">
        <v>1946</v>
      </c>
      <c r="D349" s="184" t="s">
        <v>2121</v>
      </c>
      <c r="E349" s="184" t="s">
        <v>1818</v>
      </c>
      <c r="F349" s="184" t="s">
        <v>2122</v>
      </c>
      <c r="G349" s="179"/>
      <c r="H349" s="179"/>
      <c r="I349" s="179"/>
      <c r="J349" s="179"/>
      <c r="K349" s="179"/>
      <c r="L349" s="179"/>
      <c r="M349" s="179"/>
      <c r="N349" s="179"/>
      <c r="O349" s="179"/>
      <c r="P349" s="179"/>
      <c r="Q349" s="179"/>
      <c r="R349" s="179"/>
      <c r="S349" s="179"/>
    </row>
    <row r="350" ht="14.25" customHeight="1">
      <c r="A350" s="184"/>
      <c r="B350" s="184"/>
      <c r="C350" s="179" t="s">
        <v>1946</v>
      </c>
      <c r="D350" s="184" t="s">
        <v>2121</v>
      </c>
      <c r="E350" s="184" t="s">
        <v>1818</v>
      </c>
      <c r="F350" s="184" t="s">
        <v>2125</v>
      </c>
      <c r="G350" s="179"/>
      <c r="H350" s="179"/>
      <c r="I350" s="179"/>
      <c r="J350" s="179"/>
      <c r="K350" s="179"/>
      <c r="L350" s="179"/>
      <c r="M350" s="179"/>
      <c r="N350" s="179"/>
      <c r="O350" s="179"/>
      <c r="P350" s="179"/>
      <c r="Q350" s="179"/>
      <c r="R350" s="179"/>
      <c r="S350" s="179"/>
    </row>
    <row r="351" ht="14.25" customHeight="1">
      <c r="A351" s="184"/>
      <c r="B351" s="184"/>
      <c r="C351" s="179" t="s">
        <v>1946</v>
      </c>
      <c r="D351" s="184" t="s">
        <v>2121</v>
      </c>
      <c r="E351" s="184" t="s">
        <v>1818</v>
      </c>
      <c r="F351" s="184" t="s">
        <v>2129</v>
      </c>
      <c r="G351" s="179"/>
      <c r="H351" s="179"/>
      <c r="I351" s="179"/>
      <c r="J351" s="179"/>
      <c r="K351" s="179"/>
      <c r="L351" s="179"/>
      <c r="M351" s="179"/>
      <c r="N351" s="179"/>
      <c r="O351" s="179"/>
      <c r="P351" s="179"/>
      <c r="Q351" s="179"/>
      <c r="R351" s="179"/>
      <c r="S351" s="179"/>
    </row>
    <row r="352" ht="14.25" customHeight="1">
      <c r="A352" s="184"/>
      <c r="B352" s="184"/>
      <c r="C352" s="179" t="s">
        <v>1946</v>
      </c>
      <c r="D352" s="184" t="s">
        <v>2121</v>
      </c>
      <c r="E352" s="184" t="s">
        <v>1818</v>
      </c>
      <c r="F352" s="184" t="s">
        <v>2132</v>
      </c>
      <c r="G352" s="179"/>
      <c r="H352" s="179"/>
      <c r="I352" s="179"/>
      <c r="J352" s="179"/>
      <c r="K352" s="179"/>
      <c r="L352" s="179"/>
      <c r="M352" s="179"/>
      <c r="N352" s="179"/>
      <c r="O352" s="179"/>
      <c r="P352" s="179"/>
      <c r="Q352" s="179"/>
      <c r="R352" s="179"/>
      <c r="S352" s="179"/>
    </row>
    <row r="353" ht="14.25" customHeight="1">
      <c r="A353" s="184"/>
      <c r="B353" s="184"/>
      <c r="C353" s="179" t="s">
        <v>1946</v>
      </c>
      <c r="D353" s="184" t="s">
        <v>2121</v>
      </c>
      <c r="E353" s="184" t="s">
        <v>1818</v>
      </c>
      <c r="F353" s="184" t="s">
        <v>2135</v>
      </c>
      <c r="G353" s="179"/>
      <c r="H353" s="179"/>
      <c r="I353" s="179"/>
      <c r="J353" s="179"/>
      <c r="K353" s="179"/>
      <c r="L353" s="179"/>
      <c r="M353" s="179"/>
      <c r="N353" s="179"/>
      <c r="O353" s="179"/>
      <c r="P353" s="179"/>
      <c r="Q353" s="179"/>
      <c r="R353" s="179"/>
      <c r="S353" s="179"/>
    </row>
    <row r="354" ht="14.25" customHeight="1">
      <c r="A354" s="184"/>
      <c r="B354" s="184"/>
      <c r="C354" s="179" t="s">
        <v>1946</v>
      </c>
      <c r="D354" s="184" t="s">
        <v>2121</v>
      </c>
      <c r="E354" s="184" t="s">
        <v>1818</v>
      </c>
      <c r="F354" s="184" t="s">
        <v>2137</v>
      </c>
      <c r="G354" s="179"/>
      <c r="H354" s="179"/>
      <c r="I354" s="179"/>
      <c r="J354" s="179"/>
      <c r="K354" s="179"/>
      <c r="L354" s="179"/>
      <c r="M354" s="179"/>
      <c r="N354" s="179"/>
      <c r="O354" s="179"/>
      <c r="P354" s="179"/>
      <c r="Q354" s="179"/>
      <c r="R354" s="179"/>
      <c r="S354" s="179"/>
    </row>
    <row r="355" ht="14.25" customHeight="1">
      <c r="A355" s="184"/>
      <c r="B355" s="184"/>
      <c r="C355" s="179" t="s">
        <v>1946</v>
      </c>
      <c r="D355" s="184" t="s">
        <v>2121</v>
      </c>
      <c r="E355" s="184" t="s">
        <v>1818</v>
      </c>
      <c r="F355" s="184" t="s">
        <v>2141</v>
      </c>
      <c r="G355" s="179"/>
      <c r="H355" s="179"/>
      <c r="I355" s="179"/>
      <c r="J355" s="179"/>
      <c r="K355" s="179"/>
      <c r="L355" s="179"/>
      <c r="M355" s="179"/>
      <c r="N355" s="179"/>
      <c r="O355" s="179"/>
      <c r="P355" s="179"/>
      <c r="Q355" s="179"/>
      <c r="R355" s="179"/>
      <c r="S355" s="179"/>
    </row>
    <row r="356" ht="14.25" customHeight="1">
      <c r="A356" s="184"/>
      <c r="B356" s="184"/>
      <c r="C356" s="179" t="s">
        <v>1946</v>
      </c>
      <c r="D356" s="184" t="s">
        <v>2121</v>
      </c>
      <c r="E356" s="184" t="s">
        <v>1818</v>
      </c>
      <c r="F356" s="184" t="s">
        <v>2143</v>
      </c>
      <c r="G356" s="179"/>
      <c r="H356" s="179"/>
      <c r="I356" s="179"/>
      <c r="J356" s="179"/>
      <c r="K356" s="179"/>
      <c r="L356" s="179"/>
      <c r="M356" s="179"/>
      <c r="N356" s="179"/>
      <c r="O356" s="179"/>
      <c r="P356" s="179"/>
      <c r="Q356" s="179"/>
      <c r="R356" s="179"/>
      <c r="S356" s="179"/>
    </row>
    <row r="357" ht="14.25" customHeight="1">
      <c r="A357" s="184"/>
      <c r="B357" s="184"/>
      <c r="C357" s="179" t="s">
        <v>1946</v>
      </c>
      <c r="D357" s="184" t="s">
        <v>2121</v>
      </c>
      <c r="E357" s="184" t="s">
        <v>1818</v>
      </c>
      <c r="F357" s="184" t="s">
        <v>2146</v>
      </c>
      <c r="G357" s="179"/>
      <c r="H357" s="179"/>
      <c r="I357" s="179"/>
      <c r="J357" s="179"/>
      <c r="K357" s="179"/>
      <c r="L357" s="179"/>
      <c r="M357" s="179"/>
      <c r="N357" s="179"/>
      <c r="O357" s="179"/>
      <c r="P357" s="179"/>
      <c r="Q357" s="179"/>
      <c r="R357" s="179"/>
      <c r="S357" s="179"/>
    </row>
    <row r="358" ht="14.25" customHeight="1">
      <c r="A358" s="184"/>
      <c r="B358" s="184"/>
      <c r="C358" s="179" t="s">
        <v>1946</v>
      </c>
      <c r="D358" s="184" t="s">
        <v>950</v>
      </c>
      <c r="E358" s="184" t="s">
        <v>1818</v>
      </c>
      <c r="F358" s="184" t="s">
        <v>2148</v>
      </c>
      <c r="G358" s="179"/>
      <c r="H358" s="179"/>
      <c r="I358" s="179"/>
      <c r="J358" s="179"/>
      <c r="K358" s="179"/>
      <c r="L358" s="179"/>
      <c r="M358" s="179"/>
      <c r="N358" s="179"/>
      <c r="O358" s="179"/>
      <c r="P358" s="179"/>
      <c r="Q358" s="179"/>
      <c r="R358" s="179"/>
      <c r="S358" s="179"/>
    </row>
    <row r="359" ht="14.25" customHeight="1">
      <c r="A359" s="184"/>
      <c r="B359" s="184"/>
      <c r="C359" s="179" t="s">
        <v>1946</v>
      </c>
      <c r="D359" s="184" t="s">
        <v>950</v>
      </c>
      <c r="E359" s="184" t="s">
        <v>1818</v>
      </c>
      <c r="F359" s="184" t="s">
        <v>2152</v>
      </c>
      <c r="G359" s="179"/>
      <c r="H359" s="179"/>
      <c r="I359" s="179"/>
      <c r="J359" s="179"/>
      <c r="K359" s="179"/>
      <c r="L359" s="179"/>
      <c r="M359" s="179"/>
      <c r="N359" s="179"/>
      <c r="O359" s="179"/>
      <c r="P359" s="179"/>
      <c r="Q359" s="179"/>
      <c r="R359" s="179"/>
      <c r="S359" s="179"/>
    </row>
    <row r="360" ht="14.25" customHeight="1">
      <c r="A360" s="184"/>
      <c r="B360" s="184"/>
      <c r="C360" s="179" t="s">
        <v>1946</v>
      </c>
      <c r="D360" s="184" t="s">
        <v>950</v>
      </c>
      <c r="E360" s="184" t="s">
        <v>1818</v>
      </c>
      <c r="F360" s="184" t="s">
        <v>2154</v>
      </c>
      <c r="G360" s="179"/>
      <c r="H360" s="179"/>
      <c r="I360" s="179"/>
      <c r="J360" s="179"/>
      <c r="K360" s="179"/>
      <c r="L360" s="179"/>
      <c r="M360" s="179"/>
      <c r="N360" s="179"/>
      <c r="O360" s="179"/>
      <c r="P360" s="179"/>
      <c r="Q360" s="179"/>
      <c r="R360" s="179"/>
      <c r="S360" s="179"/>
    </row>
    <row r="361" ht="14.25" customHeight="1">
      <c r="A361" s="184"/>
      <c r="B361" s="184"/>
      <c r="C361" s="179" t="s">
        <v>1946</v>
      </c>
      <c r="D361" s="184" t="s">
        <v>950</v>
      </c>
      <c r="E361" s="184" t="s">
        <v>1818</v>
      </c>
      <c r="F361" s="184" t="s">
        <v>2156</v>
      </c>
      <c r="G361" s="179"/>
      <c r="H361" s="179"/>
      <c r="I361" s="179"/>
      <c r="J361" s="179"/>
      <c r="K361" s="179"/>
      <c r="L361" s="179"/>
      <c r="M361" s="179"/>
      <c r="N361" s="179"/>
      <c r="O361" s="179"/>
      <c r="P361" s="179"/>
      <c r="Q361" s="179"/>
      <c r="R361" s="179"/>
      <c r="S361" s="179"/>
    </row>
    <row r="362" ht="14.25" customHeight="1">
      <c r="A362" s="184"/>
      <c r="B362" s="184"/>
      <c r="C362" s="179" t="s">
        <v>1946</v>
      </c>
      <c r="D362" s="184" t="s">
        <v>950</v>
      </c>
      <c r="E362" s="184" t="s">
        <v>1818</v>
      </c>
      <c r="F362" s="184" t="s">
        <v>2159</v>
      </c>
      <c r="G362" s="179"/>
      <c r="H362" s="179"/>
      <c r="I362" s="179"/>
      <c r="J362" s="179"/>
      <c r="K362" s="179"/>
      <c r="L362" s="179"/>
      <c r="M362" s="179"/>
      <c r="N362" s="179"/>
      <c r="O362" s="179"/>
      <c r="P362" s="179"/>
      <c r="Q362" s="179"/>
      <c r="R362" s="179"/>
      <c r="S362" s="179"/>
    </row>
    <row r="363" ht="14.25" customHeight="1">
      <c r="A363" s="184"/>
      <c r="B363" s="184"/>
      <c r="C363" s="179" t="s">
        <v>1946</v>
      </c>
      <c r="D363" s="184" t="s">
        <v>950</v>
      </c>
      <c r="E363" s="184" t="s">
        <v>1818</v>
      </c>
      <c r="F363" s="184" t="s">
        <v>2143</v>
      </c>
      <c r="G363" s="179"/>
      <c r="H363" s="179"/>
      <c r="I363" s="179"/>
      <c r="J363" s="179"/>
      <c r="K363" s="179"/>
      <c r="L363" s="179"/>
      <c r="M363" s="179"/>
      <c r="N363" s="179"/>
      <c r="O363" s="179"/>
      <c r="P363" s="179"/>
      <c r="Q363" s="179"/>
      <c r="R363" s="179"/>
      <c r="S363" s="179"/>
    </row>
    <row r="364" ht="14.25" customHeight="1">
      <c r="A364" s="184"/>
      <c r="B364" s="184"/>
      <c r="C364" s="179" t="s">
        <v>1946</v>
      </c>
      <c r="D364" s="184" t="s">
        <v>950</v>
      </c>
      <c r="E364" s="184" t="s">
        <v>1818</v>
      </c>
      <c r="F364" s="184" t="s">
        <v>2164</v>
      </c>
      <c r="G364" s="179"/>
      <c r="H364" s="179"/>
      <c r="I364" s="179"/>
      <c r="J364" s="179"/>
      <c r="K364" s="179"/>
      <c r="L364" s="179"/>
      <c r="M364" s="179"/>
      <c r="N364" s="179"/>
      <c r="O364" s="179"/>
      <c r="P364" s="179"/>
      <c r="Q364" s="179"/>
      <c r="R364" s="179"/>
      <c r="S364" s="179"/>
    </row>
    <row r="365" ht="14.25" customHeight="1">
      <c r="A365" s="184"/>
      <c r="B365" s="184"/>
      <c r="C365" s="179" t="s">
        <v>1946</v>
      </c>
      <c r="D365" s="184" t="s">
        <v>950</v>
      </c>
      <c r="E365" s="184" t="s">
        <v>1818</v>
      </c>
      <c r="F365" s="184" t="s">
        <v>2167</v>
      </c>
      <c r="G365" s="179"/>
      <c r="H365" s="179"/>
      <c r="I365" s="179"/>
      <c r="J365" s="179"/>
      <c r="K365" s="179"/>
      <c r="L365" s="179"/>
      <c r="M365" s="179"/>
      <c r="N365" s="179"/>
      <c r="O365" s="179"/>
      <c r="P365" s="179"/>
      <c r="Q365" s="179"/>
      <c r="R365" s="179"/>
      <c r="S365" s="179"/>
    </row>
    <row r="366" ht="14.25" customHeight="1">
      <c r="A366" s="184"/>
      <c r="B366" s="184"/>
      <c r="C366" s="179" t="s">
        <v>1946</v>
      </c>
      <c r="D366" s="184" t="s">
        <v>950</v>
      </c>
      <c r="E366" s="184" t="s">
        <v>1818</v>
      </c>
      <c r="F366" s="184" t="s">
        <v>2170</v>
      </c>
      <c r="G366" s="179"/>
      <c r="H366" s="179"/>
      <c r="I366" s="179"/>
      <c r="J366" s="179"/>
      <c r="K366" s="179"/>
      <c r="L366" s="179"/>
      <c r="M366" s="179"/>
      <c r="N366" s="179"/>
      <c r="O366" s="179"/>
      <c r="P366" s="179"/>
      <c r="Q366" s="179"/>
      <c r="R366" s="179"/>
      <c r="S366" s="179"/>
    </row>
    <row r="367" ht="14.25" customHeight="1">
      <c r="A367" s="184"/>
      <c r="B367" s="184"/>
      <c r="C367" s="179" t="s">
        <v>1946</v>
      </c>
      <c r="D367" s="184" t="s">
        <v>950</v>
      </c>
      <c r="E367" s="184" t="s">
        <v>1818</v>
      </c>
      <c r="F367" s="184" t="s">
        <v>2174</v>
      </c>
      <c r="G367" s="179"/>
      <c r="H367" s="179"/>
      <c r="I367" s="179"/>
      <c r="J367" s="179"/>
      <c r="K367" s="179"/>
      <c r="L367" s="179"/>
      <c r="M367" s="179"/>
      <c r="N367" s="179"/>
      <c r="O367" s="179"/>
      <c r="P367" s="179"/>
      <c r="Q367" s="179"/>
      <c r="R367" s="179"/>
      <c r="S367" s="179"/>
    </row>
    <row r="368" ht="14.25" customHeight="1">
      <c r="A368" s="184"/>
      <c r="B368" s="184"/>
      <c r="C368" s="179" t="s">
        <v>1946</v>
      </c>
      <c r="D368" s="184" t="s">
        <v>950</v>
      </c>
      <c r="E368" s="184" t="s">
        <v>1818</v>
      </c>
      <c r="F368" s="184" t="s">
        <v>1974</v>
      </c>
      <c r="G368" s="179"/>
      <c r="H368" s="179"/>
      <c r="I368" s="179"/>
      <c r="J368" s="179"/>
      <c r="K368" s="179"/>
      <c r="L368" s="179"/>
      <c r="M368" s="179"/>
      <c r="N368" s="179"/>
      <c r="O368" s="179"/>
      <c r="P368" s="179"/>
      <c r="Q368" s="179"/>
      <c r="R368" s="179"/>
      <c r="S368" s="179"/>
    </row>
    <row r="369" ht="14.25" customHeight="1">
      <c r="A369" s="184"/>
      <c r="B369" s="184"/>
      <c r="C369" s="179" t="s">
        <v>1946</v>
      </c>
      <c r="D369" s="184" t="s">
        <v>950</v>
      </c>
      <c r="E369" s="184" t="s">
        <v>1818</v>
      </c>
      <c r="F369" s="184" t="s">
        <v>2179</v>
      </c>
      <c r="G369" s="179"/>
      <c r="H369" s="179"/>
      <c r="I369" s="179"/>
      <c r="J369" s="179"/>
      <c r="K369" s="179"/>
      <c r="L369" s="179"/>
      <c r="M369" s="179"/>
      <c r="N369" s="179"/>
      <c r="O369" s="179"/>
      <c r="P369" s="179"/>
      <c r="Q369" s="179"/>
      <c r="R369" s="179"/>
      <c r="S369" s="179"/>
    </row>
    <row r="370" ht="14.25" customHeight="1">
      <c r="A370" s="184"/>
      <c r="B370" s="184"/>
      <c r="C370" s="179" t="s">
        <v>1946</v>
      </c>
      <c r="D370" s="184" t="s">
        <v>950</v>
      </c>
      <c r="E370" s="184" t="s">
        <v>1818</v>
      </c>
      <c r="F370" s="184" t="s">
        <v>2182</v>
      </c>
      <c r="G370" s="179"/>
      <c r="H370" s="179"/>
      <c r="I370" s="179"/>
      <c r="J370" s="179"/>
      <c r="K370" s="179"/>
      <c r="L370" s="179"/>
      <c r="M370" s="179"/>
      <c r="N370" s="179"/>
      <c r="O370" s="179"/>
      <c r="P370" s="179"/>
      <c r="Q370" s="179"/>
      <c r="R370" s="179"/>
      <c r="S370" s="179"/>
    </row>
    <row r="371" ht="14.25" customHeight="1">
      <c r="A371" s="184"/>
      <c r="B371" s="184"/>
      <c r="C371" s="179" t="s">
        <v>1946</v>
      </c>
      <c r="D371" s="184" t="s">
        <v>950</v>
      </c>
      <c r="E371" s="184" t="s">
        <v>1818</v>
      </c>
      <c r="F371" s="184" t="s">
        <v>2185</v>
      </c>
      <c r="G371" s="179"/>
      <c r="H371" s="179"/>
      <c r="I371" s="179"/>
      <c r="J371" s="179"/>
      <c r="K371" s="179"/>
      <c r="L371" s="179"/>
      <c r="M371" s="179"/>
      <c r="N371" s="179"/>
      <c r="O371" s="179"/>
      <c r="P371" s="179"/>
      <c r="Q371" s="179"/>
      <c r="R371" s="179"/>
      <c r="S371" s="179"/>
    </row>
    <row r="372" ht="14.25" customHeight="1">
      <c r="A372" s="184"/>
      <c r="B372" s="184"/>
      <c r="C372" s="179" t="s">
        <v>1946</v>
      </c>
      <c r="D372" s="184" t="s">
        <v>2188</v>
      </c>
      <c r="E372" s="184" t="s">
        <v>1818</v>
      </c>
      <c r="F372" s="184" t="s">
        <v>2041</v>
      </c>
      <c r="G372" s="179"/>
      <c r="H372" s="179"/>
      <c r="I372" s="179"/>
      <c r="J372" s="179"/>
      <c r="K372" s="179"/>
      <c r="L372" s="179"/>
      <c r="M372" s="179"/>
      <c r="N372" s="179"/>
      <c r="O372" s="179"/>
      <c r="P372" s="179"/>
      <c r="Q372" s="179"/>
      <c r="R372" s="179"/>
      <c r="S372" s="179"/>
    </row>
    <row r="373" ht="14.25" customHeight="1">
      <c r="A373" s="184"/>
      <c r="B373" s="184"/>
      <c r="C373" s="179" t="s">
        <v>1946</v>
      </c>
      <c r="D373" s="184" t="s">
        <v>2188</v>
      </c>
      <c r="E373" s="184" t="s">
        <v>1818</v>
      </c>
      <c r="F373" s="184" t="s">
        <v>2042</v>
      </c>
      <c r="G373" s="179"/>
      <c r="H373" s="179"/>
      <c r="I373" s="179"/>
      <c r="J373" s="179"/>
      <c r="K373" s="179"/>
      <c r="L373" s="179"/>
      <c r="M373" s="179"/>
      <c r="N373" s="179"/>
      <c r="O373" s="179"/>
      <c r="P373" s="179"/>
      <c r="Q373" s="179"/>
      <c r="R373" s="179"/>
      <c r="S373" s="179"/>
    </row>
    <row r="374" ht="14.25" customHeight="1">
      <c r="A374" s="184"/>
      <c r="B374" s="184"/>
      <c r="C374" s="179" t="s">
        <v>1946</v>
      </c>
      <c r="D374" s="184" t="s">
        <v>2188</v>
      </c>
      <c r="E374" s="184" t="s">
        <v>1818</v>
      </c>
      <c r="F374" s="184" t="s">
        <v>2043</v>
      </c>
      <c r="G374" s="179"/>
      <c r="H374" s="179"/>
      <c r="I374" s="179"/>
      <c r="J374" s="179"/>
      <c r="K374" s="179"/>
      <c r="L374" s="179"/>
      <c r="M374" s="179"/>
      <c r="N374" s="179"/>
      <c r="O374" s="179"/>
      <c r="P374" s="179"/>
      <c r="Q374" s="179"/>
      <c r="R374" s="179"/>
      <c r="S374" s="179"/>
    </row>
    <row r="375" ht="14.25" customHeight="1">
      <c r="A375" s="184"/>
      <c r="B375" s="184"/>
      <c r="C375" s="179" t="s">
        <v>1946</v>
      </c>
      <c r="D375" s="184" t="s">
        <v>2188</v>
      </c>
      <c r="E375" s="184" t="s">
        <v>1818</v>
      </c>
      <c r="F375" s="184" t="s">
        <v>2196</v>
      </c>
      <c r="G375" s="179"/>
      <c r="H375" s="179"/>
      <c r="I375" s="179"/>
      <c r="J375" s="179"/>
      <c r="K375" s="179"/>
      <c r="L375" s="179"/>
      <c r="M375" s="179"/>
      <c r="N375" s="179"/>
      <c r="O375" s="179"/>
      <c r="P375" s="179"/>
      <c r="Q375" s="179"/>
      <c r="R375" s="179"/>
      <c r="S375" s="179"/>
    </row>
    <row r="376" ht="14.25" customHeight="1">
      <c r="A376" s="184"/>
      <c r="B376" s="184"/>
      <c r="C376" s="179" t="s">
        <v>1946</v>
      </c>
      <c r="D376" s="184" t="s">
        <v>1165</v>
      </c>
      <c r="E376" s="184" t="s">
        <v>1818</v>
      </c>
      <c r="F376" s="184" t="s">
        <v>2198</v>
      </c>
      <c r="G376" s="179"/>
      <c r="H376" s="179"/>
      <c r="I376" s="179"/>
      <c r="J376" s="179"/>
      <c r="K376" s="179"/>
      <c r="L376" s="179"/>
      <c r="M376" s="179"/>
      <c r="N376" s="179"/>
      <c r="O376" s="179"/>
      <c r="P376" s="179"/>
      <c r="Q376" s="179"/>
      <c r="R376" s="179"/>
      <c r="S376" s="179"/>
    </row>
    <row r="377" ht="14.25" customHeight="1">
      <c r="A377" s="184"/>
      <c r="B377" s="184"/>
      <c r="C377" s="179" t="s">
        <v>1946</v>
      </c>
      <c r="D377" s="184" t="s">
        <v>1165</v>
      </c>
      <c r="E377" s="184" t="s">
        <v>1818</v>
      </c>
      <c r="F377" s="184" t="s">
        <v>2201</v>
      </c>
      <c r="G377" s="179"/>
      <c r="H377" s="179"/>
      <c r="I377" s="179"/>
      <c r="J377" s="179"/>
      <c r="K377" s="179"/>
      <c r="L377" s="179"/>
      <c r="M377" s="179"/>
      <c r="N377" s="179"/>
      <c r="O377" s="179"/>
      <c r="P377" s="179"/>
      <c r="Q377" s="179"/>
      <c r="R377" s="179"/>
      <c r="S377" s="179"/>
    </row>
    <row r="378" ht="14.25" customHeight="1">
      <c r="A378" s="184"/>
      <c r="B378" s="184"/>
      <c r="C378" s="179" t="s">
        <v>1946</v>
      </c>
      <c r="D378" s="184" t="s">
        <v>1165</v>
      </c>
      <c r="E378" s="184" t="s">
        <v>1818</v>
      </c>
      <c r="F378" s="184" t="s">
        <v>2204</v>
      </c>
      <c r="G378" s="179"/>
      <c r="H378" s="179"/>
      <c r="I378" s="179"/>
      <c r="J378" s="179"/>
      <c r="K378" s="179"/>
      <c r="L378" s="179"/>
      <c r="M378" s="179"/>
      <c r="N378" s="179"/>
      <c r="O378" s="179"/>
      <c r="P378" s="179"/>
      <c r="Q378" s="179"/>
      <c r="R378" s="179"/>
      <c r="S378" s="179"/>
    </row>
    <row r="379" ht="14.25" customHeight="1">
      <c r="A379" s="184"/>
      <c r="B379" s="184"/>
      <c r="C379" s="179" t="s">
        <v>1946</v>
      </c>
      <c r="D379" s="184" t="s">
        <v>1165</v>
      </c>
      <c r="E379" s="184" t="s">
        <v>1818</v>
      </c>
      <c r="F379" s="184" t="s">
        <v>2207</v>
      </c>
      <c r="G379" s="179"/>
      <c r="H379" s="179"/>
      <c r="I379" s="179"/>
      <c r="J379" s="179"/>
      <c r="K379" s="179"/>
      <c r="L379" s="179"/>
      <c r="M379" s="179"/>
      <c r="N379" s="179"/>
      <c r="O379" s="179"/>
      <c r="P379" s="179"/>
      <c r="Q379" s="179"/>
      <c r="R379" s="179"/>
      <c r="S379" s="179"/>
    </row>
    <row r="380" ht="14.25" customHeight="1">
      <c r="A380" s="184"/>
      <c r="B380" s="184"/>
      <c r="C380" s="179" t="s">
        <v>2210</v>
      </c>
      <c r="D380" s="184" t="s">
        <v>2211</v>
      </c>
      <c r="E380" s="184" t="s">
        <v>1818</v>
      </c>
      <c r="F380" s="184" t="s">
        <v>2212</v>
      </c>
      <c r="G380" s="179"/>
      <c r="H380" s="179"/>
      <c r="I380" s="179"/>
      <c r="J380" s="179"/>
      <c r="K380" s="179"/>
      <c r="L380" s="179"/>
      <c r="M380" s="179"/>
      <c r="N380" s="179"/>
      <c r="O380" s="179"/>
      <c r="P380" s="179"/>
      <c r="Q380" s="179"/>
      <c r="R380" s="179"/>
      <c r="S380" s="179"/>
    </row>
    <row r="381" ht="14.25" customHeight="1">
      <c r="A381" s="184"/>
      <c r="B381" s="184"/>
      <c r="C381" s="179" t="s">
        <v>2210</v>
      </c>
      <c r="D381" s="184" t="s">
        <v>2211</v>
      </c>
      <c r="E381" s="184" t="s">
        <v>1818</v>
      </c>
      <c r="F381" s="184" t="s">
        <v>2216</v>
      </c>
      <c r="G381" s="179"/>
      <c r="H381" s="179"/>
      <c r="I381" s="179"/>
      <c r="J381" s="179"/>
      <c r="K381" s="179"/>
      <c r="L381" s="179"/>
      <c r="M381" s="179"/>
      <c r="N381" s="179"/>
      <c r="O381" s="179"/>
      <c r="P381" s="179"/>
      <c r="Q381" s="179"/>
      <c r="R381" s="179"/>
      <c r="S381" s="179"/>
    </row>
    <row r="382" ht="14.25" customHeight="1">
      <c r="A382" s="184"/>
      <c r="B382" s="184"/>
      <c r="C382" s="179" t="s">
        <v>2210</v>
      </c>
      <c r="D382" s="184" t="s">
        <v>2211</v>
      </c>
      <c r="E382" s="184" t="s">
        <v>1818</v>
      </c>
      <c r="F382" s="184" t="s">
        <v>2218</v>
      </c>
      <c r="G382" s="179"/>
      <c r="H382" s="179"/>
      <c r="I382" s="179"/>
      <c r="J382" s="179"/>
      <c r="K382" s="179"/>
      <c r="L382" s="179"/>
      <c r="M382" s="179"/>
      <c r="N382" s="179"/>
      <c r="O382" s="179"/>
      <c r="P382" s="179"/>
      <c r="Q382" s="179"/>
      <c r="R382" s="179"/>
      <c r="S382" s="179"/>
    </row>
    <row r="383" ht="14.25" customHeight="1">
      <c r="A383" s="184"/>
      <c r="B383" s="184"/>
      <c r="C383" s="179" t="s">
        <v>2210</v>
      </c>
      <c r="D383" s="184" t="s">
        <v>2211</v>
      </c>
      <c r="E383" s="184" t="s">
        <v>1818</v>
      </c>
      <c r="F383" s="184" t="s">
        <v>2219</v>
      </c>
      <c r="G383" s="179"/>
      <c r="H383" s="179"/>
      <c r="I383" s="179"/>
      <c r="J383" s="179"/>
      <c r="K383" s="179"/>
      <c r="L383" s="179"/>
      <c r="M383" s="179"/>
      <c r="N383" s="179"/>
      <c r="O383" s="179"/>
      <c r="P383" s="179"/>
      <c r="Q383" s="179"/>
      <c r="R383" s="179"/>
      <c r="S383" s="179"/>
    </row>
    <row r="384" ht="14.25" customHeight="1">
      <c r="A384" s="184"/>
      <c r="B384" s="184"/>
      <c r="C384" s="179" t="s">
        <v>2210</v>
      </c>
      <c r="D384" s="184" t="s">
        <v>2211</v>
      </c>
      <c r="E384" s="184" t="s">
        <v>1818</v>
      </c>
      <c r="F384" s="184" t="s">
        <v>2220</v>
      </c>
      <c r="G384" s="179"/>
      <c r="H384" s="179"/>
      <c r="I384" s="179"/>
      <c r="J384" s="179"/>
      <c r="K384" s="179"/>
      <c r="L384" s="179"/>
      <c r="M384" s="179"/>
      <c r="N384" s="179"/>
      <c r="O384" s="179"/>
      <c r="P384" s="179"/>
      <c r="Q384" s="179"/>
      <c r="R384" s="179"/>
      <c r="S384" s="179"/>
    </row>
    <row r="385" ht="14.25" customHeight="1">
      <c r="A385" s="184"/>
      <c r="B385" s="184"/>
      <c r="C385" s="179" t="s">
        <v>2210</v>
      </c>
      <c r="D385" s="184" t="s">
        <v>1107</v>
      </c>
      <c r="E385" s="184" t="s">
        <v>1818</v>
      </c>
      <c r="F385" s="184" t="s">
        <v>2221</v>
      </c>
      <c r="G385" s="179"/>
      <c r="H385" s="179"/>
      <c r="I385" s="179"/>
      <c r="J385" s="179"/>
      <c r="K385" s="179"/>
      <c r="L385" s="179"/>
      <c r="M385" s="179"/>
      <c r="N385" s="179"/>
      <c r="O385" s="179"/>
      <c r="P385" s="179"/>
      <c r="Q385" s="179"/>
      <c r="R385" s="179"/>
      <c r="S385" s="179"/>
    </row>
    <row r="386" ht="14.25" customHeight="1">
      <c r="A386" s="184"/>
      <c r="B386" s="184"/>
      <c r="C386" s="179" t="s">
        <v>2210</v>
      </c>
      <c r="D386" s="184" t="s">
        <v>1107</v>
      </c>
      <c r="E386" s="184" t="s">
        <v>1818</v>
      </c>
      <c r="F386" s="184" t="s">
        <v>2223</v>
      </c>
      <c r="G386" s="179"/>
      <c r="H386" s="179"/>
      <c r="I386" s="179"/>
      <c r="J386" s="179"/>
      <c r="K386" s="179"/>
      <c r="L386" s="179"/>
      <c r="M386" s="179"/>
      <c r="N386" s="179"/>
      <c r="O386" s="179"/>
      <c r="P386" s="179"/>
      <c r="Q386" s="179"/>
      <c r="R386" s="179"/>
      <c r="S386" s="179"/>
    </row>
    <row r="387" ht="14.25" customHeight="1">
      <c r="A387" s="184"/>
      <c r="B387" s="184"/>
      <c r="C387" s="179" t="s">
        <v>2210</v>
      </c>
      <c r="D387" s="184" t="s">
        <v>1107</v>
      </c>
      <c r="E387" s="184" t="s">
        <v>1818</v>
      </c>
      <c r="F387" s="184" t="s">
        <v>2227</v>
      </c>
      <c r="G387" s="179"/>
      <c r="H387" s="179"/>
      <c r="I387" s="179"/>
      <c r="J387" s="179"/>
      <c r="K387" s="179"/>
      <c r="L387" s="179"/>
      <c r="M387" s="179"/>
      <c r="N387" s="179"/>
      <c r="O387" s="179"/>
      <c r="P387" s="179"/>
      <c r="Q387" s="179"/>
      <c r="R387" s="179"/>
      <c r="S387" s="179"/>
    </row>
    <row r="388" ht="14.25" customHeight="1">
      <c r="A388" s="184"/>
      <c r="B388" s="184"/>
      <c r="C388" s="179" t="s">
        <v>2210</v>
      </c>
      <c r="D388" s="184" t="s">
        <v>1107</v>
      </c>
      <c r="E388" s="184" t="s">
        <v>1818</v>
      </c>
      <c r="F388" s="184" t="s">
        <v>2230</v>
      </c>
      <c r="G388" s="179"/>
      <c r="H388" s="179"/>
      <c r="I388" s="179"/>
      <c r="J388" s="179"/>
      <c r="K388" s="179"/>
      <c r="L388" s="179"/>
      <c r="M388" s="179"/>
      <c r="N388" s="179"/>
      <c r="O388" s="179"/>
      <c r="P388" s="179"/>
      <c r="Q388" s="179"/>
      <c r="R388" s="179"/>
      <c r="S388" s="179"/>
    </row>
    <row r="389" ht="14.25" customHeight="1">
      <c r="A389" s="184"/>
      <c r="B389" s="184"/>
      <c r="C389" s="179" t="s">
        <v>2210</v>
      </c>
      <c r="D389" s="184" t="s">
        <v>1107</v>
      </c>
      <c r="E389" s="184" t="s">
        <v>1818</v>
      </c>
      <c r="F389" s="184" t="s">
        <v>2233</v>
      </c>
      <c r="G389" s="179"/>
      <c r="H389" s="179"/>
      <c r="I389" s="179"/>
      <c r="J389" s="179"/>
      <c r="K389" s="179"/>
      <c r="L389" s="179"/>
      <c r="M389" s="179"/>
      <c r="N389" s="179"/>
      <c r="O389" s="179"/>
      <c r="P389" s="179"/>
      <c r="Q389" s="179"/>
      <c r="R389" s="179"/>
      <c r="S389" s="179"/>
    </row>
    <row r="390" ht="14.25" customHeight="1">
      <c r="A390" s="184"/>
      <c r="B390" s="184"/>
      <c r="C390" s="179" t="s">
        <v>2210</v>
      </c>
      <c r="D390" s="184" t="s">
        <v>1119</v>
      </c>
      <c r="E390" s="184" t="s">
        <v>1818</v>
      </c>
      <c r="F390" s="184" t="s">
        <v>2235</v>
      </c>
      <c r="G390" s="179"/>
      <c r="H390" s="179"/>
      <c r="I390" s="179"/>
      <c r="J390" s="179"/>
      <c r="K390" s="179"/>
      <c r="L390" s="179"/>
      <c r="M390" s="179"/>
      <c r="N390" s="179"/>
      <c r="O390" s="179"/>
      <c r="P390" s="179"/>
      <c r="Q390" s="179"/>
      <c r="R390" s="179"/>
      <c r="S390" s="179"/>
    </row>
    <row r="391" ht="14.25" customHeight="1">
      <c r="A391" s="184"/>
      <c r="B391" s="184"/>
      <c r="C391" s="179" t="s">
        <v>2210</v>
      </c>
      <c r="D391" s="184" t="s">
        <v>1119</v>
      </c>
      <c r="E391" s="184" t="s">
        <v>1818</v>
      </c>
      <c r="F391" s="184" t="s">
        <v>2236</v>
      </c>
      <c r="G391" s="179"/>
      <c r="H391" s="179"/>
      <c r="I391" s="179"/>
      <c r="J391" s="179"/>
      <c r="K391" s="179"/>
      <c r="L391" s="179"/>
      <c r="M391" s="179"/>
      <c r="N391" s="179"/>
      <c r="O391" s="179"/>
      <c r="P391" s="179"/>
      <c r="Q391" s="179"/>
      <c r="R391" s="179"/>
      <c r="S391" s="179"/>
    </row>
    <row r="392" ht="14.25" customHeight="1">
      <c r="A392" s="184"/>
      <c r="B392" s="184"/>
      <c r="C392" s="179" t="s">
        <v>2210</v>
      </c>
      <c r="D392" s="184" t="s">
        <v>1119</v>
      </c>
      <c r="E392" s="184" t="s">
        <v>1818</v>
      </c>
      <c r="F392" s="184" t="s">
        <v>2239</v>
      </c>
      <c r="G392" s="179"/>
      <c r="H392" s="179"/>
      <c r="I392" s="179"/>
      <c r="J392" s="179"/>
      <c r="K392" s="179"/>
      <c r="L392" s="179"/>
      <c r="M392" s="179"/>
      <c r="N392" s="179"/>
      <c r="O392" s="179"/>
      <c r="P392" s="179"/>
      <c r="Q392" s="179"/>
      <c r="R392" s="179"/>
      <c r="S392" s="179"/>
    </row>
    <row r="393" ht="14.25" customHeight="1">
      <c r="A393" s="184"/>
      <c r="B393" s="184"/>
      <c r="C393" s="179" t="s">
        <v>2210</v>
      </c>
      <c r="D393" s="184" t="s">
        <v>1119</v>
      </c>
      <c r="E393" s="184" t="s">
        <v>1818</v>
      </c>
      <c r="F393" s="184" t="s">
        <v>2241</v>
      </c>
      <c r="G393" s="179"/>
      <c r="H393" s="179"/>
      <c r="I393" s="179"/>
      <c r="J393" s="179"/>
      <c r="K393" s="179"/>
      <c r="L393" s="179"/>
      <c r="M393" s="179"/>
      <c r="N393" s="179"/>
      <c r="O393" s="179"/>
      <c r="P393" s="179"/>
      <c r="Q393" s="179"/>
      <c r="R393" s="179"/>
      <c r="S393" s="179"/>
    </row>
    <row r="394" ht="14.25" customHeight="1">
      <c r="A394" s="184"/>
      <c r="B394" s="184"/>
      <c r="C394" s="179" t="s">
        <v>2210</v>
      </c>
      <c r="D394" s="184" t="s">
        <v>1119</v>
      </c>
      <c r="E394" s="184" t="s">
        <v>1818</v>
      </c>
      <c r="F394" s="184" t="s">
        <v>2244</v>
      </c>
      <c r="G394" s="179"/>
      <c r="H394" s="179"/>
      <c r="I394" s="179"/>
      <c r="J394" s="179"/>
      <c r="K394" s="179"/>
      <c r="L394" s="179"/>
      <c r="M394" s="179"/>
      <c r="N394" s="179"/>
      <c r="O394" s="179"/>
      <c r="P394" s="179"/>
      <c r="Q394" s="179"/>
      <c r="R394" s="179"/>
      <c r="S394" s="179"/>
    </row>
    <row r="395" ht="14.25" customHeight="1">
      <c r="A395" s="184"/>
      <c r="B395" s="184"/>
      <c r="C395" s="179" t="s">
        <v>2210</v>
      </c>
      <c r="D395" s="184" t="s">
        <v>1119</v>
      </c>
      <c r="E395" s="184" t="s">
        <v>1818</v>
      </c>
      <c r="F395" s="184" t="s">
        <v>2247</v>
      </c>
      <c r="G395" s="179"/>
      <c r="H395" s="179"/>
      <c r="I395" s="179"/>
      <c r="J395" s="179"/>
      <c r="K395" s="179"/>
      <c r="L395" s="179"/>
      <c r="M395" s="179"/>
      <c r="N395" s="179"/>
      <c r="O395" s="179"/>
      <c r="P395" s="179"/>
      <c r="Q395" s="179"/>
      <c r="R395" s="179"/>
      <c r="S395" s="179"/>
    </row>
    <row r="396" ht="14.25" customHeight="1">
      <c r="A396" s="184"/>
      <c r="B396" s="184"/>
      <c r="C396" s="179" t="s">
        <v>2187</v>
      </c>
      <c r="D396" s="184" t="s">
        <v>1098</v>
      </c>
      <c r="E396" s="184" t="s">
        <v>2081</v>
      </c>
      <c r="F396" s="184" t="s">
        <v>2250</v>
      </c>
      <c r="G396" s="179"/>
      <c r="H396" s="179"/>
      <c r="I396" s="179"/>
      <c r="J396" s="179"/>
      <c r="K396" s="179"/>
      <c r="L396" s="179"/>
      <c r="M396" s="179"/>
      <c r="N396" s="179"/>
      <c r="O396" s="179"/>
      <c r="P396" s="179"/>
      <c r="Q396" s="179"/>
      <c r="R396" s="179"/>
      <c r="S396" s="179"/>
    </row>
    <row r="397" ht="14.25" customHeight="1">
      <c r="A397" s="184"/>
      <c r="B397" s="184"/>
      <c r="C397" s="184" t="s">
        <v>2187</v>
      </c>
      <c r="D397" s="184" t="s">
        <v>1098</v>
      </c>
      <c r="E397" s="184" t="s">
        <v>2081</v>
      </c>
      <c r="F397" s="184" t="s">
        <v>2253</v>
      </c>
      <c r="G397" s="179"/>
      <c r="H397" s="179"/>
      <c r="I397" s="179"/>
      <c r="J397" s="179"/>
      <c r="K397" s="179"/>
      <c r="L397" s="179"/>
      <c r="M397" s="179"/>
      <c r="N397" s="179"/>
      <c r="O397" s="179"/>
      <c r="P397" s="179"/>
      <c r="Q397" s="179"/>
      <c r="R397" s="179"/>
      <c r="S397" s="179"/>
    </row>
    <row r="398" ht="14.25" customHeight="1">
      <c r="A398" s="184"/>
      <c r="B398" s="184"/>
      <c r="C398" s="184" t="s">
        <v>2187</v>
      </c>
      <c r="D398" s="184" t="s">
        <v>1098</v>
      </c>
      <c r="E398" s="184" t="s">
        <v>2081</v>
      </c>
      <c r="F398" s="184" t="s">
        <v>2255</v>
      </c>
      <c r="G398" s="179"/>
      <c r="H398" s="179"/>
      <c r="I398" s="179"/>
      <c r="J398" s="179"/>
      <c r="K398" s="179"/>
      <c r="L398" s="179"/>
      <c r="M398" s="179"/>
      <c r="N398" s="179"/>
      <c r="O398" s="179"/>
      <c r="P398" s="179"/>
      <c r="Q398" s="179"/>
      <c r="R398" s="179"/>
      <c r="S398" s="179"/>
    </row>
    <row r="399" ht="14.25" customHeight="1">
      <c r="A399" s="184"/>
      <c r="B399" s="184"/>
      <c r="C399" s="184" t="s">
        <v>2187</v>
      </c>
      <c r="D399" s="184" t="s">
        <v>1098</v>
      </c>
      <c r="E399" s="184" t="s">
        <v>2081</v>
      </c>
      <c r="F399" s="184" t="s">
        <v>2256</v>
      </c>
      <c r="G399" s="179"/>
      <c r="H399" s="179"/>
      <c r="I399" s="179"/>
      <c r="J399" s="179"/>
      <c r="K399" s="179"/>
      <c r="L399" s="179"/>
      <c r="M399" s="179"/>
      <c r="N399" s="179"/>
      <c r="O399" s="179"/>
      <c r="P399" s="179"/>
      <c r="Q399" s="179"/>
      <c r="R399" s="179"/>
      <c r="S399" s="179"/>
    </row>
    <row r="400" ht="14.25" customHeight="1">
      <c r="A400" s="184"/>
      <c r="B400" s="184"/>
      <c r="C400" s="184" t="s">
        <v>2187</v>
      </c>
      <c r="D400" s="184" t="s">
        <v>1098</v>
      </c>
      <c r="E400" s="184" t="s">
        <v>2081</v>
      </c>
      <c r="F400" s="184" t="s">
        <v>2259</v>
      </c>
      <c r="G400" s="179"/>
      <c r="H400" s="179"/>
      <c r="I400" s="179"/>
      <c r="J400" s="179"/>
      <c r="K400" s="179"/>
      <c r="L400" s="179"/>
      <c r="M400" s="179"/>
      <c r="N400" s="179"/>
      <c r="O400" s="179"/>
      <c r="P400" s="179"/>
      <c r="Q400" s="179"/>
      <c r="R400" s="179"/>
      <c r="S400" s="179"/>
    </row>
    <row r="401" ht="14.25" customHeight="1">
      <c r="A401" s="184"/>
      <c r="B401" s="184"/>
      <c r="C401" s="184" t="s">
        <v>2187</v>
      </c>
      <c r="D401" s="184" t="s">
        <v>1098</v>
      </c>
      <c r="E401" s="184" t="s">
        <v>2081</v>
      </c>
      <c r="F401" s="184" t="s">
        <v>2263</v>
      </c>
      <c r="G401" s="179"/>
      <c r="H401" s="179"/>
      <c r="I401" s="179"/>
      <c r="J401" s="179"/>
      <c r="K401" s="179"/>
      <c r="L401" s="179"/>
      <c r="M401" s="179"/>
      <c r="N401" s="179"/>
      <c r="O401" s="179"/>
      <c r="P401" s="179"/>
      <c r="Q401" s="179"/>
      <c r="R401" s="179"/>
      <c r="S401" s="179"/>
    </row>
    <row r="402" ht="14.25" customHeight="1">
      <c r="A402" s="184"/>
      <c r="B402" s="184"/>
      <c r="C402" s="184" t="s">
        <v>2187</v>
      </c>
      <c r="D402" s="184" t="s">
        <v>1098</v>
      </c>
      <c r="E402" s="184" t="s">
        <v>2081</v>
      </c>
      <c r="F402" s="184" t="s">
        <v>2266</v>
      </c>
      <c r="G402" s="179"/>
      <c r="H402" s="179"/>
      <c r="I402" s="179"/>
      <c r="J402" s="179"/>
      <c r="K402" s="179"/>
      <c r="L402" s="179"/>
      <c r="M402" s="179"/>
      <c r="N402" s="179"/>
      <c r="O402" s="179"/>
      <c r="P402" s="179"/>
      <c r="Q402" s="179"/>
      <c r="R402" s="179"/>
      <c r="S402" s="179"/>
    </row>
    <row r="403" ht="14.25" customHeight="1">
      <c r="A403" s="184"/>
      <c r="B403" s="184"/>
      <c r="C403" s="184" t="s">
        <v>2187</v>
      </c>
      <c r="D403" s="184" t="s">
        <v>1098</v>
      </c>
      <c r="E403" s="184" t="s">
        <v>2081</v>
      </c>
      <c r="F403" s="184" t="s">
        <v>2269</v>
      </c>
      <c r="G403" s="179"/>
      <c r="H403" s="179"/>
      <c r="I403" s="179"/>
      <c r="J403" s="179"/>
      <c r="K403" s="179"/>
      <c r="L403" s="179"/>
      <c r="M403" s="179"/>
      <c r="N403" s="179"/>
      <c r="O403" s="179"/>
      <c r="P403" s="179"/>
      <c r="Q403" s="179"/>
      <c r="R403" s="179"/>
      <c r="S403" s="179"/>
    </row>
    <row r="404" ht="14.25" customHeight="1">
      <c r="A404" s="184"/>
      <c r="B404" s="184"/>
      <c r="C404" s="184" t="s">
        <v>2187</v>
      </c>
      <c r="D404" s="184" t="s">
        <v>1098</v>
      </c>
      <c r="E404" s="184" t="s">
        <v>2081</v>
      </c>
      <c r="F404" s="184" t="s">
        <v>2272</v>
      </c>
      <c r="G404" s="179"/>
      <c r="H404" s="179"/>
      <c r="I404" s="179"/>
      <c r="J404" s="179"/>
      <c r="K404" s="179"/>
      <c r="L404" s="179"/>
      <c r="M404" s="179"/>
      <c r="N404" s="179"/>
      <c r="O404" s="179"/>
      <c r="P404" s="179"/>
      <c r="Q404" s="179"/>
      <c r="R404" s="179"/>
      <c r="S404" s="179"/>
    </row>
    <row r="405" ht="14.25" customHeight="1">
      <c r="A405" s="184"/>
      <c r="B405" s="184"/>
      <c r="C405" s="184" t="s">
        <v>2187</v>
      </c>
      <c r="D405" s="184" t="s">
        <v>1098</v>
      </c>
      <c r="E405" s="184" t="s">
        <v>2081</v>
      </c>
      <c r="F405" s="184" t="s">
        <v>2277</v>
      </c>
      <c r="G405" s="179"/>
      <c r="H405" s="179"/>
      <c r="I405" s="179"/>
      <c r="J405" s="179"/>
      <c r="K405" s="179"/>
      <c r="L405" s="179"/>
      <c r="M405" s="179"/>
      <c r="N405" s="179"/>
      <c r="O405" s="179"/>
      <c r="P405" s="179"/>
      <c r="Q405" s="179"/>
      <c r="R405" s="179"/>
      <c r="S405" s="179"/>
    </row>
    <row r="406" ht="14.25" customHeight="1">
      <c r="A406" s="184"/>
      <c r="B406" s="184"/>
      <c r="C406" s="184" t="s">
        <v>2187</v>
      </c>
      <c r="D406" s="184" t="s">
        <v>1098</v>
      </c>
      <c r="E406" s="184" t="s">
        <v>2081</v>
      </c>
      <c r="F406" s="184" t="s">
        <v>2280</v>
      </c>
      <c r="G406" s="179"/>
      <c r="H406" s="179"/>
      <c r="I406" s="179"/>
      <c r="J406" s="179"/>
      <c r="K406" s="179"/>
      <c r="L406" s="179"/>
      <c r="M406" s="179"/>
      <c r="N406" s="179"/>
      <c r="O406" s="179"/>
      <c r="P406" s="179"/>
      <c r="Q406" s="179"/>
      <c r="R406" s="179"/>
      <c r="S406" s="179"/>
    </row>
    <row r="407" ht="14.25" customHeight="1">
      <c r="A407" s="184"/>
      <c r="B407" s="184"/>
      <c r="C407" s="184" t="s">
        <v>2187</v>
      </c>
      <c r="D407" s="184" t="s">
        <v>1098</v>
      </c>
      <c r="E407" s="184" t="s">
        <v>2081</v>
      </c>
      <c r="F407" s="184" t="s">
        <v>2284</v>
      </c>
      <c r="G407" s="179"/>
      <c r="H407" s="179"/>
      <c r="I407" s="179"/>
      <c r="J407" s="179"/>
      <c r="K407" s="179"/>
      <c r="L407" s="179"/>
      <c r="M407" s="179"/>
      <c r="N407" s="179"/>
      <c r="O407" s="179"/>
      <c r="P407" s="179"/>
      <c r="Q407" s="179"/>
      <c r="R407" s="179"/>
      <c r="S407" s="179"/>
    </row>
    <row r="408" ht="14.25" customHeight="1">
      <c r="A408" s="184"/>
      <c r="B408" s="184"/>
      <c r="C408" s="184" t="s">
        <v>2187</v>
      </c>
      <c r="D408" s="184" t="s">
        <v>1100</v>
      </c>
      <c r="E408" s="184" t="s">
        <v>2081</v>
      </c>
      <c r="F408" s="184" t="s">
        <v>2285</v>
      </c>
      <c r="G408" s="179"/>
      <c r="H408" s="179"/>
      <c r="I408" s="179"/>
      <c r="J408" s="179"/>
      <c r="K408" s="179"/>
      <c r="L408" s="179"/>
      <c r="M408" s="179"/>
      <c r="N408" s="179"/>
      <c r="O408" s="179"/>
      <c r="P408" s="179"/>
      <c r="Q408" s="179"/>
      <c r="R408" s="179"/>
      <c r="S408" s="179"/>
    </row>
    <row r="409" ht="14.25" customHeight="1">
      <c r="A409" s="184"/>
      <c r="B409" s="184"/>
      <c r="C409" s="184" t="s">
        <v>2187</v>
      </c>
      <c r="D409" s="184" t="s">
        <v>1100</v>
      </c>
      <c r="E409" s="184" t="s">
        <v>2081</v>
      </c>
      <c r="F409" s="184" t="s">
        <v>2286</v>
      </c>
      <c r="G409" s="179"/>
      <c r="H409" s="179"/>
      <c r="I409" s="179"/>
      <c r="J409" s="179"/>
      <c r="K409" s="179"/>
      <c r="L409" s="179"/>
      <c r="M409" s="179"/>
      <c r="N409" s="179"/>
      <c r="O409" s="179"/>
      <c r="P409" s="179"/>
      <c r="Q409" s="179"/>
      <c r="R409" s="179"/>
      <c r="S409" s="179"/>
    </row>
    <row r="410" ht="14.25" customHeight="1">
      <c r="A410" s="184"/>
      <c r="B410" s="184"/>
      <c r="C410" s="184" t="s">
        <v>2187</v>
      </c>
      <c r="D410" s="184" t="s">
        <v>1100</v>
      </c>
      <c r="E410" s="184" t="s">
        <v>2081</v>
      </c>
      <c r="F410" s="184" t="s">
        <v>2287</v>
      </c>
      <c r="G410" s="179"/>
      <c r="H410" s="179"/>
      <c r="I410" s="179"/>
      <c r="J410" s="179"/>
      <c r="K410" s="179"/>
      <c r="L410" s="179"/>
      <c r="M410" s="179"/>
      <c r="N410" s="179"/>
      <c r="O410" s="179"/>
      <c r="P410" s="179"/>
      <c r="Q410" s="179"/>
      <c r="R410" s="179"/>
      <c r="S410" s="179"/>
    </row>
    <row r="411" ht="14.25" customHeight="1">
      <c r="A411" s="184"/>
      <c r="B411" s="184"/>
      <c r="C411" s="184" t="s">
        <v>2187</v>
      </c>
      <c r="D411" s="184" t="s">
        <v>1100</v>
      </c>
      <c r="E411" s="184" t="s">
        <v>2081</v>
      </c>
      <c r="F411" s="184" t="s">
        <v>2288</v>
      </c>
      <c r="G411" s="179"/>
      <c r="H411" s="179"/>
      <c r="I411" s="179"/>
      <c r="J411" s="179"/>
      <c r="K411" s="179"/>
      <c r="L411" s="179"/>
      <c r="M411" s="179"/>
      <c r="N411" s="179"/>
      <c r="O411" s="179"/>
      <c r="P411" s="179"/>
      <c r="Q411" s="179"/>
      <c r="R411" s="179"/>
      <c r="S411" s="179"/>
    </row>
    <row r="412" ht="14.25" customHeight="1">
      <c r="A412" s="184"/>
      <c r="B412" s="184"/>
      <c r="C412" s="184" t="s">
        <v>2187</v>
      </c>
      <c r="D412" s="184" t="s">
        <v>1100</v>
      </c>
      <c r="E412" s="184" t="s">
        <v>2081</v>
      </c>
      <c r="F412" s="184" t="s">
        <v>2289</v>
      </c>
      <c r="G412" s="179"/>
      <c r="H412" s="179"/>
      <c r="I412" s="179"/>
      <c r="J412" s="179"/>
      <c r="K412" s="179"/>
      <c r="L412" s="179"/>
      <c r="M412" s="179"/>
      <c r="N412" s="179"/>
      <c r="O412" s="179"/>
      <c r="P412" s="179"/>
      <c r="Q412" s="179"/>
      <c r="R412" s="179"/>
      <c r="S412" s="179"/>
    </row>
    <row r="413" ht="14.25" customHeight="1">
      <c r="A413" s="184"/>
      <c r="B413" s="184"/>
      <c r="C413" s="184" t="s">
        <v>2187</v>
      </c>
      <c r="D413" s="184" t="s">
        <v>1100</v>
      </c>
      <c r="E413" s="184" t="s">
        <v>2081</v>
      </c>
      <c r="F413" s="184" t="s">
        <v>2280</v>
      </c>
      <c r="G413" s="179"/>
      <c r="H413" s="179"/>
      <c r="I413" s="179"/>
      <c r="J413" s="179"/>
      <c r="K413" s="179"/>
      <c r="L413" s="179"/>
      <c r="M413" s="179"/>
      <c r="N413" s="179"/>
      <c r="O413" s="179"/>
      <c r="P413" s="179"/>
      <c r="Q413" s="179"/>
      <c r="R413" s="179"/>
      <c r="S413" s="179"/>
    </row>
    <row r="414" ht="14.25" customHeight="1">
      <c r="A414" s="184"/>
      <c r="B414" s="184"/>
      <c r="C414" s="184" t="s">
        <v>2187</v>
      </c>
      <c r="D414" s="184" t="s">
        <v>1100</v>
      </c>
      <c r="E414" s="184" t="s">
        <v>2081</v>
      </c>
      <c r="F414" s="184" t="s">
        <v>2290</v>
      </c>
      <c r="G414" s="179"/>
      <c r="H414" s="179"/>
      <c r="I414" s="179"/>
      <c r="J414" s="179"/>
      <c r="K414" s="179"/>
      <c r="L414" s="179"/>
      <c r="M414" s="179"/>
      <c r="N414" s="179"/>
      <c r="O414" s="179"/>
      <c r="P414" s="179"/>
      <c r="Q414" s="179"/>
      <c r="R414" s="179"/>
      <c r="S414" s="179"/>
    </row>
    <row r="415" ht="14.25" customHeight="1">
      <c r="A415" s="184"/>
      <c r="B415" s="184"/>
      <c r="C415" s="184" t="s">
        <v>2187</v>
      </c>
      <c r="D415" s="184" t="s">
        <v>1100</v>
      </c>
      <c r="E415" s="184" t="s">
        <v>2081</v>
      </c>
      <c r="F415" s="184" t="s">
        <v>2291</v>
      </c>
      <c r="G415" s="179"/>
      <c r="H415" s="179"/>
      <c r="I415" s="179"/>
      <c r="J415" s="179"/>
      <c r="K415" s="179"/>
      <c r="L415" s="179"/>
      <c r="M415" s="179"/>
      <c r="N415" s="179"/>
      <c r="O415" s="179"/>
      <c r="P415" s="179"/>
      <c r="Q415" s="179"/>
      <c r="R415" s="179"/>
      <c r="S415" s="179"/>
    </row>
    <row r="416" ht="14.25" customHeight="1">
      <c r="A416" s="184"/>
      <c r="B416" s="184"/>
      <c r="C416" s="184" t="s">
        <v>2187</v>
      </c>
      <c r="D416" s="184" t="s">
        <v>1100</v>
      </c>
      <c r="E416" s="184" t="s">
        <v>2081</v>
      </c>
      <c r="F416" s="184" t="s">
        <v>2293</v>
      </c>
      <c r="G416" s="179"/>
      <c r="H416" s="179"/>
      <c r="I416" s="179"/>
      <c r="J416" s="179"/>
      <c r="K416" s="179"/>
      <c r="L416" s="179"/>
      <c r="M416" s="179"/>
      <c r="N416" s="179"/>
      <c r="O416" s="179"/>
      <c r="P416" s="179"/>
      <c r="Q416" s="179"/>
      <c r="R416" s="179"/>
      <c r="S416" s="179"/>
    </row>
    <row r="417" ht="14.25" customHeight="1">
      <c r="A417" s="184"/>
      <c r="B417" s="184"/>
      <c r="C417" s="184" t="s">
        <v>2187</v>
      </c>
      <c r="D417" s="184" t="s">
        <v>1100</v>
      </c>
      <c r="E417" s="184" t="s">
        <v>2081</v>
      </c>
      <c r="F417" s="184" t="s">
        <v>2295</v>
      </c>
      <c r="G417" s="179"/>
      <c r="H417" s="179"/>
      <c r="I417" s="179"/>
      <c r="J417" s="179"/>
      <c r="K417" s="179"/>
      <c r="L417" s="179"/>
      <c r="M417" s="179"/>
      <c r="N417" s="179"/>
      <c r="O417" s="179"/>
      <c r="P417" s="179"/>
      <c r="Q417" s="179"/>
      <c r="R417" s="179"/>
      <c r="S417" s="179"/>
    </row>
    <row r="418" ht="14.25" customHeight="1">
      <c r="A418" s="184"/>
      <c r="B418" s="184"/>
      <c r="C418" s="184" t="s">
        <v>2187</v>
      </c>
      <c r="D418" s="184" t="s">
        <v>1100</v>
      </c>
      <c r="E418" s="184" t="s">
        <v>2081</v>
      </c>
      <c r="F418" s="184" t="s">
        <v>2297</v>
      </c>
      <c r="G418" s="179"/>
      <c r="H418" s="179"/>
      <c r="I418" s="179"/>
      <c r="J418" s="179"/>
      <c r="K418" s="179"/>
      <c r="L418" s="179"/>
      <c r="M418" s="179"/>
      <c r="N418" s="179"/>
      <c r="O418" s="179"/>
      <c r="P418" s="179"/>
      <c r="Q418" s="179"/>
      <c r="R418" s="179"/>
      <c r="S418" s="179"/>
    </row>
    <row r="419" ht="14.25" customHeight="1">
      <c r="A419" s="184"/>
      <c r="B419" s="184"/>
      <c r="C419" s="184" t="s">
        <v>2187</v>
      </c>
      <c r="D419" s="184" t="s">
        <v>1100</v>
      </c>
      <c r="E419" s="184" t="s">
        <v>2081</v>
      </c>
      <c r="F419" s="184" t="s">
        <v>2298</v>
      </c>
      <c r="G419" s="179"/>
      <c r="H419" s="179"/>
      <c r="I419" s="179"/>
      <c r="J419" s="179"/>
      <c r="K419" s="179"/>
      <c r="L419" s="179"/>
      <c r="M419" s="179"/>
      <c r="N419" s="179"/>
      <c r="O419" s="179"/>
      <c r="P419" s="179"/>
      <c r="Q419" s="179"/>
      <c r="R419" s="179"/>
      <c r="S419" s="179"/>
    </row>
    <row r="420" ht="14.25" customHeight="1">
      <c r="A420" s="184"/>
      <c r="B420" s="184"/>
      <c r="C420" s="184" t="s">
        <v>2187</v>
      </c>
      <c r="D420" s="184" t="s">
        <v>2299</v>
      </c>
      <c r="E420" s="184" t="s">
        <v>2081</v>
      </c>
      <c r="F420" s="184" t="s">
        <v>2300</v>
      </c>
      <c r="G420" s="179"/>
      <c r="H420" s="179"/>
      <c r="I420" s="179"/>
      <c r="J420" s="179"/>
      <c r="K420" s="179"/>
      <c r="L420" s="179"/>
      <c r="M420" s="179"/>
      <c r="N420" s="179"/>
      <c r="O420" s="179"/>
      <c r="P420" s="179"/>
      <c r="Q420" s="179"/>
      <c r="R420" s="179"/>
      <c r="S420" s="179"/>
    </row>
    <row r="421" ht="14.25" customHeight="1">
      <c r="A421" s="184"/>
      <c r="B421" s="184"/>
      <c r="C421" s="184" t="s">
        <v>2187</v>
      </c>
      <c r="D421" s="184" t="s">
        <v>2299</v>
      </c>
      <c r="E421" s="184" t="s">
        <v>2081</v>
      </c>
      <c r="F421" s="184" t="s">
        <v>2302</v>
      </c>
      <c r="G421" s="179"/>
      <c r="H421" s="179"/>
      <c r="I421" s="179"/>
      <c r="J421" s="179"/>
      <c r="K421" s="179"/>
      <c r="L421" s="179"/>
      <c r="M421" s="179"/>
      <c r="N421" s="179"/>
      <c r="O421" s="179"/>
      <c r="P421" s="179"/>
      <c r="Q421" s="179"/>
      <c r="R421" s="179"/>
      <c r="S421" s="179"/>
    </row>
    <row r="422" ht="14.25" customHeight="1">
      <c r="A422" s="184"/>
      <c r="B422" s="184"/>
      <c r="C422" s="184" t="s">
        <v>2187</v>
      </c>
      <c r="D422" s="184" t="s">
        <v>2299</v>
      </c>
      <c r="E422" s="184" t="s">
        <v>2081</v>
      </c>
      <c r="F422" s="184" t="s">
        <v>2303</v>
      </c>
      <c r="G422" s="179"/>
      <c r="H422" s="179"/>
      <c r="I422" s="179"/>
      <c r="J422" s="179"/>
      <c r="K422" s="179"/>
      <c r="L422" s="179"/>
      <c r="M422" s="179"/>
      <c r="N422" s="179"/>
      <c r="O422" s="179"/>
      <c r="P422" s="179"/>
      <c r="Q422" s="179"/>
      <c r="R422" s="179"/>
      <c r="S422" s="179"/>
    </row>
    <row r="423" ht="14.25" customHeight="1">
      <c r="A423" s="184"/>
      <c r="B423" s="184"/>
      <c r="C423" s="184" t="s">
        <v>2187</v>
      </c>
      <c r="D423" s="184" t="s">
        <v>2299</v>
      </c>
      <c r="E423" s="184" t="s">
        <v>2081</v>
      </c>
      <c r="F423" s="184" t="s">
        <v>2304</v>
      </c>
      <c r="G423" s="179"/>
      <c r="H423" s="179"/>
      <c r="I423" s="179"/>
      <c r="J423" s="179"/>
      <c r="K423" s="179"/>
      <c r="L423" s="179"/>
      <c r="M423" s="179"/>
      <c r="N423" s="179"/>
      <c r="O423" s="179"/>
      <c r="P423" s="179"/>
      <c r="Q423" s="179"/>
      <c r="R423" s="179"/>
      <c r="S423" s="179"/>
    </row>
    <row r="424" ht="14.25" customHeight="1">
      <c r="A424" s="184"/>
      <c r="B424" s="184"/>
      <c r="C424" s="184" t="s">
        <v>2187</v>
      </c>
      <c r="D424" s="184" t="s">
        <v>2299</v>
      </c>
      <c r="E424" s="184" t="s">
        <v>2081</v>
      </c>
      <c r="F424" s="184" t="s">
        <v>2305</v>
      </c>
      <c r="G424" s="179"/>
      <c r="H424" s="179"/>
      <c r="I424" s="179"/>
      <c r="J424" s="179"/>
      <c r="K424" s="179"/>
      <c r="L424" s="179"/>
      <c r="M424" s="179"/>
      <c r="N424" s="179"/>
      <c r="O424" s="179"/>
      <c r="P424" s="179"/>
      <c r="Q424" s="179"/>
      <c r="R424" s="179"/>
      <c r="S424" s="179"/>
    </row>
    <row r="425" ht="14.25" customHeight="1">
      <c r="A425" s="184"/>
      <c r="B425" s="184"/>
      <c r="C425" s="184" t="s">
        <v>2187</v>
      </c>
      <c r="D425" s="184" t="s">
        <v>2299</v>
      </c>
      <c r="E425" s="184" t="s">
        <v>2081</v>
      </c>
      <c r="F425" s="184" t="s">
        <v>2306</v>
      </c>
      <c r="G425" s="179"/>
      <c r="H425" s="179"/>
      <c r="I425" s="179"/>
      <c r="J425" s="179"/>
      <c r="K425" s="179"/>
      <c r="L425" s="179"/>
      <c r="M425" s="179"/>
      <c r="N425" s="179"/>
      <c r="O425" s="179"/>
      <c r="P425" s="179"/>
      <c r="Q425" s="179"/>
      <c r="R425" s="179"/>
      <c r="S425" s="179"/>
    </row>
    <row r="426" ht="14.25" customHeight="1">
      <c r="A426" s="184"/>
      <c r="B426" s="184"/>
      <c r="C426" s="184" t="s">
        <v>2187</v>
      </c>
      <c r="D426" s="184" t="s">
        <v>2299</v>
      </c>
      <c r="E426" s="184" t="s">
        <v>2081</v>
      </c>
      <c r="F426" s="184" t="s">
        <v>2307</v>
      </c>
      <c r="G426" s="179"/>
      <c r="H426" s="179"/>
      <c r="I426" s="179"/>
      <c r="J426" s="179"/>
      <c r="K426" s="179"/>
      <c r="L426" s="179"/>
      <c r="M426" s="179"/>
      <c r="N426" s="179"/>
      <c r="O426" s="179"/>
      <c r="P426" s="179"/>
      <c r="Q426" s="179"/>
      <c r="R426" s="179"/>
      <c r="S426" s="179"/>
    </row>
    <row r="427" ht="14.25" customHeight="1">
      <c r="A427" s="184"/>
      <c r="B427" s="184"/>
      <c r="C427" s="184" t="s">
        <v>2187</v>
      </c>
      <c r="D427" s="184" t="s">
        <v>2299</v>
      </c>
      <c r="E427" s="184" t="s">
        <v>2081</v>
      </c>
      <c r="F427" s="184" t="s">
        <v>2308</v>
      </c>
      <c r="G427" s="179"/>
      <c r="H427" s="179"/>
      <c r="I427" s="179"/>
      <c r="J427" s="179"/>
      <c r="K427" s="179"/>
      <c r="L427" s="179"/>
      <c r="M427" s="179"/>
      <c r="N427" s="179"/>
      <c r="O427" s="179"/>
      <c r="P427" s="179"/>
      <c r="Q427" s="179"/>
      <c r="R427" s="179"/>
      <c r="S427" s="179"/>
    </row>
    <row r="428" ht="14.25" customHeight="1">
      <c r="A428" s="184"/>
      <c r="B428" s="184"/>
      <c r="C428" s="184" t="s">
        <v>2187</v>
      </c>
      <c r="D428" s="184" t="s">
        <v>2299</v>
      </c>
      <c r="E428" s="184" t="s">
        <v>2081</v>
      </c>
      <c r="F428" s="184" t="s">
        <v>2310</v>
      </c>
      <c r="G428" s="179"/>
      <c r="H428" s="179"/>
      <c r="I428" s="179"/>
      <c r="J428" s="179"/>
      <c r="K428" s="179"/>
      <c r="L428" s="179"/>
      <c r="M428" s="179"/>
      <c r="N428" s="179"/>
      <c r="O428" s="179"/>
      <c r="P428" s="179"/>
      <c r="Q428" s="179"/>
      <c r="R428" s="179"/>
      <c r="S428" s="179"/>
    </row>
    <row r="429" ht="14.25" customHeight="1">
      <c r="A429" s="184"/>
      <c r="B429" s="184"/>
      <c r="C429" s="184" t="s">
        <v>2187</v>
      </c>
      <c r="D429" s="184" t="s">
        <v>2299</v>
      </c>
      <c r="E429" s="184" t="s">
        <v>2081</v>
      </c>
      <c r="F429" s="184" t="s">
        <v>2311</v>
      </c>
      <c r="G429" s="179"/>
      <c r="H429" s="179"/>
      <c r="I429" s="179"/>
      <c r="J429" s="179"/>
      <c r="K429" s="179"/>
      <c r="L429" s="179"/>
      <c r="M429" s="179"/>
      <c r="N429" s="179"/>
      <c r="O429" s="179"/>
      <c r="P429" s="179"/>
      <c r="Q429" s="179"/>
      <c r="R429" s="179"/>
      <c r="S429" s="179"/>
    </row>
    <row r="430" ht="14.25" customHeight="1">
      <c r="A430" s="184"/>
      <c r="B430" s="184"/>
      <c r="C430" s="184" t="s">
        <v>2187</v>
      </c>
      <c r="D430" s="184" t="s">
        <v>2299</v>
      </c>
      <c r="E430" s="184" t="s">
        <v>2081</v>
      </c>
      <c r="F430" s="184" t="s">
        <v>2312</v>
      </c>
      <c r="G430" s="179"/>
      <c r="H430" s="179"/>
      <c r="I430" s="179"/>
      <c r="J430" s="179"/>
      <c r="K430" s="179"/>
      <c r="L430" s="179"/>
      <c r="M430" s="179"/>
      <c r="N430" s="179"/>
      <c r="O430" s="179"/>
      <c r="P430" s="179"/>
      <c r="Q430" s="179"/>
      <c r="R430" s="179"/>
      <c r="S430" s="179"/>
    </row>
    <row r="431" ht="14.25" customHeight="1">
      <c r="A431" s="184"/>
      <c r="B431" s="184"/>
      <c r="C431" s="184" t="s">
        <v>2187</v>
      </c>
      <c r="D431" s="184" t="s">
        <v>979</v>
      </c>
      <c r="E431" s="184" t="s">
        <v>2081</v>
      </c>
      <c r="F431" s="184" t="s">
        <v>2313</v>
      </c>
      <c r="G431" s="179"/>
      <c r="H431" s="179"/>
      <c r="I431" s="179"/>
      <c r="J431" s="179"/>
      <c r="K431" s="179"/>
      <c r="L431" s="179"/>
      <c r="M431" s="179"/>
      <c r="N431" s="179"/>
      <c r="O431" s="179"/>
      <c r="P431" s="179"/>
      <c r="Q431" s="179"/>
      <c r="R431" s="179"/>
      <c r="S431" s="179"/>
    </row>
    <row r="432" ht="14.25" customHeight="1">
      <c r="A432" s="184"/>
      <c r="B432" s="184"/>
      <c r="C432" s="184" t="s">
        <v>2187</v>
      </c>
      <c r="D432" s="184" t="s">
        <v>979</v>
      </c>
      <c r="E432" s="184" t="s">
        <v>2081</v>
      </c>
      <c r="F432" s="184" t="s">
        <v>2314</v>
      </c>
      <c r="G432" s="179"/>
      <c r="H432" s="179"/>
      <c r="I432" s="179"/>
      <c r="J432" s="179"/>
      <c r="K432" s="179"/>
      <c r="L432" s="179"/>
      <c r="M432" s="179"/>
      <c r="N432" s="179"/>
      <c r="O432" s="179"/>
      <c r="P432" s="179"/>
      <c r="Q432" s="179"/>
      <c r="R432" s="179"/>
      <c r="S432" s="179"/>
    </row>
    <row r="433" ht="14.25" customHeight="1">
      <c r="A433" s="184"/>
      <c r="B433" s="184"/>
      <c r="C433" s="184" t="s">
        <v>2187</v>
      </c>
      <c r="D433" s="184" t="s">
        <v>979</v>
      </c>
      <c r="E433" s="184" t="s">
        <v>2081</v>
      </c>
      <c r="F433" s="184" t="s">
        <v>2316</v>
      </c>
      <c r="G433" s="179"/>
      <c r="H433" s="179"/>
      <c r="I433" s="179"/>
      <c r="J433" s="179"/>
      <c r="K433" s="179"/>
      <c r="L433" s="179"/>
      <c r="M433" s="179"/>
      <c r="N433" s="179"/>
      <c r="O433" s="179"/>
      <c r="P433" s="179"/>
      <c r="Q433" s="179"/>
      <c r="R433" s="179"/>
      <c r="S433" s="179"/>
    </row>
    <row r="434" ht="14.25" customHeight="1">
      <c r="A434" s="184"/>
      <c r="B434" s="184"/>
      <c r="C434" s="184" t="s">
        <v>2187</v>
      </c>
      <c r="D434" s="184" t="s">
        <v>979</v>
      </c>
      <c r="E434" s="184" t="s">
        <v>2081</v>
      </c>
      <c r="F434" s="184" t="s">
        <v>2318</v>
      </c>
      <c r="G434" s="179"/>
      <c r="H434" s="179"/>
      <c r="I434" s="179"/>
      <c r="J434" s="179"/>
      <c r="K434" s="179"/>
      <c r="L434" s="179"/>
      <c r="M434" s="179"/>
      <c r="N434" s="179"/>
      <c r="O434" s="179"/>
      <c r="P434" s="179"/>
      <c r="Q434" s="179"/>
      <c r="R434" s="179"/>
      <c r="S434" s="179"/>
    </row>
    <row r="435" ht="14.25" customHeight="1">
      <c r="A435" s="184"/>
      <c r="B435" s="184"/>
      <c r="C435" s="184" t="s">
        <v>2187</v>
      </c>
      <c r="D435" s="184" t="s">
        <v>979</v>
      </c>
      <c r="E435" s="184" t="s">
        <v>2081</v>
      </c>
      <c r="F435" s="184" t="s">
        <v>2319</v>
      </c>
      <c r="G435" s="179"/>
      <c r="H435" s="179"/>
      <c r="I435" s="179"/>
      <c r="J435" s="179"/>
      <c r="K435" s="179"/>
      <c r="L435" s="179"/>
      <c r="M435" s="179"/>
      <c r="N435" s="179"/>
      <c r="O435" s="179"/>
      <c r="P435" s="179"/>
      <c r="Q435" s="179"/>
      <c r="R435" s="179"/>
      <c r="S435" s="179"/>
    </row>
    <row r="436" ht="14.25" customHeight="1">
      <c r="A436" s="184"/>
      <c r="B436" s="184"/>
      <c r="C436" s="184" t="s">
        <v>2187</v>
      </c>
      <c r="D436" s="184" t="s">
        <v>979</v>
      </c>
      <c r="E436" s="184" t="s">
        <v>2081</v>
      </c>
      <c r="F436" s="184" t="s">
        <v>2329</v>
      </c>
      <c r="G436" s="179"/>
      <c r="H436" s="179"/>
      <c r="I436" s="179"/>
      <c r="J436" s="179"/>
      <c r="K436" s="179"/>
      <c r="L436" s="179"/>
      <c r="M436" s="179"/>
      <c r="N436" s="179"/>
      <c r="O436" s="179"/>
      <c r="P436" s="179"/>
      <c r="Q436" s="179"/>
      <c r="R436" s="179"/>
      <c r="S436" s="179"/>
    </row>
    <row r="437" ht="14.25" customHeight="1">
      <c r="A437" s="184"/>
      <c r="B437" s="184"/>
      <c r="C437" s="184" t="s">
        <v>2187</v>
      </c>
      <c r="D437" s="184" t="s">
        <v>979</v>
      </c>
      <c r="E437" s="184" t="s">
        <v>2081</v>
      </c>
      <c r="F437" s="184" t="s">
        <v>2330</v>
      </c>
      <c r="G437" s="179"/>
      <c r="H437" s="179"/>
      <c r="I437" s="179"/>
      <c r="J437" s="179"/>
      <c r="K437" s="179"/>
      <c r="L437" s="179"/>
      <c r="M437" s="179"/>
      <c r="N437" s="179"/>
      <c r="O437" s="179"/>
      <c r="P437" s="179"/>
      <c r="Q437" s="179"/>
      <c r="R437" s="179"/>
      <c r="S437" s="179"/>
    </row>
    <row r="438" ht="14.25" customHeight="1">
      <c r="A438" s="184"/>
      <c r="B438" s="184"/>
      <c r="C438" s="184" t="s">
        <v>2187</v>
      </c>
      <c r="D438" s="184" t="s">
        <v>979</v>
      </c>
      <c r="E438" s="184" t="s">
        <v>2081</v>
      </c>
      <c r="F438" s="184" t="s">
        <v>2331</v>
      </c>
      <c r="G438" s="179"/>
      <c r="H438" s="179"/>
      <c r="I438" s="179"/>
      <c r="J438" s="179"/>
      <c r="K438" s="179"/>
      <c r="L438" s="179"/>
      <c r="M438" s="179"/>
      <c r="N438" s="179"/>
      <c r="O438" s="179"/>
      <c r="P438" s="179"/>
      <c r="Q438" s="179"/>
      <c r="R438" s="179"/>
      <c r="S438" s="179"/>
    </row>
    <row r="439" ht="14.25" customHeight="1">
      <c r="A439" s="184"/>
      <c r="B439" s="184"/>
      <c r="C439" s="184" t="s">
        <v>2187</v>
      </c>
      <c r="D439" s="184" t="s">
        <v>979</v>
      </c>
      <c r="E439" s="184" t="s">
        <v>2081</v>
      </c>
      <c r="F439" s="184" t="s">
        <v>2337</v>
      </c>
      <c r="G439" s="179"/>
      <c r="H439" s="179"/>
      <c r="I439" s="179"/>
      <c r="J439" s="179"/>
      <c r="K439" s="179"/>
      <c r="L439" s="179"/>
      <c r="M439" s="179"/>
      <c r="N439" s="179"/>
      <c r="O439" s="179"/>
      <c r="P439" s="179"/>
      <c r="Q439" s="179"/>
      <c r="R439" s="179"/>
      <c r="S439" s="179"/>
    </row>
    <row r="440" ht="14.25" customHeight="1">
      <c r="A440" s="184"/>
      <c r="B440" s="184"/>
      <c r="C440" s="184" t="s">
        <v>2187</v>
      </c>
      <c r="D440" s="184" t="s">
        <v>979</v>
      </c>
      <c r="E440" s="184" t="s">
        <v>2081</v>
      </c>
      <c r="F440" s="184" t="s">
        <v>2341</v>
      </c>
      <c r="G440" s="179"/>
      <c r="H440" s="179"/>
      <c r="I440" s="179"/>
      <c r="J440" s="179"/>
      <c r="K440" s="179"/>
      <c r="L440" s="179"/>
      <c r="M440" s="179"/>
      <c r="N440" s="179"/>
      <c r="O440" s="179"/>
      <c r="P440" s="179"/>
      <c r="Q440" s="179"/>
      <c r="R440" s="179"/>
      <c r="S440" s="179"/>
    </row>
    <row r="441" ht="14.25" customHeight="1">
      <c r="A441" s="184"/>
      <c r="B441" s="184"/>
      <c r="C441" s="184" t="s">
        <v>2187</v>
      </c>
      <c r="D441" s="184" t="s">
        <v>979</v>
      </c>
      <c r="E441" s="184" t="s">
        <v>2081</v>
      </c>
      <c r="F441" s="184" t="s">
        <v>2343</v>
      </c>
      <c r="G441" s="179"/>
      <c r="H441" s="179"/>
      <c r="I441" s="179"/>
      <c r="J441" s="179"/>
      <c r="K441" s="179"/>
      <c r="L441" s="179"/>
      <c r="M441" s="179"/>
      <c r="N441" s="179"/>
      <c r="O441" s="179"/>
      <c r="P441" s="179"/>
      <c r="Q441" s="179"/>
      <c r="R441" s="179"/>
      <c r="S441" s="179"/>
    </row>
    <row r="442" ht="14.25" customHeight="1">
      <c r="A442" s="184"/>
      <c r="B442" s="184"/>
      <c r="C442" s="184" t="s">
        <v>2187</v>
      </c>
      <c r="D442" s="184" t="s">
        <v>979</v>
      </c>
      <c r="E442" s="184" t="s">
        <v>2081</v>
      </c>
      <c r="F442" s="184" t="s">
        <v>2346</v>
      </c>
      <c r="G442" s="179"/>
      <c r="H442" s="179"/>
      <c r="I442" s="179"/>
      <c r="J442" s="179"/>
      <c r="K442" s="179"/>
      <c r="L442" s="179"/>
      <c r="M442" s="179"/>
      <c r="N442" s="179"/>
      <c r="O442" s="179"/>
      <c r="P442" s="179"/>
      <c r="Q442" s="179"/>
      <c r="R442" s="179"/>
      <c r="S442" s="179"/>
    </row>
    <row r="443" ht="14.25" customHeight="1">
      <c r="A443" s="184"/>
      <c r="B443" s="184"/>
      <c r="C443" s="184" t="s">
        <v>2187</v>
      </c>
      <c r="D443" s="184" t="s">
        <v>979</v>
      </c>
      <c r="E443" s="184" t="s">
        <v>2081</v>
      </c>
      <c r="F443" s="184" t="s">
        <v>2347</v>
      </c>
      <c r="G443" s="179"/>
      <c r="H443" s="179"/>
      <c r="I443" s="179"/>
      <c r="J443" s="179"/>
      <c r="K443" s="179"/>
      <c r="L443" s="179"/>
      <c r="M443" s="179"/>
      <c r="N443" s="179"/>
      <c r="O443" s="179"/>
      <c r="P443" s="179"/>
      <c r="Q443" s="179"/>
      <c r="R443" s="179"/>
      <c r="S443" s="179"/>
    </row>
    <row r="444" ht="14.25" customHeight="1">
      <c r="A444" s="184"/>
      <c r="B444" s="184"/>
      <c r="C444" s="184" t="s">
        <v>2187</v>
      </c>
      <c r="D444" s="184" t="s">
        <v>979</v>
      </c>
      <c r="E444" s="184" t="s">
        <v>2081</v>
      </c>
      <c r="F444" s="184" t="s">
        <v>2350</v>
      </c>
      <c r="G444" s="179"/>
      <c r="H444" s="179"/>
      <c r="I444" s="179"/>
      <c r="J444" s="179"/>
      <c r="K444" s="179"/>
      <c r="L444" s="179"/>
      <c r="M444" s="179"/>
      <c r="N444" s="179"/>
      <c r="O444" s="179"/>
      <c r="P444" s="179"/>
      <c r="Q444" s="179"/>
      <c r="R444" s="179"/>
      <c r="S444" s="179"/>
    </row>
    <row r="445" ht="14.25" customHeight="1">
      <c r="A445" s="184"/>
      <c r="B445" s="184"/>
      <c r="C445" s="184" t="s">
        <v>2187</v>
      </c>
      <c r="D445" s="184" t="s">
        <v>979</v>
      </c>
      <c r="E445" s="184" t="s">
        <v>2081</v>
      </c>
      <c r="F445" s="184" t="s">
        <v>2351</v>
      </c>
      <c r="G445" s="179"/>
      <c r="H445" s="179"/>
      <c r="I445" s="179"/>
      <c r="J445" s="179"/>
      <c r="K445" s="179"/>
      <c r="L445" s="179"/>
      <c r="M445" s="179"/>
      <c r="N445" s="179"/>
      <c r="O445" s="179"/>
      <c r="P445" s="179"/>
      <c r="Q445" s="179"/>
      <c r="R445" s="179"/>
      <c r="S445" s="179"/>
    </row>
    <row r="446" ht="14.25" customHeight="1">
      <c r="A446" s="184"/>
      <c r="B446" s="184"/>
      <c r="C446" s="184" t="s">
        <v>2187</v>
      </c>
      <c r="D446" s="184" t="s">
        <v>979</v>
      </c>
      <c r="E446" s="184" t="s">
        <v>2081</v>
      </c>
      <c r="F446" s="184" t="s">
        <v>2353</v>
      </c>
      <c r="G446" s="179"/>
      <c r="H446" s="179"/>
      <c r="I446" s="179"/>
      <c r="J446" s="179"/>
      <c r="K446" s="179"/>
      <c r="L446" s="179"/>
      <c r="M446" s="179"/>
      <c r="N446" s="179"/>
      <c r="O446" s="179"/>
      <c r="P446" s="179"/>
      <c r="Q446" s="179"/>
      <c r="R446" s="179"/>
      <c r="S446" s="179"/>
    </row>
    <row r="447" ht="14.25" customHeight="1">
      <c r="A447" s="184"/>
      <c r="B447" s="184"/>
      <c r="C447" s="184" t="s">
        <v>2187</v>
      </c>
      <c r="D447" s="184" t="s">
        <v>2354</v>
      </c>
      <c r="E447" s="184" t="s">
        <v>2081</v>
      </c>
      <c r="F447" s="184" t="s">
        <v>2355</v>
      </c>
      <c r="G447" s="179"/>
      <c r="H447" s="179"/>
      <c r="I447" s="179"/>
      <c r="J447" s="179"/>
      <c r="K447" s="179"/>
      <c r="L447" s="179"/>
      <c r="M447" s="179"/>
      <c r="N447" s="179"/>
      <c r="O447" s="179"/>
      <c r="P447" s="179"/>
      <c r="Q447" s="179"/>
      <c r="R447" s="179"/>
      <c r="S447" s="179"/>
    </row>
    <row r="448" ht="14.25" customHeight="1">
      <c r="A448" s="184"/>
      <c r="B448" s="184"/>
      <c r="C448" s="184" t="s">
        <v>2187</v>
      </c>
      <c r="D448" s="184" t="s">
        <v>2354</v>
      </c>
      <c r="E448" s="184" t="s">
        <v>2081</v>
      </c>
      <c r="F448" s="184" t="s">
        <v>2357</v>
      </c>
      <c r="G448" s="179"/>
      <c r="H448" s="179"/>
      <c r="I448" s="179"/>
      <c r="J448" s="179"/>
      <c r="K448" s="179"/>
      <c r="L448" s="179"/>
      <c r="M448" s="179"/>
      <c r="N448" s="179"/>
      <c r="O448" s="179"/>
      <c r="P448" s="179"/>
      <c r="Q448" s="179"/>
      <c r="R448" s="179"/>
      <c r="S448" s="179"/>
    </row>
    <row r="449" ht="14.25" customHeight="1">
      <c r="A449" s="184"/>
      <c r="B449" s="184"/>
      <c r="C449" s="184" t="s">
        <v>2187</v>
      </c>
      <c r="D449" s="184" t="s">
        <v>2354</v>
      </c>
      <c r="E449" s="184" t="s">
        <v>2081</v>
      </c>
      <c r="F449" s="184" t="s">
        <v>2361</v>
      </c>
      <c r="G449" s="179"/>
      <c r="H449" s="179"/>
      <c r="I449" s="179"/>
      <c r="J449" s="179"/>
      <c r="K449" s="179"/>
      <c r="L449" s="179"/>
      <c r="M449" s="179"/>
      <c r="N449" s="179"/>
      <c r="O449" s="179"/>
      <c r="P449" s="179"/>
      <c r="Q449" s="179"/>
      <c r="R449" s="179"/>
      <c r="S449" s="179"/>
    </row>
    <row r="450" ht="14.25" customHeight="1">
      <c r="A450" s="184"/>
      <c r="B450" s="184"/>
      <c r="C450" s="184" t="s">
        <v>2187</v>
      </c>
      <c r="D450" s="184" t="s">
        <v>2354</v>
      </c>
      <c r="E450" s="184" t="s">
        <v>2081</v>
      </c>
      <c r="F450" s="184" t="s">
        <v>2364</v>
      </c>
      <c r="G450" s="179"/>
      <c r="H450" s="179"/>
      <c r="I450" s="179"/>
      <c r="J450" s="179"/>
      <c r="K450" s="179"/>
      <c r="L450" s="179"/>
      <c r="M450" s="179"/>
      <c r="N450" s="179"/>
      <c r="O450" s="179"/>
      <c r="P450" s="179"/>
      <c r="Q450" s="179"/>
      <c r="R450" s="179"/>
      <c r="S450" s="179"/>
    </row>
    <row r="451" ht="14.25" customHeight="1">
      <c r="A451" s="184"/>
      <c r="B451" s="184"/>
      <c r="C451" s="184" t="s">
        <v>2187</v>
      </c>
      <c r="D451" s="184" t="s">
        <v>2354</v>
      </c>
      <c r="E451" s="184" t="s">
        <v>2081</v>
      </c>
      <c r="F451" s="184" t="s">
        <v>2369</v>
      </c>
      <c r="G451" s="179"/>
      <c r="H451" s="179"/>
      <c r="I451" s="179"/>
      <c r="J451" s="179"/>
      <c r="K451" s="179"/>
      <c r="L451" s="179"/>
      <c r="M451" s="179"/>
      <c r="N451" s="179"/>
      <c r="O451" s="179"/>
      <c r="P451" s="179"/>
      <c r="Q451" s="179"/>
      <c r="R451" s="179"/>
      <c r="S451" s="179"/>
    </row>
    <row r="452" ht="14.25" customHeight="1">
      <c r="A452" s="184"/>
      <c r="B452" s="184"/>
      <c r="C452" s="184" t="s">
        <v>2187</v>
      </c>
      <c r="D452" s="184" t="s">
        <v>2354</v>
      </c>
      <c r="E452" s="184" t="s">
        <v>2081</v>
      </c>
      <c r="F452" s="184" t="s">
        <v>2370</v>
      </c>
      <c r="G452" s="179"/>
      <c r="H452" s="179"/>
      <c r="I452" s="179"/>
      <c r="J452" s="179"/>
      <c r="K452" s="179"/>
      <c r="L452" s="179"/>
      <c r="M452" s="179"/>
      <c r="N452" s="179"/>
      <c r="O452" s="179"/>
      <c r="P452" s="179"/>
      <c r="Q452" s="179"/>
      <c r="R452" s="179"/>
      <c r="S452" s="179"/>
    </row>
    <row r="453" ht="14.25" customHeight="1">
      <c r="A453" s="184"/>
      <c r="B453" s="184"/>
      <c r="C453" s="184" t="s">
        <v>2187</v>
      </c>
      <c r="D453" s="184" t="s">
        <v>2371</v>
      </c>
      <c r="E453" s="184" t="s">
        <v>2081</v>
      </c>
      <c r="F453" s="184" t="s">
        <v>2372</v>
      </c>
      <c r="G453" s="179"/>
      <c r="H453" s="179"/>
      <c r="I453" s="179"/>
      <c r="J453" s="179"/>
      <c r="K453" s="179"/>
      <c r="L453" s="179"/>
      <c r="M453" s="179"/>
      <c r="N453" s="179"/>
      <c r="O453" s="179"/>
      <c r="P453" s="179"/>
      <c r="Q453" s="179"/>
      <c r="R453" s="179"/>
      <c r="S453" s="179"/>
    </row>
    <row r="454" ht="14.25" customHeight="1">
      <c r="A454" s="184"/>
      <c r="B454" s="184"/>
      <c r="C454" s="184" t="s">
        <v>2187</v>
      </c>
      <c r="D454" s="184" t="s">
        <v>2371</v>
      </c>
      <c r="E454" s="184" t="s">
        <v>2081</v>
      </c>
      <c r="F454" s="184" t="s">
        <v>2373</v>
      </c>
      <c r="G454" s="179"/>
      <c r="H454" s="179"/>
      <c r="I454" s="179"/>
      <c r="J454" s="179"/>
      <c r="K454" s="179"/>
      <c r="L454" s="179"/>
      <c r="M454" s="179"/>
      <c r="N454" s="179"/>
      <c r="O454" s="179"/>
      <c r="P454" s="179"/>
      <c r="Q454" s="179"/>
      <c r="R454" s="179"/>
      <c r="S454" s="179"/>
    </row>
    <row r="455" ht="14.25" customHeight="1">
      <c r="A455" s="184"/>
      <c r="B455" s="184"/>
      <c r="C455" s="184" t="s">
        <v>2187</v>
      </c>
      <c r="D455" s="184" t="s">
        <v>2371</v>
      </c>
      <c r="E455" s="184" t="s">
        <v>2081</v>
      </c>
      <c r="F455" s="184" t="s">
        <v>2374</v>
      </c>
      <c r="G455" s="179"/>
      <c r="H455" s="179"/>
      <c r="I455" s="179"/>
      <c r="J455" s="179"/>
      <c r="K455" s="179"/>
      <c r="L455" s="179"/>
      <c r="M455" s="179"/>
      <c r="N455" s="179"/>
      <c r="O455" s="179"/>
      <c r="P455" s="179"/>
      <c r="Q455" s="179"/>
      <c r="R455" s="179"/>
      <c r="S455" s="179"/>
    </row>
    <row r="456" ht="14.25" customHeight="1">
      <c r="A456" s="184"/>
      <c r="B456" s="184"/>
      <c r="C456" s="184" t="s">
        <v>2187</v>
      </c>
      <c r="D456" s="184" t="s">
        <v>2371</v>
      </c>
      <c r="E456" s="184" t="s">
        <v>2081</v>
      </c>
      <c r="F456" s="184" t="s">
        <v>2375</v>
      </c>
      <c r="G456" s="179"/>
      <c r="H456" s="179"/>
      <c r="I456" s="179"/>
      <c r="J456" s="179"/>
      <c r="K456" s="179"/>
      <c r="L456" s="179"/>
      <c r="M456" s="179"/>
      <c r="N456" s="179"/>
      <c r="O456" s="179"/>
      <c r="P456" s="179"/>
      <c r="Q456" s="179"/>
      <c r="R456" s="179"/>
      <c r="S456" s="179"/>
    </row>
    <row r="457" ht="14.25" customHeight="1">
      <c r="A457" s="184"/>
      <c r="B457" s="184"/>
      <c r="C457" s="184" t="s">
        <v>2187</v>
      </c>
      <c r="D457" s="184" t="s">
        <v>2371</v>
      </c>
      <c r="E457" s="184" t="s">
        <v>2081</v>
      </c>
      <c r="F457" s="184" t="s">
        <v>2376</v>
      </c>
      <c r="G457" s="179"/>
      <c r="H457" s="179"/>
      <c r="I457" s="179"/>
      <c r="J457" s="179"/>
      <c r="K457" s="179"/>
      <c r="L457" s="179"/>
      <c r="M457" s="179"/>
      <c r="N457" s="179"/>
      <c r="O457" s="179"/>
      <c r="P457" s="179"/>
      <c r="Q457" s="179"/>
      <c r="R457" s="179"/>
      <c r="S457" s="179"/>
    </row>
    <row r="458" ht="14.25" customHeight="1">
      <c r="A458" s="184"/>
      <c r="B458" s="184"/>
      <c r="C458" s="184" t="s">
        <v>2187</v>
      </c>
      <c r="D458" s="184" t="s">
        <v>2371</v>
      </c>
      <c r="E458" s="184" t="s">
        <v>2081</v>
      </c>
      <c r="F458" s="184" t="s">
        <v>2377</v>
      </c>
      <c r="G458" s="179"/>
      <c r="H458" s="179"/>
      <c r="I458" s="179"/>
      <c r="J458" s="179"/>
      <c r="K458" s="179"/>
      <c r="L458" s="179"/>
      <c r="M458" s="179"/>
      <c r="N458" s="179"/>
      <c r="O458" s="179"/>
      <c r="P458" s="179"/>
      <c r="Q458" s="179"/>
      <c r="R458" s="179"/>
      <c r="S458" s="179"/>
    </row>
    <row r="459" ht="14.25" customHeight="1">
      <c r="A459" s="184"/>
      <c r="B459" s="184"/>
      <c r="C459" s="184" t="s">
        <v>2187</v>
      </c>
      <c r="D459" s="184" t="s">
        <v>2371</v>
      </c>
      <c r="E459" s="184" t="s">
        <v>2081</v>
      </c>
      <c r="F459" s="184" t="s">
        <v>2378</v>
      </c>
      <c r="G459" s="179"/>
      <c r="H459" s="179"/>
      <c r="I459" s="179"/>
      <c r="J459" s="179"/>
      <c r="K459" s="179"/>
      <c r="L459" s="179"/>
      <c r="M459" s="179"/>
      <c r="N459" s="179"/>
      <c r="O459" s="179"/>
      <c r="P459" s="179"/>
      <c r="Q459" s="179"/>
      <c r="R459" s="179"/>
      <c r="S459" s="179"/>
    </row>
    <row r="460" ht="14.25" customHeight="1">
      <c r="A460" s="184"/>
      <c r="B460" s="184"/>
      <c r="C460" s="184" t="s">
        <v>2187</v>
      </c>
      <c r="D460" s="184" t="s">
        <v>2371</v>
      </c>
      <c r="E460" s="184" t="s">
        <v>2081</v>
      </c>
      <c r="F460" s="184" t="s">
        <v>2379</v>
      </c>
      <c r="G460" s="179"/>
      <c r="H460" s="179"/>
      <c r="I460" s="179"/>
      <c r="J460" s="179"/>
      <c r="K460" s="179"/>
      <c r="L460" s="179"/>
      <c r="M460" s="179"/>
      <c r="N460" s="179"/>
      <c r="O460" s="179"/>
      <c r="P460" s="179"/>
      <c r="Q460" s="179"/>
      <c r="R460" s="179"/>
      <c r="S460" s="179"/>
    </row>
    <row r="461" ht="14.25" customHeight="1">
      <c r="A461" s="184"/>
      <c r="B461" s="184"/>
      <c r="C461" s="184" t="s">
        <v>2187</v>
      </c>
      <c r="D461" s="184" t="s">
        <v>2371</v>
      </c>
      <c r="E461" s="184" t="s">
        <v>2081</v>
      </c>
      <c r="F461" s="184" t="s">
        <v>2380</v>
      </c>
      <c r="G461" s="179"/>
      <c r="H461" s="179"/>
      <c r="I461" s="179"/>
      <c r="J461" s="179"/>
      <c r="K461" s="179"/>
      <c r="L461" s="179"/>
      <c r="M461" s="179"/>
      <c r="N461" s="179"/>
      <c r="O461" s="179"/>
      <c r="P461" s="179"/>
      <c r="Q461" s="179"/>
      <c r="R461" s="179"/>
      <c r="S461" s="179"/>
    </row>
    <row r="462" ht="14.25" customHeight="1">
      <c r="A462" s="184"/>
      <c r="B462" s="184"/>
      <c r="C462" s="184" t="s">
        <v>2187</v>
      </c>
      <c r="D462" s="184" t="s">
        <v>2371</v>
      </c>
      <c r="E462" s="184" t="s">
        <v>2081</v>
      </c>
      <c r="F462" s="184" t="s">
        <v>2381</v>
      </c>
      <c r="G462" s="179"/>
      <c r="H462" s="179"/>
      <c r="I462" s="179"/>
      <c r="J462" s="179"/>
      <c r="K462" s="179"/>
      <c r="L462" s="179"/>
      <c r="M462" s="179"/>
      <c r="N462" s="179"/>
      <c r="O462" s="179"/>
      <c r="P462" s="179"/>
      <c r="Q462" s="179"/>
      <c r="R462" s="179"/>
      <c r="S462" s="179"/>
    </row>
    <row r="463" ht="14.25" customHeight="1">
      <c r="A463" s="184"/>
      <c r="B463" s="184"/>
      <c r="C463" s="184" t="s">
        <v>2187</v>
      </c>
      <c r="D463" s="184" t="s">
        <v>2371</v>
      </c>
      <c r="E463" s="184" t="s">
        <v>2081</v>
      </c>
      <c r="F463" s="184" t="s">
        <v>2382</v>
      </c>
      <c r="G463" s="179"/>
      <c r="H463" s="179"/>
      <c r="I463" s="179"/>
      <c r="J463" s="179"/>
      <c r="K463" s="179"/>
      <c r="L463" s="179"/>
      <c r="M463" s="179"/>
      <c r="N463" s="179"/>
      <c r="O463" s="179"/>
      <c r="P463" s="179"/>
      <c r="Q463" s="179"/>
      <c r="R463" s="179"/>
      <c r="S463" s="179"/>
    </row>
    <row r="464" ht="14.25" customHeight="1">
      <c r="A464" s="184"/>
      <c r="B464" s="184"/>
      <c r="C464" s="184" t="s">
        <v>2187</v>
      </c>
      <c r="D464" s="184" t="s">
        <v>2371</v>
      </c>
      <c r="E464" s="184" t="s">
        <v>2081</v>
      </c>
      <c r="F464" s="184" t="s">
        <v>2383</v>
      </c>
      <c r="G464" s="179"/>
      <c r="H464" s="179"/>
      <c r="I464" s="179"/>
      <c r="J464" s="179"/>
      <c r="K464" s="179"/>
      <c r="L464" s="179"/>
      <c r="M464" s="179"/>
      <c r="N464" s="179"/>
      <c r="O464" s="179"/>
      <c r="P464" s="179"/>
      <c r="Q464" s="179"/>
      <c r="R464" s="179"/>
      <c r="S464" s="179"/>
    </row>
    <row r="465" ht="14.25" customHeight="1">
      <c r="A465" s="184"/>
      <c r="B465" s="184"/>
      <c r="C465" s="184" t="s">
        <v>2187</v>
      </c>
      <c r="D465" s="184" t="s">
        <v>2371</v>
      </c>
      <c r="E465" s="184" t="s">
        <v>2081</v>
      </c>
      <c r="F465" s="184" t="s">
        <v>2384</v>
      </c>
      <c r="G465" s="179"/>
      <c r="H465" s="179"/>
      <c r="I465" s="179"/>
      <c r="J465" s="179"/>
      <c r="K465" s="179"/>
      <c r="L465" s="179"/>
      <c r="M465" s="179"/>
      <c r="N465" s="179"/>
      <c r="O465" s="179"/>
      <c r="P465" s="179"/>
      <c r="Q465" s="179"/>
      <c r="R465" s="179"/>
      <c r="S465" s="179"/>
    </row>
    <row r="466" ht="14.25" customHeight="1">
      <c r="A466" s="184"/>
      <c r="B466" s="184"/>
      <c r="C466" s="184" t="s">
        <v>2187</v>
      </c>
      <c r="D466" s="184" t="s">
        <v>1007</v>
      </c>
      <c r="E466" s="184" t="s">
        <v>2081</v>
      </c>
      <c r="F466" s="184" t="s">
        <v>2385</v>
      </c>
      <c r="G466" s="179"/>
      <c r="H466" s="179"/>
      <c r="I466" s="179"/>
      <c r="J466" s="179"/>
      <c r="K466" s="179"/>
      <c r="L466" s="179"/>
      <c r="M466" s="179"/>
      <c r="N466" s="179"/>
      <c r="O466" s="179"/>
      <c r="P466" s="179"/>
      <c r="Q466" s="179"/>
      <c r="R466" s="179"/>
      <c r="S466" s="179"/>
    </row>
    <row r="467" ht="14.25" customHeight="1">
      <c r="A467" s="184"/>
      <c r="B467" s="184"/>
      <c r="C467" s="184" t="s">
        <v>2187</v>
      </c>
      <c r="D467" s="184" t="s">
        <v>1007</v>
      </c>
      <c r="E467" s="184" t="s">
        <v>2081</v>
      </c>
      <c r="F467" s="184" t="s">
        <v>2395</v>
      </c>
      <c r="G467" s="179"/>
      <c r="H467" s="179"/>
      <c r="I467" s="179"/>
      <c r="J467" s="179"/>
      <c r="K467" s="179"/>
      <c r="L467" s="179"/>
      <c r="M467" s="179"/>
      <c r="N467" s="179"/>
      <c r="O467" s="179"/>
      <c r="P467" s="179"/>
      <c r="Q467" s="179"/>
      <c r="R467" s="179"/>
      <c r="S467" s="179"/>
    </row>
    <row r="468" ht="14.25" customHeight="1">
      <c r="A468" s="184"/>
      <c r="B468" s="184"/>
      <c r="C468" s="184" t="s">
        <v>2187</v>
      </c>
      <c r="D468" s="184" t="s">
        <v>1007</v>
      </c>
      <c r="E468" s="184" t="s">
        <v>2081</v>
      </c>
      <c r="F468" s="184" t="s">
        <v>2406</v>
      </c>
      <c r="G468" s="179"/>
      <c r="H468" s="179"/>
      <c r="I468" s="179"/>
      <c r="J468" s="179"/>
      <c r="K468" s="179"/>
      <c r="L468" s="179"/>
      <c r="M468" s="179"/>
      <c r="N468" s="179"/>
      <c r="O468" s="179"/>
      <c r="P468" s="179"/>
      <c r="Q468" s="179"/>
      <c r="R468" s="179"/>
      <c r="S468" s="179"/>
    </row>
    <row r="469" ht="14.25" customHeight="1">
      <c r="A469" s="184"/>
      <c r="B469" s="184"/>
      <c r="C469" s="184" t="s">
        <v>2187</v>
      </c>
      <c r="D469" s="184" t="s">
        <v>1007</v>
      </c>
      <c r="E469" s="184" t="s">
        <v>2081</v>
      </c>
      <c r="F469" s="184" t="s">
        <v>2407</v>
      </c>
      <c r="G469" s="179"/>
      <c r="H469" s="179"/>
      <c r="I469" s="179"/>
      <c r="J469" s="179"/>
      <c r="K469" s="179"/>
      <c r="L469" s="179"/>
      <c r="M469" s="179"/>
      <c r="N469" s="179"/>
      <c r="O469" s="179"/>
      <c r="P469" s="179"/>
      <c r="Q469" s="179"/>
      <c r="R469" s="179"/>
      <c r="S469" s="179"/>
    </row>
    <row r="470" ht="14.25" customHeight="1">
      <c r="A470" s="184"/>
      <c r="B470" s="184"/>
      <c r="C470" s="184" t="s">
        <v>2187</v>
      </c>
      <c r="D470" s="184" t="s">
        <v>1007</v>
      </c>
      <c r="E470" s="184" t="s">
        <v>2081</v>
      </c>
      <c r="F470" s="184" t="s">
        <v>2409</v>
      </c>
      <c r="G470" s="179"/>
      <c r="H470" s="179"/>
      <c r="I470" s="179"/>
      <c r="J470" s="179"/>
      <c r="K470" s="179"/>
      <c r="L470" s="179"/>
      <c r="M470" s="179"/>
      <c r="N470" s="179"/>
      <c r="O470" s="179"/>
      <c r="P470" s="179"/>
      <c r="Q470" s="179"/>
      <c r="R470" s="179"/>
      <c r="S470" s="179"/>
    </row>
    <row r="471" ht="14.25" customHeight="1">
      <c r="A471" s="184"/>
      <c r="B471" s="184"/>
      <c r="C471" s="184" t="s">
        <v>2187</v>
      </c>
      <c r="D471" s="184" t="s">
        <v>1007</v>
      </c>
      <c r="E471" s="184" t="s">
        <v>2081</v>
      </c>
      <c r="F471" s="184" t="s">
        <v>2413</v>
      </c>
      <c r="G471" s="179"/>
      <c r="H471" s="179"/>
      <c r="I471" s="179"/>
      <c r="J471" s="179"/>
      <c r="K471" s="179"/>
      <c r="L471" s="179"/>
      <c r="M471" s="179"/>
      <c r="N471" s="179"/>
      <c r="O471" s="179"/>
      <c r="P471" s="179"/>
      <c r="Q471" s="179"/>
      <c r="R471" s="179"/>
      <c r="S471" s="179"/>
    </row>
    <row r="472" ht="14.25" customHeight="1">
      <c r="A472" s="184"/>
      <c r="B472" s="184"/>
      <c r="C472" s="184" t="s">
        <v>2187</v>
      </c>
      <c r="D472" s="184" t="s">
        <v>1007</v>
      </c>
      <c r="E472" s="184" t="s">
        <v>2081</v>
      </c>
      <c r="F472" s="184" t="s">
        <v>2418</v>
      </c>
      <c r="G472" s="179"/>
      <c r="H472" s="179"/>
      <c r="I472" s="179"/>
      <c r="J472" s="179"/>
      <c r="K472" s="179"/>
      <c r="L472" s="179"/>
      <c r="M472" s="179"/>
      <c r="N472" s="179"/>
      <c r="O472" s="179"/>
      <c r="P472" s="179"/>
      <c r="Q472" s="179"/>
      <c r="R472" s="179"/>
      <c r="S472" s="179"/>
    </row>
    <row r="473" ht="14.25" customHeight="1">
      <c r="A473" s="184"/>
      <c r="B473" s="184"/>
      <c r="C473" s="184" t="s">
        <v>2187</v>
      </c>
      <c r="D473" s="184" t="s">
        <v>1007</v>
      </c>
      <c r="E473" s="184" t="s">
        <v>2081</v>
      </c>
      <c r="F473" s="184" t="s">
        <v>2422</v>
      </c>
      <c r="G473" s="179"/>
      <c r="H473" s="179"/>
      <c r="I473" s="179"/>
      <c r="J473" s="179"/>
      <c r="K473" s="179"/>
      <c r="L473" s="179"/>
      <c r="M473" s="179"/>
      <c r="N473" s="179"/>
      <c r="O473" s="179"/>
      <c r="P473" s="179"/>
      <c r="Q473" s="179"/>
      <c r="R473" s="179"/>
      <c r="S473" s="179"/>
    </row>
    <row r="474" ht="14.25" customHeight="1">
      <c r="A474" s="184"/>
      <c r="B474" s="184"/>
      <c r="C474" s="184" t="s">
        <v>2187</v>
      </c>
      <c r="D474" s="184" t="s">
        <v>1007</v>
      </c>
      <c r="E474" s="184" t="s">
        <v>2081</v>
      </c>
      <c r="F474" s="184" t="s">
        <v>2425</v>
      </c>
      <c r="G474" s="179"/>
      <c r="H474" s="179"/>
      <c r="I474" s="179"/>
      <c r="J474" s="179"/>
      <c r="K474" s="179"/>
      <c r="L474" s="179"/>
      <c r="M474" s="179"/>
      <c r="N474" s="179"/>
      <c r="O474" s="179"/>
      <c r="P474" s="179"/>
      <c r="Q474" s="179"/>
      <c r="R474" s="179"/>
      <c r="S474" s="179"/>
    </row>
    <row r="475" ht="14.25" customHeight="1">
      <c r="A475" s="184"/>
      <c r="B475" s="184"/>
      <c r="C475" s="184" t="s">
        <v>2187</v>
      </c>
      <c r="D475" s="184" t="s">
        <v>1007</v>
      </c>
      <c r="E475" s="184" t="s">
        <v>2081</v>
      </c>
      <c r="F475" s="184" t="s">
        <v>2430</v>
      </c>
      <c r="G475" s="179"/>
      <c r="H475" s="179"/>
      <c r="I475" s="179"/>
      <c r="J475" s="179"/>
      <c r="K475" s="179"/>
      <c r="L475" s="179"/>
      <c r="M475" s="179"/>
      <c r="N475" s="179"/>
      <c r="O475" s="179"/>
      <c r="P475" s="179"/>
      <c r="Q475" s="179"/>
      <c r="R475" s="179"/>
      <c r="S475" s="179"/>
    </row>
    <row r="476" ht="14.25" customHeight="1">
      <c r="A476" s="184"/>
      <c r="B476" s="184"/>
      <c r="C476" s="184" t="s">
        <v>2187</v>
      </c>
      <c r="D476" s="184" t="s">
        <v>1007</v>
      </c>
      <c r="E476" s="184" t="s">
        <v>2081</v>
      </c>
      <c r="F476" s="184" t="s">
        <v>2434</v>
      </c>
      <c r="G476" s="179"/>
      <c r="H476" s="179"/>
      <c r="I476" s="179"/>
      <c r="J476" s="179"/>
      <c r="K476" s="179"/>
      <c r="L476" s="179"/>
      <c r="M476" s="179"/>
      <c r="N476" s="179"/>
      <c r="O476" s="179"/>
      <c r="P476" s="179"/>
      <c r="Q476" s="179"/>
      <c r="R476" s="179"/>
      <c r="S476" s="179"/>
    </row>
    <row r="477" ht="14.25" customHeight="1">
      <c r="A477" s="184"/>
      <c r="B477" s="184"/>
      <c r="C477" s="184" t="s">
        <v>2187</v>
      </c>
      <c r="D477" s="184" t="s">
        <v>1007</v>
      </c>
      <c r="E477" s="184" t="s">
        <v>2081</v>
      </c>
      <c r="F477" s="184" t="s">
        <v>2438</v>
      </c>
      <c r="G477" s="179"/>
      <c r="H477" s="179"/>
      <c r="I477" s="179"/>
      <c r="J477" s="179"/>
      <c r="K477" s="179"/>
      <c r="L477" s="179"/>
      <c r="M477" s="179"/>
      <c r="N477" s="179"/>
      <c r="O477" s="179"/>
      <c r="P477" s="179"/>
      <c r="Q477" s="179"/>
      <c r="R477" s="179"/>
      <c r="S477" s="179"/>
    </row>
    <row r="478" ht="14.25" customHeight="1">
      <c r="A478" s="184"/>
      <c r="B478" s="184"/>
      <c r="C478" s="184" t="s">
        <v>2187</v>
      </c>
      <c r="D478" s="184" t="s">
        <v>1007</v>
      </c>
      <c r="E478" s="184" t="s">
        <v>2081</v>
      </c>
      <c r="F478" s="184" t="s">
        <v>2441</v>
      </c>
      <c r="G478" s="179"/>
      <c r="H478" s="179"/>
      <c r="I478" s="179"/>
      <c r="J478" s="179"/>
      <c r="K478" s="179"/>
      <c r="L478" s="179"/>
      <c r="M478" s="179"/>
      <c r="N478" s="179"/>
      <c r="O478" s="179"/>
      <c r="P478" s="179"/>
      <c r="Q478" s="179"/>
      <c r="R478" s="179"/>
      <c r="S478" s="179"/>
    </row>
    <row r="479" ht="14.25" customHeight="1">
      <c r="A479" s="184"/>
      <c r="B479" s="184"/>
      <c r="C479" s="184" t="s">
        <v>2187</v>
      </c>
      <c r="D479" s="184" t="s">
        <v>1056</v>
      </c>
      <c r="E479" s="184" t="s">
        <v>2081</v>
      </c>
      <c r="F479" s="184" t="s">
        <v>2445</v>
      </c>
      <c r="G479" s="179"/>
      <c r="H479" s="179"/>
      <c r="I479" s="179"/>
      <c r="J479" s="179"/>
      <c r="K479" s="179"/>
      <c r="L479" s="179"/>
      <c r="M479" s="179"/>
      <c r="N479" s="179"/>
      <c r="O479" s="179"/>
      <c r="P479" s="179"/>
      <c r="Q479" s="179"/>
      <c r="R479" s="179"/>
      <c r="S479" s="179"/>
    </row>
    <row r="480" ht="14.25" customHeight="1">
      <c r="A480" s="184"/>
      <c r="B480" s="184"/>
      <c r="C480" s="184" t="s">
        <v>2187</v>
      </c>
      <c r="D480" s="184" t="s">
        <v>1056</v>
      </c>
      <c r="E480" s="184" t="s">
        <v>2081</v>
      </c>
      <c r="F480" s="184" t="s">
        <v>2448</v>
      </c>
      <c r="G480" s="179"/>
      <c r="H480" s="179"/>
      <c r="I480" s="179"/>
      <c r="J480" s="179"/>
      <c r="K480" s="179"/>
      <c r="L480" s="179"/>
      <c r="M480" s="179"/>
      <c r="N480" s="179"/>
      <c r="O480" s="179"/>
      <c r="P480" s="179"/>
      <c r="Q480" s="179"/>
      <c r="R480" s="179"/>
      <c r="S480" s="179"/>
    </row>
    <row r="481" ht="14.25" customHeight="1">
      <c r="A481" s="184"/>
      <c r="B481" s="184"/>
      <c r="C481" s="184" t="s">
        <v>2187</v>
      </c>
      <c r="D481" s="184" t="s">
        <v>1056</v>
      </c>
      <c r="E481" s="184" t="s">
        <v>2081</v>
      </c>
      <c r="F481" s="184" t="s">
        <v>2452</v>
      </c>
      <c r="G481" s="179"/>
      <c r="H481" s="179"/>
      <c r="I481" s="179"/>
      <c r="J481" s="179"/>
      <c r="K481" s="179"/>
      <c r="L481" s="179"/>
      <c r="M481" s="179"/>
      <c r="N481" s="179"/>
      <c r="O481" s="179"/>
      <c r="P481" s="179"/>
      <c r="Q481" s="179"/>
      <c r="R481" s="179"/>
      <c r="S481" s="179"/>
    </row>
    <row r="482" ht="14.25" customHeight="1">
      <c r="A482" s="184"/>
      <c r="B482" s="184"/>
      <c r="C482" s="184" t="s">
        <v>2187</v>
      </c>
      <c r="D482" s="184" t="s">
        <v>1056</v>
      </c>
      <c r="E482" s="184" t="s">
        <v>2081</v>
      </c>
      <c r="F482" s="184" t="s">
        <v>2456</v>
      </c>
      <c r="G482" s="179"/>
      <c r="H482" s="179"/>
      <c r="I482" s="179"/>
      <c r="J482" s="179"/>
      <c r="K482" s="179"/>
      <c r="L482" s="179"/>
      <c r="M482" s="179"/>
      <c r="N482" s="179"/>
      <c r="O482" s="179"/>
      <c r="P482" s="179"/>
      <c r="Q482" s="179"/>
      <c r="R482" s="179"/>
      <c r="S482" s="179"/>
    </row>
    <row r="483" ht="14.25" customHeight="1">
      <c r="A483" s="184"/>
      <c r="B483" s="184"/>
      <c r="C483" s="184" t="s">
        <v>2187</v>
      </c>
      <c r="D483" s="184" t="s">
        <v>1056</v>
      </c>
      <c r="E483" s="184" t="s">
        <v>2081</v>
      </c>
      <c r="F483" s="184" t="s">
        <v>2459</v>
      </c>
      <c r="G483" s="179"/>
      <c r="H483" s="179"/>
      <c r="I483" s="179"/>
      <c r="J483" s="179"/>
      <c r="K483" s="179"/>
      <c r="L483" s="179"/>
      <c r="M483" s="179"/>
      <c r="N483" s="179"/>
      <c r="O483" s="179"/>
      <c r="P483" s="179"/>
      <c r="Q483" s="179"/>
      <c r="R483" s="179"/>
      <c r="S483" s="179"/>
    </row>
    <row r="484" ht="14.25" customHeight="1">
      <c r="A484" s="184"/>
      <c r="B484" s="184"/>
      <c r="C484" s="184" t="s">
        <v>2187</v>
      </c>
      <c r="D484" s="184" t="s">
        <v>1056</v>
      </c>
      <c r="E484" s="184" t="s">
        <v>2081</v>
      </c>
      <c r="F484" s="184" t="s">
        <v>2463</v>
      </c>
      <c r="G484" s="179"/>
      <c r="H484" s="179"/>
      <c r="I484" s="179"/>
      <c r="J484" s="179"/>
      <c r="K484" s="179"/>
      <c r="L484" s="179"/>
      <c r="M484" s="179"/>
      <c r="N484" s="179"/>
      <c r="O484" s="179"/>
      <c r="P484" s="179"/>
      <c r="Q484" s="179"/>
      <c r="R484" s="179"/>
      <c r="S484" s="179"/>
    </row>
    <row r="485" ht="14.25" customHeight="1">
      <c r="A485" s="184"/>
      <c r="B485" s="184"/>
      <c r="C485" s="184" t="s">
        <v>2187</v>
      </c>
      <c r="D485" s="184" t="s">
        <v>1056</v>
      </c>
      <c r="E485" s="184" t="s">
        <v>2081</v>
      </c>
      <c r="F485" s="184" t="s">
        <v>2467</v>
      </c>
      <c r="G485" s="179"/>
      <c r="H485" s="179"/>
      <c r="I485" s="179"/>
      <c r="J485" s="179"/>
      <c r="K485" s="179"/>
      <c r="L485" s="179"/>
      <c r="M485" s="179"/>
      <c r="N485" s="179"/>
      <c r="O485" s="179"/>
      <c r="P485" s="179"/>
      <c r="Q485" s="179"/>
      <c r="R485" s="179"/>
      <c r="S485" s="179"/>
    </row>
    <row r="486" ht="14.25" customHeight="1">
      <c r="A486" s="184"/>
      <c r="B486" s="184"/>
      <c r="C486" s="184" t="s">
        <v>2187</v>
      </c>
      <c r="D486" s="184" t="s">
        <v>1056</v>
      </c>
      <c r="E486" s="184" t="s">
        <v>2081</v>
      </c>
      <c r="F486" s="184" t="s">
        <v>2470</v>
      </c>
      <c r="G486" s="179"/>
      <c r="H486" s="179"/>
      <c r="I486" s="179"/>
      <c r="J486" s="179"/>
      <c r="K486" s="179"/>
      <c r="L486" s="179"/>
      <c r="M486" s="179"/>
      <c r="N486" s="179"/>
      <c r="O486" s="179"/>
      <c r="P486" s="179"/>
      <c r="Q486" s="179"/>
      <c r="R486" s="179"/>
      <c r="S486" s="179"/>
    </row>
    <row r="487" ht="14.25" customHeight="1">
      <c r="A487" s="184"/>
      <c r="B487" s="184"/>
      <c r="C487" s="184" t="s">
        <v>2187</v>
      </c>
      <c r="D487" s="184" t="s">
        <v>1056</v>
      </c>
      <c r="E487" s="184" t="s">
        <v>2081</v>
      </c>
      <c r="F487" s="184" t="s">
        <v>2476</v>
      </c>
      <c r="G487" s="179"/>
      <c r="H487" s="179"/>
      <c r="I487" s="179"/>
      <c r="J487" s="179"/>
      <c r="K487" s="179"/>
      <c r="L487" s="179"/>
      <c r="M487" s="179"/>
      <c r="N487" s="179"/>
      <c r="O487" s="179"/>
      <c r="P487" s="179"/>
      <c r="Q487" s="179"/>
      <c r="R487" s="179"/>
      <c r="S487" s="179"/>
    </row>
    <row r="488" ht="14.25" customHeight="1">
      <c r="A488" s="184"/>
      <c r="B488" s="184"/>
      <c r="C488" s="184" t="s">
        <v>2187</v>
      </c>
      <c r="D488" s="184" t="s">
        <v>1056</v>
      </c>
      <c r="E488" s="184" t="s">
        <v>2081</v>
      </c>
      <c r="F488" s="184" t="s">
        <v>2441</v>
      </c>
      <c r="G488" s="179"/>
      <c r="H488" s="179"/>
      <c r="I488" s="179"/>
      <c r="J488" s="179"/>
      <c r="K488" s="179"/>
      <c r="L488" s="179"/>
      <c r="M488" s="179"/>
      <c r="N488" s="179"/>
      <c r="O488" s="179"/>
      <c r="P488" s="179"/>
      <c r="Q488" s="179"/>
      <c r="R488" s="179"/>
      <c r="S488" s="179"/>
    </row>
    <row r="489" ht="14.25" customHeight="1">
      <c r="A489" s="184"/>
      <c r="B489" s="184"/>
      <c r="C489" s="179" t="s">
        <v>2482</v>
      </c>
      <c r="D489" s="184" t="s">
        <v>1060</v>
      </c>
      <c r="E489" s="184" t="s">
        <v>2081</v>
      </c>
      <c r="F489" s="184" t="s">
        <v>2483</v>
      </c>
      <c r="G489" s="179"/>
      <c r="H489" s="179"/>
      <c r="I489" s="179"/>
      <c r="J489" s="179"/>
      <c r="K489" s="179"/>
      <c r="L489" s="179"/>
      <c r="M489" s="179"/>
      <c r="N489" s="179"/>
      <c r="O489" s="179"/>
      <c r="P489" s="179"/>
      <c r="Q489" s="179"/>
      <c r="R489" s="179"/>
      <c r="S489" s="179"/>
    </row>
    <row r="490" ht="14.25" customHeight="1">
      <c r="A490" s="184"/>
      <c r="B490" s="184"/>
      <c r="C490" s="179" t="s">
        <v>2482</v>
      </c>
      <c r="D490" s="184" t="s">
        <v>1060</v>
      </c>
      <c r="E490" s="184" t="s">
        <v>2081</v>
      </c>
      <c r="F490" s="184" t="s">
        <v>2487</v>
      </c>
      <c r="G490" s="179"/>
      <c r="H490" s="179"/>
      <c r="I490" s="179"/>
      <c r="J490" s="179"/>
      <c r="K490" s="179"/>
      <c r="L490" s="179"/>
      <c r="M490" s="179"/>
      <c r="N490" s="179"/>
      <c r="O490" s="179"/>
      <c r="P490" s="179"/>
      <c r="Q490" s="179"/>
      <c r="R490" s="179"/>
      <c r="S490" s="179"/>
    </row>
    <row r="491" ht="14.25" customHeight="1">
      <c r="A491" s="184"/>
      <c r="B491" s="184"/>
      <c r="C491" s="179" t="s">
        <v>2482</v>
      </c>
      <c r="D491" s="184" t="s">
        <v>1060</v>
      </c>
      <c r="E491" s="184" t="s">
        <v>2081</v>
      </c>
      <c r="F491" s="184" t="s">
        <v>2506</v>
      </c>
      <c r="G491" s="179"/>
      <c r="H491" s="179"/>
      <c r="I491" s="179"/>
      <c r="J491" s="179"/>
      <c r="K491" s="179"/>
      <c r="L491" s="179"/>
      <c r="M491" s="179"/>
      <c r="N491" s="179"/>
      <c r="O491" s="179"/>
      <c r="P491" s="179"/>
      <c r="Q491" s="179"/>
      <c r="R491" s="179"/>
      <c r="S491" s="179"/>
    </row>
    <row r="492" ht="14.25" customHeight="1">
      <c r="A492" s="184"/>
      <c r="B492" s="184"/>
      <c r="C492" s="179" t="s">
        <v>2482</v>
      </c>
      <c r="D492" s="184" t="s">
        <v>1060</v>
      </c>
      <c r="E492" s="184" t="s">
        <v>2081</v>
      </c>
      <c r="F492" s="184" t="s">
        <v>2507</v>
      </c>
      <c r="G492" s="179"/>
      <c r="H492" s="179"/>
      <c r="I492" s="179"/>
      <c r="J492" s="179"/>
      <c r="K492" s="179"/>
      <c r="L492" s="179"/>
      <c r="M492" s="179"/>
      <c r="N492" s="179"/>
      <c r="O492" s="179"/>
      <c r="P492" s="179"/>
      <c r="Q492" s="179"/>
      <c r="R492" s="179"/>
      <c r="S492" s="179"/>
    </row>
    <row r="493" ht="14.25" customHeight="1">
      <c r="A493" s="184"/>
      <c r="B493" s="184"/>
      <c r="C493" s="179" t="s">
        <v>2482</v>
      </c>
      <c r="D493" s="184" t="s">
        <v>1060</v>
      </c>
      <c r="E493" s="184" t="s">
        <v>2081</v>
      </c>
      <c r="F493" s="184" t="s">
        <v>2508</v>
      </c>
      <c r="G493" s="179"/>
      <c r="H493" s="179"/>
      <c r="I493" s="179"/>
      <c r="J493" s="179"/>
      <c r="K493" s="179"/>
      <c r="L493" s="179"/>
      <c r="M493" s="179"/>
      <c r="N493" s="179"/>
      <c r="O493" s="179"/>
      <c r="P493" s="179"/>
      <c r="Q493" s="179"/>
      <c r="R493" s="179"/>
      <c r="S493" s="179"/>
    </row>
    <row r="494" ht="14.25" customHeight="1">
      <c r="A494" s="184"/>
      <c r="B494" s="184"/>
      <c r="C494" s="179" t="s">
        <v>2482</v>
      </c>
      <c r="D494" s="184" t="s">
        <v>1060</v>
      </c>
      <c r="E494" s="184" t="s">
        <v>2081</v>
      </c>
      <c r="F494" s="184" t="s">
        <v>2509</v>
      </c>
      <c r="G494" s="179"/>
      <c r="H494" s="179"/>
      <c r="I494" s="179"/>
      <c r="J494" s="179"/>
      <c r="K494" s="179"/>
      <c r="L494" s="179"/>
      <c r="M494" s="179"/>
      <c r="N494" s="179"/>
      <c r="O494" s="179"/>
      <c r="P494" s="179"/>
      <c r="Q494" s="179"/>
      <c r="R494" s="179"/>
      <c r="S494" s="179"/>
    </row>
    <row r="495" ht="14.25" customHeight="1">
      <c r="A495" s="184"/>
      <c r="B495" s="184"/>
      <c r="C495" s="179" t="s">
        <v>2482</v>
      </c>
      <c r="D495" s="184" t="s">
        <v>1060</v>
      </c>
      <c r="E495" s="184" t="s">
        <v>2081</v>
      </c>
      <c r="F495" s="184" t="s">
        <v>2511</v>
      </c>
      <c r="G495" s="179"/>
      <c r="H495" s="179"/>
      <c r="I495" s="179"/>
      <c r="J495" s="179"/>
      <c r="K495" s="179"/>
      <c r="L495" s="179"/>
      <c r="M495" s="179"/>
      <c r="N495" s="179"/>
      <c r="O495" s="179"/>
      <c r="P495" s="179"/>
      <c r="Q495" s="179"/>
      <c r="R495" s="179"/>
      <c r="S495" s="179"/>
    </row>
    <row r="496" ht="14.25" customHeight="1">
      <c r="A496" s="184"/>
      <c r="B496" s="184"/>
      <c r="C496" s="179" t="s">
        <v>2482</v>
      </c>
      <c r="D496" s="184" t="s">
        <v>1060</v>
      </c>
      <c r="E496" s="184" t="s">
        <v>2081</v>
      </c>
      <c r="F496" s="184" t="s">
        <v>2512</v>
      </c>
      <c r="G496" s="179"/>
      <c r="H496" s="179"/>
      <c r="I496" s="179"/>
      <c r="J496" s="179"/>
      <c r="K496" s="179"/>
      <c r="L496" s="179"/>
      <c r="M496" s="179"/>
      <c r="N496" s="179"/>
      <c r="O496" s="179"/>
      <c r="P496" s="179"/>
      <c r="Q496" s="179"/>
      <c r="R496" s="179"/>
      <c r="S496" s="179"/>
    </row>
    <row r="497" ht="14.25" customHeight="1">
      <c r="A497" s="184"/>
      <c r="B497" s="184"/>
      <c r="C497" s="179" t="s">
        <v>2482</v>
      </c>
      <c r="D497" s="184" t="s">
        <v>1060</v>
      </c>
      <c r="E497" s="184" t="s">
        <v>2081</v>
      </c>
      <c r="F497" s="184" t="s">
        <v>2513</v>
      </c>
      <c r="G497" s="179"/>
      <c r="H497" s="179"/>
      <c r="I497" s="179"/>
      <c r="J497" s="179"/>
      <c r="K497" s="179"/>
      <c r="L497" s="179"/>
      <c r="M497" s="179"/>
      <c r="N497" s="179"/>
      <c r="O497" s="179"/>
      <c r="P497" s="179"/>
      <c r="Q497" s="179"/>
      <c r="R497" s="179"/>
      <c r="S497" s="179"/>
    </row>
    <row r="498" ht="14.25" customHeight="1">
      <c r="A498" s="184"/>
      <c r="B498" s="184"/>
      <c r="C498" s="179" t="s">
        <v>2482</v>
      </c>
      <c r="D498" s="184" t="s">
        <v>1060</v>
      </c>
      <c r="E498" s="184" t="s">
        <v>2081</v>
      </c>
      <c r="F498" s="184" t="s">
        <v>2514</v>
      </c>
      <c r="G498" s="179"/>
      <c r="H498" s="179"/>
      <c r="I498" s="179"/>
      <c r="J498" s="179"/>
      <c r="K498" s="179"/>
      <c r="L498" s="179"/>
      <c r="M498" s="179"/>
      <c r="N498" s="179"/>
      <c r="O498" s="179"/>
      <c r="P498" s="179"/>
      <c r="Q498" s="179"/>
      <c r="R498" s="179"/>
      <c r="S498" s="179"/>
    </row>
    <row r="499" ht="14.25" customHeight="1">
      <c r="A499" s="184"/>
      <c r="B499" s="184"/>
      <c r="C499" s="179" t="s">
        <v>2515</v>
      </c>
      <c r="D499" s="184" t="s">
        <v>1187</v>
      </c>
      <c r="E499" s="184" t="s">
        <v>2081</v>
      </c>
      <c r="F499" s="184" t="s">
        <v>2516</v>
      </c>
      <c r="G499" s="179"/>
      <c r="H499" s="179"/>
      <c r="I499" s="179"/>
      <c r="J499" s="179"/>
      <c r="K499" s="179"/>
      <c r="L499" s="179"/>
      <c r="M499" s="179"/>
      <c r="N499" s="179"/>
      <c r="O499" s="179"/>
      <c r="P499" s="179"/>
      <c r="Q499" s="179"/>
      <c r="R499" s="179"/>
      <c r="S499" s="179"/>
    </row>
    <row r="500" ht="14.25" customHeight="1">
      <c r="A500" s="184"/>
      <c r="B500" s="184"/>
      <c r="C500" s="179" t="s">
        <v>2515</v>
      </c>
      <c r="D500" s="184" t="s">
        <v>1187</v>
      </c>
      <c r="E500" s="184" t="s">
        <v>2081</v>
      </c>
      <c r="F500" s="184" t="s">
        <v>2517</v>
      </c>
      <c r="G500" s="179"/>
      <c r="H500" s="179"/>
      <c r="I500" s="179"/>
      <c r="J500" s="179"/>
      <c r="K500" s="179"/>
      <c r="L500" s="179"/>
      <c r="M500" s="179"/>
      <c r="N500" s="179"/>
      <c r="O500" s="179"/>
      <c r="P500" s="179"/>
      <c r="Q500" s="179"/>
      <c r="R500" s="179"/>
      <c r="S500" s="179"/>
    </row>
    <row r="501" ht="14.25" customHeight="1">
      <c r="A501" s="184"/>
      <c r="B501" s="184"/>
      <c r="C501" s="179" t="s">
        <v>2515</v>
      </c>
      <c r="D501" s="184" t="s">
        <v>1187</v>
      </c>
      <c r="E501" s="184" t="s">
        <v>2081</v>
      </c>
      <c r="F501" s="184" t="s">
        <v>2518</v>
      </c>
      <c r="G501" s="179"/>
      <c r="H501" s="179"/>
      <c r="I501" s="179"/>
      <c r="J501" s="179"/>
      <c r="K501" s="179"/>
      <c r="L501" s="179"/>
      <c r="M501" s="179"/>
      <c r="N501" s="179"/>
      <c r="O501" s="179"/>
      <c r="P501" s="179"/>
      <c r="Q501" s="179"/>
      <c r="R501" s="179"/>
      <c r="S501" s="179"/>
    </row>
    <row r="502" ht="14.25" customHeight="1">
      <c r="A502" s="184"/>
      <c r="B502" s="184"/>
      <c r="C502" s="179" t="s">
        <v>2515</v>
      </c>
      <c r="D502" s="184" t="s">
        <v>1187</v>
      </c>
      <c r="E502" s="184" t="s">
        <v>2081</v>
      </c>
      <c r="F502" s="184" t="s">
        <v>2519</v>
      </c>
      <c r="G502" s="179"/>
      <c r="H502" s="179"/>
      <c r="I502" s="179"/>
      <c r="J502" s="179"/>
      <c r="K502" s="179"/>
      <c r="L502" s="179"/>
      <c r="M502" s="179"/>
      <c r="N502" s="179"/>
      <c r="O502" s="179"/>
      <c r="P502" s="179"/>
      <c r="Q502" s="179"/>
      <c r="R502" s="179"/>
      <c r="S502" s="179"/>
    </row>
    <row r="503" ht="14.25" customHeight="1">
      <c r="A503" s="184"/>
      <c r="B503" s="184"/>
      <c r="C503" s="179" t="s">
        <v>2515</v>
      </c>
      <c r="D503" s="184" t="s">
        <v>1187</v>
      </c>
      <c r="E503" s="184" t="s">
        <v>2081</v>
      </c>
      <c r="F503" s="184" t="s">
        <v>2520</v>
      </c>
      <c r="G503" s="179"/>
      <c r="H503" s="179"/>
      <c r="I503" s="179"/>
      <c r="J503" s="179"/>
      <c r="K503" s="179"/>
      <c r="L503" s="179"/>
      <c r="M503" s="179"/>
      <c r="N503" s="179"/>
      <c r="O503" s="179"/>
      <c r="P503" s="179"/>
      <c r="Q503" s="179"/>
      <c r="R503" s="179"/>
      <c r="S503" s="179"/>
    </row>
    <row r="504" ht="14.25" customHeight="1">
      <c r="A504" s="184"/>
      <c r="B504" s="184"/>
      <c r="C504" s="179" t="s">
        <v>2515</v>
      </c>
      <c r="D504" s="184" t="s">
        <v>1187</v>
      </c>
      <c r="E504" s="184" t="s">
        <v>2081</v>
      </c>
      <c r="F504" s="184" t="s">
        <v>2521</v>
      </c>
      <c r="G504" s="179"/>
      <c r="H504" s="179"/>
      <c r="I504" s="179"/>
      <c r="J504" s="179"/>
      <c r="K504" s="179"/>
      <c r="L504" s="179"/>
      <c r="M504" s="179"/>
      <c r="N504" s="179"/>
      <c r="O504" s="179"/>
      <c r="P504" s="179"/>
      <c r="Q504" s="179"/>
      <c r="R504" s="179"/>
      <c r="S504" s="179"/>
    </row>
    <row r="505" ht="14.25" customHeight="1">
      <c r="A505" s="184"/>
      <c r="B505" s="184"/>
      <c r="C505" s="179" t="s">
        <v>2515</v>
      </c>
      <c r="D505" s="184" t="s">
        <v>1187</v>
      </c>
      <c r="E505" s="184" t="s">
        <v>2081</v>
      </c>
      <c r="F505" s="184" t="s">
        <v>2522</v>
      </c>
      <c r="G505" s="179"/>
      <c r="H505" s="179"/>
      <c r="I505" s="179"/>
      <c r="J505" s="179"/>
      <c r="K505" s="179"/>
      <c r="L505" s="179"/>
      <c r="M505" s="179"/>
      <c r="N505" s="179"/>
      <c r="O505" s="179"/>
      <c r="P505" s="179"/>
      <c r="Q505" s="179"/>
      <c r="R505" s="179"/>
      <c r="S505" s="179"/>
    </row>
    <row r="506" ht="14.25" customHeight="1">
      <c r="A506" s="184"/>
      <c r="B506" s="184"/>
      <c r="C506" s="179" t="s">
        <v>2515</v>
      </c>
      <c r="D506" s="184" t="s">
        <v>1187</v>
      </c>
      <c r="E506" s="184" t="s">
        <v>2081</v>
      </c>
      <c r="F506" s="184" t="s">
        <v>2523</v>
      </c>
      <c r="G506" s="179"/>
      <c r="H506" s="179"/>
      <c r="I506" s="179"/>
      <c r="J506" s="179"/>
      <c r="K506" s="179"/>
      <c r="L506" s="179"/>
      <c r="M506" s="179"/>
      <c r="N506" s="179"/>
      <c r="O506" s="179"/>
      <c r="P506" s="179"/>
      <c r="Q506" s="179"/>
      <c r="R506" s="179"/>
      <c r="S506" s="179"/>
    </row>
    <row r="507" ht="14.25" customHeight="1">
      <c r="A507" s="184"/>
      <c r="B507" s="184"/>
      <c r="C507" s="179" t="s">
        <v>2515</v>
      </c>
      <c r="D507" s="184" t="s">
        <v>1187</v>
      </c>
      <c r="E507" s="184" t="s">
        <v>2081</v>
      </c>
      <c r="F507" s="184" t="s">
        <v>2524</v>
      </c>
      <c r="G507" s="179"/>
      <c r="H507" s="179"/>
      <c r="I507" s="179"/>
      <c r="J507" s="179"/>
      <c r="K507" s="179"/>
      <c r="L507" s="179"/>
      <c r="M507" s="179"/>
      <c r="N507" s="179"/>
      <c r="O507" s="179"/>
      <c r="P507" s="179"/>
      <c r="Q507" s="179"/>
      <c r="R507" s="179"/>
      <c r="S507" s="179"/>
    </row>
    <row r="508" ht="14.25" customHeight="1">
      <c r="A508" s="184"/>
      <c r="B508" s="184"/>
      <c r="C508" s="179" t="s">
        <v>2515</v>
      </c>
      <c r="D508" s="184" t="s">
        <v>1187</v>
      </c>
      <c r="E508" s="184" t="s">
        <v>2081</v>
      </c>
      <c r="F508" s="184" t="s">
        <v>2525</v>
      </c>
      <c r="G508" s="179"/>
      <c r="H508" s="179"/>
      <c r="I508" s="179"/>
      <c r="J508" s="179"/>
      <c r="K508" s="179"/>
      <c r="L508" s="179"/>
      <c r="M508" s="179"/>
      <c r="N508" s="179"/>
      <c r="O508" s="179"/>
      <c r="P508" s="179"/>
      <c r="Q508" s="179"/>
      <c r="R508" s="179"/>
      <c r="S508" s="179"/>
    </row>
    <row r="509" ht="14.25" customHeight="1">
      <c r="A509" s="184"/>
      <c r="B509" s="184"/>
      <c r="C509" s="179" t="s">
        <v>2515</v>
      </c>
      <c r="D509" s="184" t="s">
        <v>1187</v>
      </c>
      <c r="E509" s="184" t="s">
        <v>2081</v>
      </c>
      <c r="F509" s="184" t="s">
        <v>2526</v>
      </c>
      <c r="G509" s="179"/>
      <c r="H509" s="179"/>
      <c r="I509" s="179"/>
      <c r="J509" s="179"/>
      <c r="K509" s="179"/>
      <c r="L509" s="179"/>
      <c r="M509" s="179"/>
      <c r="N509" s="179"/>
      <c r="O509" s="179"/>
      <c r="P509" s="179"/>
      <c r="Q509" s="179"/>
      <c r="R509" s="179"/>
      <c r="S509" s="179"/>
    </row>
    <row r="510" ht="14.25" customHeight="1">
      <c r="A510" s="184"/>
      <c r="B510" s="184"/>
      <c r="C510" s="179" t="s">
        <v>2515</v>
      </c>
      <c r="D510" s="184" t="s">
        <v>1187</v>
      </c>
      <c r="E510" s="184" t="s">
        <v>2081</v>
      </c>
      <c r="F510" s="184" t="s">
        <v>2527</v>
      </c>
      <c r="G510" s="179"/>
      <c r="H510" s="179"/>
      <c r="I510" s="179"/>
      <c r="J510" s="179"/>
      <c r="K510" s="179"/>
      <c r="L510" s="179"/>
      <c r="M510" s="179"/>
      <c r="N510" s="179"/>
      <c r="O510" s="179"/>
      <c r="P510" s="179"/>
      <c r="Q510" s="179"/>
      <c r="R510" s="179"/>
      <c r="S510" s="179"/>
    </row>
    <row r="511" ht="14.25" customHeight="1">
      <c r="A511" s="184"/>
      <c r="B511" s="184"/>
      <c r="C511" s="179" t="s">
        <v>2515</v>
      </c>
      <c r="D511" s="184" t="s">
        <v>1187</v>
      </c>
      <c r="E511" s="184" t="s">
        <v>2081</v>
      </c>
      <c r="F511" s="184" t="s">
        <v>2528</v>
      </c>
      <c r="G511" s="179"/>
      <c r="H511" s="179"/>
      <c r="I511" s="179"/>
      <c r="J511" s="179"/>
      <c r="K511" s="179"/>
      <c r="L511" s="179"/>
      <c r="M511" s="179"/>
      <c r="N511" s="179"/>
      <c r="O511" s="179"/>
      <c r="P511" s="179"/>
      <c r="Q511" s="179"/>
      <c r="R511" s="179"/>
      <c r="S511" s="179"/>
    </row>
    <row r="512" ht="14.25" customHeight="1">
      <c r="A512" s="184"/>
      <c r="B512" s="184"/>
      <c r="C512" s="179" t="s">
        <v>2515</v>
      </c>
      <c r="D512" s="184" t="s">
        <v>1187</v>
      </c>
      <c r="E512" s="184" t="s">
        <v>2081</v>
      </c>
      <c r="F512" s="184" t="s">
        <v>2529</v>
      </c>
      <c r="G512" s="179"/>
      <c r="H512" s="179"/>
      <c r="I512" s="179"/>
      <c r="J512" s="179"/>
      <c r="K512" s="179"/>
      <c r="L512" s="179"/>
      <c r="M512" s="179"/>
      <c r="N512" s="179"/>
      <c r="O512" s="179"/>
      <c r="P512" s="179"/>
      <c r="Q512" s="179"/>
      <c r="R512" s="179"/>
      <c r="S512" s="179"/>
    </row>
    <row r="513" ht="14.25" customHeight="1">
      <c r="A513" s="184"/>
      <c r="B513" s="184"/>
      <c r="C513" s="179" t="s">
        <v>2515</v>
      </c>
      <c r="D513" s="184" t="s">
        <v>2531</v>
      </c>
      <c r="E513" s="184" t="s">
        <v>2081</v>
      </c>
      <c r="F513" s="184" t="s">
        <v>2532</v>
      </c>
      <c r="G513" s="179"/>
      <c r="H513" s="179"/>
      <c r="I513" s="179"/>
      <c r="J513" s="179"/>
      <c r="K513" s="179"/>
      <c r="L513" s="179"/>
      <c r="M513" s="179"/>
      <c r="N513" s="179"/>
      <c r="O513" s="179"/>
      <c r="P513" s="179"/>
      <c r="Q513" s="179"/>
      <c r="R513" s="179"/>
      <c r="S513" s="179"/>
    </row>
    <row r="514" ht="14.25" customHeight="1">
      <c r="A514" s="184"/>
      <c r="B514" s="184"/>
      <c r="C514" s="179" t="s">
        <v>2515</v>
      </c>
      <c r="D514" s="184" t="s">
        <v>2531</v>
      </c>
      <c r="E514" s="184" t="s">
        <v>2081</v>
      </c>
      <c r="F514" s="184" t="s">
        <v>2533</v>
      </c>
      <c r="G514" s="179"/>
      <c r="H514" s="179"/>
      <c r="I514" s="179"/>
      <c r="J514" s="179"/>
      <c r="K514" s="179"/>
      <c r="L514" s="179"/>
      <c r="M514" s="179"/>
      <c r="N514" s="179"/>
      <c r="O514" s="179"/>
      <c r="P514" s="179"/>
      <c r="Q514" s="179"/>
      <c r="R514" s="179"/>
      <c r="S514" s="179"/>
    </row>
    <row r="515" ht="14.25" customHeight="1">
      <c r="A515" s="184"/>
      <c r="B515" s="184"/>
      <c r="C515" s="179" t="s">
        <v>2515</v>
      </c>
      <c r="D515" s="184" t="s">
        <v>2531</v>
      </c>
      <c r="E515" s="184" t="s">
        <v>2081</v>
      </c>
      <c r="F515" s="184" t="s">
        <v>2536</v>
      </c>
      <c r="G515" s="179"/>
      <c r="H515" s="179"/>
      <c r="I515" s="179"/>
      <c r="J515" s="179"/>
      <c r="K515" s="179"/>
      <c r="L515" s="179"/>
      <c r="M515" s="179"/>
      <c r="N515" s="179"/>
      <c r="O515" s="179"/>
      <c r="P515" s="179"/>
      <c r="Q515" s="179"/>
      <c r="R515" s="179"/>
      <c r="S515" s="179"/>
    </row>
    <row r="516" ht="14.25" customHeight="1">
      <c r="A516" s="184"/>
      <c r="B516" s="184"/>
      <c r="C516" s="179" t="s">
        <v>2515</v>
      </c>
      <c r="D516" s="184" t="s">
        <v>2531</v>
      </c>
      <c r="E516" s="184" t="s">
        <v>2081</v>
      </c>
      <c r="F516" s="184" t="s">
        <v>2538</v>
      </c>
      <c r="G516" s="179"/>
      <c r="H516" s="179"/>
      <c r="I516" s="179"/>
      <c r="J516" s="179"/>
      <c r="K516" s="179"/>
      <c r="L516" s="179"/>
      <c r="M516" s="179"/>
      <c r="N516" s="179"/>
      <c r="O516" s="179"/>
      <c r="P516" s="179"/>
      <c r="Q516" s="179"/>
      <c r="R516" s="179"/>
      <c r="S516" s="179"/>
    </row>
    <row r="517" ht="14.25" customHeight="1">
      <c r="A517" s="184"/>
      <c r="B517" s="184"/>
      <c r="C517" s="179" t="s">
        <v>2515</v>
      </c>
      <c r="D517" s="184" t="s">
        <v>2531</v>
      </c>
      <c r="E517" s="184" t="s">
        <v>2081</v>
      </c>
      <c r="F517" s="184" t="s">
        <v>2539</v>
      </c>
      <c r="G517" s="179"/>
      <c r="H517" s="179"/>
      <c r="I517" s="179"/>
      <c r="J517" s="179"/>
      <c r="K517" s="179"/>
      <c r="L517" s="179"/>
      <c r="M517" s="179"/>
      <c r="N517" s="179"/>
      <c r="O517" s="179"/>
      <c r="P517" s="179"/>
      <c r="Q517" s="179"/>
      <c r="R517" s="179"/>
      <c r="S517" s="179"/>
    </row>
    <row r="518" ht="14.25" customHeight="1">
      <c r="A518" s="184"/>
      <c r="B518" s="184"/>
      <c r="C518" s="179" t="s">
        <v>2515</v>
      </c>
      <c r="D518" s="184" t="s">
        <v>2531</v>
      </c>
      <c r="E518" s="184" t="s">
        <v>2081</v>
      </c>
      <c r="F518" s="184" t="s">
        <v>2540</v>
      </c>
      <c r="G518" s="179"/>
      <c r="H518" s="179"/>
      <c r="I518" s="179"/>
      <c r="J518" s="179"/>
      <c r="K518" s="179"/>
      <c r="L518" s="179"/>
      <c r="M518" s="179"/>
      <c r="N518" s="179"/>
      <c r="O518" s="179"/>
      <c r="P518" s="179"/>
      <c r="Q518" s="179"/>
      <c r="R518" s="179"/>
      <c r="S518" s="179"/>
    </row>
    <row r="519" ht="14.25" customHeight="1">
      <c r="A519" s="184"/>
      <c r="B519" s="184"/>
      <c r="C519" s="179" t="s">
        <v>2515</v>
      </c>
      <c r="D519" s="184" t="s">
        <v>2531</v>
      </c>
      <c r="E519" s="184" t="s">
        <v>2081</v>
      </c>
      <c r="F519" s="184" t="s">
        <v>2541</v>
      </c>
      <c r="G519" s="179"/>
      <c r="H519" s="179"/>
      <c r="I519" s="179"/>
      <c r="J519" s="179"/>
      <c r="K519" s="179"/>
      <c r="L519" s="179"/>
      <c r="M519" s="179"/>
      <c r="N519" s="179"/>
      <c r="O519" s="179"/>
      <c r="P519" s="179"/>
      <c r="Q519" s="179"/>
      <c r="R519" s="179"/>
      <c r="S519" s="179"/>
    </row>
    <row r="520" ht="14.25" customHeight="1">
      <c r="A520" s="184"/>
      <c r="B520" s="184"/>
      <c r="C520" s="179" t="s">
        <v>2515</v>
      </c>
      <c r="D520" s="184" t="s">
        <v>2531</v>
      </c>
      <c r="E520" s="184" t="s">
        <v>2081</v>
      </c>
      <c r="F520" s="184" t="s">
        <v>2542</v>
      </c>
      <c r="G520" s="179"/>
      <c r="H520" s="179"/>
      <c r="I520" s="179"/>
      <c r="J520" s="179"/>
      <c r="K520" s="179"/>
      <c r="L520" s="179"/>
      <c r="M520" s="179"/>
      <c r="N520" s="179"/>
      <c r="O520" s="179"/>
      <c r="P520" s="179"/>
      <c r="Q520" s="179"/>
      <c r="R520" s="179"/>
      <c r="S520" s="179"/>
    </row>
    <row r="521" ht="14.25" customHeight="1">
      <c r="A521" s="184"/>
      <c r="B521" s="184"/>
      <c r="C521" s="179" t="s">
        <v>2515</v>
      </c>
      <c r="D521" s="184" t="s">
        <v>2531</v>
      </c>
      <c r="E521" s="184" t="s">
        <v>2081</v>
      </c>
      <c r="F521" s="184" t="s">
        <v>2543</v>
      </c>
      <c r="G521" s="179"/>
      <c r="H521" s="179"/>
      <c r="I521" s="179"/>
      <c r="J521" s="179"/>
      <c r="K521" s="179"/>
      <c r="L521" s="179"/>
      <c r="M521" s="179"/>
      <c r="N521" s="179"/>
      <c r="O521" s="179"/>
      <c r="P521" s="179"/>
      <c r="Q521" s="179"/>
      <c r="R521" s="179"/>
      <c r="S521" s="179"/>
    </row>
    <row r="522" ht="14.25" customHeight="1">
      <c r="A522" s="184"/>
      <c r="B522" s="184"/>
      <c r="C522" s="179" t="s">
        <v>2515</v>
      </c>
      <c r="D522" s="184" t="s">
        <v>2531</v>
      </c>
      <c r="E522" s="184" t="s">
        <v>2081</v>
      </c>
      <c r="F522" s="184" t="s">
        <v>2544</v>
      </c>
      <c r="G522" s="179"/>
      <c r="H522" s="179"/>
      <c r="I522" s="179"/>
      <c r="J522" s="179"/>
      <c r="K522" s="179"/>
      <c r="L522" s="179"/>
      <c r="M522" s="179"/>
      <c r="N522" s="179"/>
      <c r="O522" s="179"/>
      <c r="P522" s="179"/>
      <c r="Q522" s="179"/>
      <c r="R522" s="179"/>
      <c r="S522" s="179"/>
    </row>
    <row r="523" ht="14.25" customHeight="1">
      <c r="A523" s="184"/>
      <c r="B523" s="184"/>
      <c r="C523" s="179" t="s">
        <v>2515</v>
      </c>
      <c r="D523" s="184" t="s">
        <v>2531</v>
      </c>
      <c r="E523" s="184" t="s">
        <v>2081</v>
      </c>
      <c r="F523" s="184" t="s">
        <v>2548</v>
      </c>
      <c r="G523" s="179"/>
      <c r="H523" s="179"/>
      <c r="I523" s="179"/>
      <c r="J523" s="179"/>
      <c r="K523" s="179"/>
      <c r="L523" s="179"/>
      <c r="M523" s="179"/>
      <c r="N523" s="179"/>
      <c r="O523" s="179"/>
      <c r="P523" s="179"/>
      <c r="Q523" s="179"/>
      <c r="R523" s="179"/>
      <c r="S523" s="179"/>
    </row>
    <row r="524" ht="14.25" customHeight="1">
      <c r="A524" s="184"/>
      <c r="B524" s="184"/>
      <c r="C524" s="179" t="s">
        <v>2515</v>
      </c>
      <c r="D524" s="184" t="s">
        <v>2531</v>
      </c>
      <c r="E524" s="184" t="s">
        <v>2081</v>
      </c>
      <c r="F524" s="184" t="s">
        <v>2551</v>
      </c>
      <c r="G524" s="179"/>
      <c r="H524" s="179"/>
      <c r="I524" s="179"/>
      <c r="J524" s="179"/>
      <c r="K524" s="179"/>
      <c r="L524" s="179"/>
      <c r="M524" s="179"/>
      <c r="N524" s="179"/>
      <c r="O524" s="179"/>
      <c r="P524" s="179"/>
      <c r="Q524" s="179"/>
      <c r="R524" s="179"/>
      <c r="S524" s="179"/>
    </row>
    <row r="525" ht="14.25" customHeight="1">
      <c r="A525" s="184"/>
      <c r="B525" s="184"/>
      <c r="C525" s="179" t="s">
        <v>2080</v>
      </c>
      <c r="D525" s="184" t="s">
        <v>2553</v>
      </c>
      <c r="E525" s="184" t="s">
        <v>2081</v>
      </c>
      <c r="F525" s="184" t="s">
        <v>2554</v>
      </c>
      <c r="G525" s="179"/>
      <c r="H525" s="179"/>
      <c r="I525" s="179"/>
      <c r="J525" s="179"/>
      <c r="K525" s="179"/>
      <c r="L525" s="179"/>
      <c r="M525" s="179"/>
      <c r="N525" s="179"/>
      <c r="O525" s="179"/>
      <c r="P525" s="179"/>
      <c r="Q525" s="179"/>
      <c r="R525" s="179"/>
      <c r="S525" s="179"/>
    </row>
    <row r="526" ht="14.25" customHeight="1">
      <c r="A526" s="184"/>
      <c r="B526" s="184"/>
      <c r="C526" s="179" t="s">
        <v>2080</v>
      </c>
      <c r="D526" s="184" t="s">
        <v>2553</v>
      </c>
      <c r="E526" s="184" t="s">
        <v>2081</v>
      </c>
      <c r="F526" s="184" t="s">
        <v>2517</v>
      </c>
      <c r="G526" s="179"/>
      <c r="H526" s="179"/>
      <c r="I526" s="179"/>
      <c r="J526" s="179"/>
      <c r="K526" s="179"/>
      <c r="L526" s="179"/>
      <c r="M526" s="179"/>
      <c r="N526" s="179"/>
      <c r="O526" s="179"/>
      <c r="P526" s="179"/>
      <c r="Q526" s="179"/>
      <c r="R526" s="179"/>
      <c r="S526" s="179"/>
    </row>
    <row r="527" ht="14.25" customHeight="1">
      <c r="A527" s="184"/>
      <c r="B527" s="184"/>
      <c r="C527" s="179" t="s">
        <v>2080</v>
      </c>
      <c r="D527" s="184" t="s">
        <v>2553</v>
      </c>
      <c r="E527" s="184" t="s">
        <v>2081</v>
      </c>
      <c r="F527" s="184" t="s">
        <v>2518</v>
      </c>
      <c r="G527" s="179"/>
      <c r="H527" s="179"/>
      <c r="I527" s="179"/>
      <c r="J527" s="179"/>
      <c r="K527" s="179"/>
      <c r="L527" s="179"/>
      <c r="M527" s="179"/>
      <c r="N527" s="179"/>
      <c r="O527" s="179"/>
      <c r="P527" s="179"/>
      <c r="Q527" s="179"/>
      <c r="R527" s="179"/>
      <c r="S527" s="179"/>
    </row>
    <row r="528" ht="14.25" customHeight="1">
      <c r="A528" s="184"/>
      <c r="B528" s="184"/>
      <c r="C528" s="179" t="s">
        <v>2080</v>
      </c>
      <c r="D528" s="184" t="s">
        <v>2553</v>
      </c>
      <c r="E528" s="184" t="s">
        <v>2081</v>
      </c>
      <c r="F528" s="184" t="s">
        <v>2519</v>
      </c>
      <c r="G528" s="179"/>
      <c r="H528" s="179"/>
      <c r="I528" s="179"/>
      <c r="J528" s="179"/>
      <c r="K528" s="179"/>
      <c r="L528" s="179"/>
      <c r="M528" s="179"/>
      <c r="N528" s="179"/>
      <c r="O528" s="179"/>
      <c r="P528" s="179"/>
      <c r="Q528" s="179"/>
      <c r="R528" s="179"/>
      <c r="S528" s="179"/>
    </row>
    <row r="529" ht="14.25" customHeight="1">
      <c r="A529" s="184"/>
      <c r="B529" s="184"/>
      <c r="C529" s="179" t="s">
        <v>2080</v>
      </c>
      <c r="D529" s="184" t="s">
        <v>2553</v>
      </c>
      <c r="E529" s="184" t="s">
        <v>2081</v>
      </c>
      <c r="F529" s="184" t="s">
        <v>2520</v>
      </c>
      <c r="G529" s="179"/>
      <c r="H529" s="179"/>
      <c r="I529" s="179"/>
      <c r="J529" s="179"/>
      <c r="K529" s="179"/>
      <c r="L529" s="179"/>
      <c r="M529" s="179"/>
      <c r="N529" s="179"/>
      <c r="O529" s="179"/>
      <c r="P529" s="179"/>
      <c r="Q529" s="179"/>
      <c r="R529" s="179"/>
      <c r="S529" s="179"/>
    </row>
    <row r="530" ht="14.25" customHeight="1">
      <c r="A530" s="184"/>
      <c r="B530" s="184"/>
      <c r="C530" s="179" t="s">
        <v>2080</v>
      </c>
      <c r="D530" s="184" t="s">
        <v>2553</v>
      </c>
      <c r="E530" s="184" t="s">
        <v>2081</v>
      </c>
      <c r="F530" s="184" t="s">
        <v>2521</v>
      </c>
      <c r="G530" s="179"/>
      <c r="H530" s="179"/>
      <c r="I530" s="179"/>
      <c r="J530" s="179"/>
      <c r="K530" s="179"/>
      <c r="L530" s="179"/>
      <c r="M530" s="179"/>
      <c r="N530" s="179"/>
      <c r="O530" s="179"/>
      <c r="P530" s="179"/>
      <c r="Q530" s="179"/>
      <c r="R530" s="179"/>
      <c r="S530" s="179"/>
    </row>
    <row r="531" ht="14.25" customHeight="1">
      <c r="A531" s="184"/>
      <c r="B531" s="184"/>
      <c r="C531" s="179" t="s">
        <v>2080</v>
      </c>
      <c r="D531" s="184" t="s">
        <v>2553</v>
      </c>
      <c r="E531" s="184" t="s">
        <v>2081</v>
      </c>
      <c r="F531" s="184" t="s">
        <v>2522</v>
      </c>
      <c r="G531" s="179"/>
      <c r="H531" s="179"/>
      <c r="I531" s="179"/>
      <c r="J531" s="179"/>
      <c r="K531" s="179"/>
      <c r="L531" s="179"/>
      <c r="M531" s="179"/>
      <c r="N531" s="179"/>
      <c r="O531" s="179"/>
      <c r="P531" s="179"/>
      <c r="Q531" s="179"/>
      <c r="R531" s="179"/>
      <c r="S531" s="179"/>
    </row>
    <row r="532" ht="14.25" customHeight="1">
      <c r="A532" s="184"/>
      <c r="B532" s="184"/>
      <c r="C532" s="179" t="s">
        <v>2080</v>
      </c>
      <c r="D532" s="184" t="s">
        <v>2553</v>
      </c>
      <c r="E532" s="184" t="s">
        <v>2081</v>
      </c>
      <c r="F532" s="184" t="s">
        <v>2523</v>
      </c>
      <c r="G532" s="179"/>
      <c r="H532" s="179"/>
      <c r="I532" s="179"/>
      <c r="J532" s="179"/>
      <c r="K532" s="179"/>
      <c r="L532" s="179"/>
      <c r="M532" s="179"/>
      <c r="N532" s="179"/>
      <c r="O532" s="179"/>
      <c r="P532" s="179"/>
      <c r="Q532" s="179"/>
      <c r="R532" s="179"/>
      <c r="S532" s="179"/>
    </row>
    <row r="533" ht="14.25" customHeight="1">
      <c r="A533" s="184"/>
      <c r="B533" s="184"/>
      <c r="C533" s="179" t="s">
        <v>2080</v>
      </c>
      <c r="D533" s="184" t="s">
        <v>2553</v>
      </c>
      <c r="E533" s="184" t="s">
        <v>2081</v>
      </c>
      <c r="F533" s="184" t="s">
        <v>2524</v>
      </c>
      <c r="G533" s="179"/>
      <c r="H533" s="179"/>
      <c r="I533" s="179"/>
      <c r="J533" s="179"/>
      <c r="K533" s="179"/>
      <c r="L533" s="179"/>
      <c r="M533" s="179"/>
      <c r="N533" s="179"/>
      <c r="O533" s="179"/>
      <c r="P533" s="179"/>
      <c r="Q533" s="179"/>
      <c r="R533" s="179"/>
      <c r="S533" s="179"/>
    </row>
    <row r="534" ht="14.25" customHeight="1">
      <c r="A534" s="184"/>
      <c r="B534" s="184"/>
      <c r="C534" s="179" t="s">
        <v>2080</v>
      </c>
      <c r="D534" s="184" t="s">
        <v>2553</v>
      </c>
      <c r="E534" s="184" t="s">
        <v>2081</v>
      </c>
      <c r="F534" s="184" t="s">
        <v>2525</v>
      </c>
      <c r="G534" s="179"/>
      <c r="H534" s="179"/>
      <c r="I534" s="179"/>
      <c r="J534" s="179"/>
      <c r="K534" s="179"/>
      <c r="L534" s="179"/>
      <c r="M534" s="179"/>
      <c r="N534" s="179"/>
      <c r="O534" s="179"/>
      <c r="P534" s="179"/>
      <c r="Q534" s="179"/>
      <c r="R534" s="179"/>
      <c r="S534" s="179"/>
    </row>
    <row r="535" ht="14.25" customHeight="1">
      <c r="A535" s="184"/>
      <c r="B535" s="184"/>
      <c r="C535" s="179" t="s">
        <v>2080</v>
      </c>
      <c r="D535" s="184" t="s">
        <v>2553</v>
      </c>
      <c r="E535" s="184" t="s">
        <v>2081</v>
      </c>
      <c r="F535" s="184" t="s">
        <v>2526</v>
      </c>
      <c r="G535" s="179"/>
      <c r="H535" s="179"/>
      <c r="I535" s="179"/>
      <c r="J535" s="179"/>
      <c r="K535" s="179"/>
      <c r="L535" s="179"/>
      <c r="M535" s="179"/>
      <c r="N535" s="179"/>
      <c r="O535" s="179"/>
      <c r="P535" s="179"/>
      <c r="Q535" s="179"/>
      <c r="R535" s="179"/>
      <c r="S535" s="179"/>
    </row>
    <row r="536" ht="14.25" customHeight="1">
      <c r="A536" s="184"/>
      <c r="B536" s="184"/>
      <c r="C536" s="179" t="s">
        <v>2080</v>
      </c>
      <c r="D536" s="184" t="s">
        <v>2553</v>
      </c>
      <c r="E536" s="184" t="s">
        <v>2081</v>
      </c>
      <c r="F536" s="184" t="s">
        <v>2527</v>
      </c>
      <c r="G536" s="179"/>
      <c r="H536" s="179"/>
      <c r="I536" s="179"/>
      <c r="J536" s="179"/>
      <c r="K536" s="179"/>
      <c r="L536" s="179"/>
      <c r="M536" s="179"/>
      <c r="N536" s="179"/>
      <c r="O536" s="179"/>
      <c r="P536" s="179"/>
      <c r="Q536" s="179"/>
      <c r="R536" s="179"/>
      <c r="S536" s="179"/>
    </row>
    <row r="537" ht="14.25" customHeight="1">
      <c r="A537" s="184"/>
      <c r="B537" s="184"/>
      <c r="C537" s="179" t="s">
        <v>2080</v>
      </c>
      <c r="D537" s="184" t="s">
        <v>2553</v>
      </c>
      <c r="E537" s="184" t="s">
        <v>2081</v>
      </c>
      <c r="F537" s="184" t="s">
        <v>2528</v>
      </c>
      <c r="G537" s="179"/>
      <c r="H537" s="179"/>
      <c r="I537" s="179"/>
      <c r="J537" s="179"/>
      <c r="K537" s="179"/>
      <c r="L537" s="179"/>
      <c r="M537" s="179"/>
      <c r="N537" s="179"/>
      <c r="O537" s="179"/>
      <c r="P537" s="179"/>
      <c r="Q537" s="179"/>
      <c r="R537" s="179"/>
      <c r="S537" s="179"/>
    </row>
    <row r="538" ht="14.25" customHeight="1">
      <c r="A538" s="184"/>
      <c r="B538" s="184"/>
      <c r="C538" s="179" t="s">
        <v>2080</v>
      </c>
      <c r="D538" s="184" t="s">
        <v>2553</v>
      </c>
      <c r="E538" s="184" t="s">
        <v>2081</v>
      </c>
      <c r="F538" s="184" t="s">
        <v>2529</v>
      </c>
      <c r="G538" s="179"/>
      <c r="H538" s="179"/>
      <c r="I538" s="179"/>
      <c r="J538" s="179"/>
      <c r="K538" s="179"/>
      <c r="L538" s="179"/>
      <c r="M538" s="179"/>
      <c r="N538" s="179"/>
      <c r="O538" s="179"/>
      <c r="P538" s="179"/>
      <c r="Q538" s="179"/>
      <c r="R538" s="179"/>
      <c r="S538" s="179"/>
    </row>
    <row r="539" ht="14.25" customHeight="1">
      <c r="A539" s="184"/>
      <c r="B539" s="184"/>
      <c r="C539" s="179" t="s">
        <v>2080</v>
      </c>
      <c r="D539" s="184" t="s">
        <v>818</v>
      </c>
      <c r="E539" s="184" t="s">
        <v>2081</v>
      </c>
      <c r="F539" s="184" t="s">
        <v>2566</v>
      </c>
      <c r="G539" s="179"/>
      <c r="H539" s="179"/>
      <c r="I539" s="179"/>
      <c r="J539" s="179"/>
      <c r="K539" s="179"/>
      <c r="L539" s="179"/>
      <c r="M539" s="179"/>
      <c r="N539" s="179"/>
      <c r="O539" s="179"/>
      <c r="P539" s="179"/>
      <c r="Q539" s="179"/>
      <c r="R539" s="179"/>
      <c r="S539" s="179"/>
    </row>
    <row r="540" ht="14.25" customHeight="1">
      <c r="A540" s="184"/>
      <c r="B540" s="184"/>
      <c r="C540" s="179" t="s">
        <v>2080</v>
      </c>
      <c r="D540" s="184" t="s">
        <v>818</v>
      </c>
      <c r="E540" s="184" t="s">
        <v>2081</v>
      </c>
      <c r="F540" s="184" t="s">
        <v>2569</v>
      </c>
      <c r="G540" s="179"/>
      <c r="H540" s="179"/>
      <c r="I540" s="179"/>
      <c r="J540" s="179"/>
      <c r="K540" s="179"/>
      <c r="L540" s="179"/>
      <c r="M540" s="179"/>
      <c r="N540" s="179"/>
      <c r="O540" s="179"/>
      <c r="P540" s="179"/>
      <c r="Q540" s="179"/>
      <c r="R540" s="179"/>
      <c r="S540" s="179"/>
    </row>
    <row r="541" ht="14.25" customHeight="1">
      <c r="A541" s="184"/>
      <c r="B541" s="184"/>
      <c r="C541" s="179" t="s">
        <v>2080</v>
      </c>
      <c r="D541" s="184" t="s">
        <v>818</v>
      </c>
      <c r="E541" s="184" t="s">
        <v>2081</v>
      </c>
      <c r="F541" s="184" t="s">
        <v>2573</v>
      </c>
      <c r="G541" s="179"/>
      <c r="H541" s="179"/>
      <c r="I541" s="179"/>
      <c r="J541" s="179"/>
      <c r="K541" s="179"/>
      <c r="L541" s="179"/>
      <c r="M541" s="179"/>
      <c r="N541" s="179"/>
      <c r="O541" s="179"/>
      <c r="P541" s="179"/>
      <c r="Q541" s="179"/>
      <c r="R541" s="179"/>
      <c r="S541" s="179"/>
    </row>
    <row r="542" ht="14.25" customHeight="1">
      <c r="A542" s="184"/>
      <c r="B542" s="184"/>
      <c r="C542" s="179" t="s">
        <v>2080</v>
      </c>
      <c r="D542" s="184" t="s">
        <v>818</v>
      </c>
      <c r="E542" s="184" t="s">
        <v>2081</v>
      </c>
      <c r="F542" s="184" t="s">
        <v>2578</v>
      </c>
      <c r="G542" s="179"/>
      <c r="H542" s="179"/>
      <c r="I542" s="179"/>
      <c r="J542" s="179"/>
      <c r="K542" s="179"/>
      <c r="L542" s="179"/>
      <c r="M542" s="179"/>
      <c r="N542" s="179"/>
      <c r="O542" s="179"/>
      <c r="P542" s="179"/>
      <c r="Q542" s="179"/>
      <c r="R542" s="179"/>
      <c r="S542" s="179"/>
    </row>
    <row r="543" ht="14.25" customHeight="1">
      <c r="A543" s="184"/>
      <c r="B543" s="184"/>
      <c r="C543" s="179" t="s">
        <v>2080</v>
      </c>
      <c r="D543" s="184" t="s">
        <v>818</v>
      </c>
      <c r="E543" s="184" t="s">
        <v>2081</v>
      </c>
      <c r="F543" s="184" t="s">
        <v>2582</v>
      </c>
      <c r="G543" s="179"/>
      <c r="H543" s="179"/>
      <c r="I543" s="179"/>
      <c r="J543" s="179"/>
      <c r="K543" s="179"/>
      <c r="L543" s="179"/>
      <c r="M543" s="179"/>
      <c r="N543" s="179"/>
      <c r="O543" s="179"/>
      <c r="P543" s="179"/>
      <c r="Q543" s="179"/>
      <c r="R543" s="179"/>
      <c r="S543" s="179"/>
    </row>
    <row r="544" ht="14.25" customHeight="1">
      <c r="A544" s="184"/>
      <c r="B544" s="184"/>
      <c r="C544" s="179" t="s">
        <v>2080</v>
      </c>
      <c r="D544" s="184" t="s">
        <v>1104</v>
      </c>
      <c r="E544" s="184" t="s">
        <v>2081</v>
      </c>
      <c r="F544" s="184" t="s">
        <v>2585</v>
      </c>
      <c r="G544" s="179"/>
      <c r="H544" s="179"/>
      <c r="I544" s="179"/>
      <c r="J544" s="179"/>
      <c r="K544" s="179"/>
      <c r="L544" s="179"/>
      <c r="M544" s="179"/>
      <c r="N544" s="179"/>
      <c r="O544" s="179"/>
      <c r="P544" s="179"/>
      <c r="Q544" s="179"/>
      <c r="R544" s="179"/>
      <c r="S544" s="179"/>
    </row>
    <row r="545" ht="14.25" customHeight="1">
      <c r="A545" s="184"/>
      <c r="B545" s="184"/>
      <c r="C545" s="179" t="s">
        <v>2080</v>
      </c>
      <c r="D545" s="184" t="s">
        <v>1104</v>
      </c>
      <c r="E545" s="184" t="s">
        <v>2081</v>
      </c>
      <c r="F545" s="184" t="s">
        <v>2586</v>
      </c>
      <c r="G545" s="179"/>
      <c r="H545" s="179"/>
      <c r="I545" s="179"/>
      <c r="J545" s="179"/>
      <c r="K545" s="179"/>
      <c r="L545" s="179"/>
      <c r="M545" s="179"/>
      <c r="N545" s="179"/>
      <c r="O545" s="179"/>
      <c r="P545" s="179"/>
      <c r="Q545" s="179"/>
      <c r="R545" s="179"/>
      <c r="S545" s="179"/>
    </row>
    <row r="546" ht="14.25" customHeight="1">
      <c r="A546" s="184"/>
      <c r="B546" s="184"/>
      <c r="C546" s="179" t="s">
        <v>2080</v>
      </c>
      <c r="D546" s="184" t="s">
        <v>1104</v>
      </c>
      <c r="E546" s="184" t="s">
        <v>2081</v>
      </c>
      <c r="F546" s="184" t="s">
        <v>2587</v>
      </c>
      <c r="G546" s="179"/>
      <c r="H546" s="179"/>
      <c r="I546" s="179"/>
      <c r="J546" s="179"/>
      <c r="K546" s="179"/>
      <c r="L546" s="179"/>
      <c r="M546" s="179"/>
      <c r="N546" s="179"/>
      <c r="O546" s="179"/>
      <c r="P546" s="179"/>
      <c r="Q546" s="179"/>
      <c r="R546" s="179"/>
      <c r="S546" s="179"/>
    </row>
    <row r="547" ht="14.25" customHeight="1">
      <c r="A547" s="184"/>
      <c r="B547" s="184"/>
      <c r="C547" s="179" t="s">
        <v>2080</v>
      </c>
      <c r="D547" s="184" t="s">
        <v>1104</v>
      </c>
      <c r="E547" s="184" t="s">
        <v>2081</v>
      </c>
      <c r="F547" s="184" t="s">
        <v>2588</v>
      </c>
      <c r="G547" s="179"/>
      <c r="H547" s="179"/>
      <c r="I547" s="179"/>
      <c r="J547" s="179"/>
      <c r="K547" s="179"/>
      <c r="L547" s="179"/>
      <c r="M547" s="179"/>
      <c r="N547" s="179"/>
      <c r="O547" s="179"/>
      <c r="P547" s="179"/>
      <c r="Q547" s="179"/>
      <c r="R547" s="179"/>
      <c r="S547" s="179"/>
    </row>
    <row r="548" ht="14.25" customHeight="1">
      <c r="A548" s="184"/>
      <c r="B548" s="184"/>
      <c r="C548" s="179" t="s">
        <v>2080</v>
      </c>
      <c r="D548" s="184" t="s">
        <v>1104</v>
      </c>
      <c r="E548" s="184" t="s">
        <v>2081</v>
      </c>
      <c r="F548" s="184" t="s">
        <v>2590</v>
      </c>
      <c r="G548" s="179"/>
      <c r="H548" s="179"/>
      <c r="I548" s="179"/>
      <c r="J548" s="179"/>
      <c r="K548" s="179"/>
      <c r="L548" s="179"/>
      <c r="M548" s="179"/>
      <c r="N548" s="179"/>
      <c r="O548" s="179"/>
      <c r="P548" s="179"/>
      <c r="Q548" s="179"/>
      <c r="R548" s="179"/>
      <c r="S548" s="179"/>
    </row>
    <row r="549" ht="14.25" customHeight="1">
      <c r="A549" s="184"/>
      <c r="B549" s="184"/>
      <c r="C549" s="179" t="s">
        <v>2080</v>
      </c>
      <c r="D549" s="184" t="s">
        <v>1104</v>
      </c>
      <c r="E549" s="184" t="s">
        <v>2081</v>
      </c>
      <c r="F549" s="184" t="s">
        <v>2591</v>
      </c>
      <c r="G549" s="179"/>
      <c r="H549" s="179"/>
      <c r="I549" s="179"/>
      <c r="J549" s="179"/>
      <c r="K549" s="179"/>
      <c r="L549" s="179"/>
      <c r="M549" s="179"/>
      <c r="N549" s="179"/>
      <c r="O549" s="179"/>
      <c r="P549" s="179"/>
      <c r="Q549" s="179"/>
      <c r="R549" s="179"/>
      <c r="S549" s="179"/>
    </row>
    <row r="550" ht="14.25" customHeight="1">
      <c r="A550" s="184"/>
      <c r="B550" s="184"/>
      <c r="C550" s="179" t="s">
        <v>2080</v>
      </c>
      <c r="D550" s="184" t="s">
        <v>1104</v>
      </c>
      <c r="E550" s="184" t="s">
        <v>2081</v>
      </c>
      <c r="F550" s="184" t="s">
        <v>2592</v>
      </c>
      <c r="G550" s="179"/>
      <c r="H550" s="179"/>
      <c r="I550" s="179"/>
      <c r="J550" s="179"/>
      <c r="K550" s="179"/>
      <c r="L550" s="179"/>
      <c r="M550" s="179"/>
      <c r="N550" s="179"/>
      <c r="O550" s="179"/>
      <c r="P550" s="179"/>
      <c r="Q550" s="179"/>
      <c r="R550" s="179"/>
      <c r="S550" s="179"/>
    </row>
    <row r="551" ht="14.25" customHeight="1">
      <c r="A551" s="184"/>
      <c r="B551" s="184"/>
      <c r="C551" s="179" t="s">
        <v>2080</v>
      </c>
      <c r="D551" s="184" t="s">
        <v>1104</v>
      </c>
      <c r="E551" s="184" t="s">
        <v>2081</v>
      </c>
      <c r="F551" s="184" t="s">
        <v>2594</v>
      </c>
      <c r="G551" s="179"/>
      <c r="H551" s="179"/>
      <c r="I551" s="179"/>
      <c r="J551" s="179"/>
      <c r="K551" s="179"/>
      <c r="L551" s="179"/>
      <c r="M551" s="179"/>
      <c r="N551" s="179"/>
      <c r="O551" s="179"/>
      <c r="P551" s="179"/>
      <c r="Q551" s="179"/>
      <c r="R551" s="179"/>
      <c r="S551" s="179"/>
    </row>
    <row r="552" ht="14.25" customHeight="1">
      <c r="A552" s="184"/>
      <c r="B552" s="184"/>
      <c r="C552" s="179" t="s">
        <v>2427</v>
      </c>
      <c r="D552" s="179" t="s">
        <v>1240</v>
      </c>
      <c r="E552" s="179" t="s">
        <v>1448</v>
      </c>
      <c r="F552" s="179" t="s">
        <v>2595</v>
      </c>
      <c r="G552" s="179"/>
      <c r="H552" s="179"/>
      <c r="I552" s="179"/>
      <c r="J552" s="179"/>
      <c r="K552" s="179"/>
      <c r="L552" s="179"/>
      <c r="M552" s="179"/>
      <c r="N552" s="179"/>
      <c r="O552" s="179"/>
      <c r="P552" s="179"/>
      <c r="Q552" s="179"/>
      <c r="R552" s="179"/>
      <c r="S552" s="179"/>
    </row>
    <row r="553" ht="14.25" customHeight="1">
      <c r="A553" s="184" t="s">
        <v>413</v>
      </c>
      <c r="B553" s="184"/>
      <c r="C553" s="179" t="s">
        <v>2427</v>
      </c>
      <c r="D553" s="179" t="s">
        <v>1240</v>
      </c>
      <c r="E553" s="179" t="s">
        <v>1448</v>
      </c>
      <c r="F553" s="179" t="s">
        <v>2596</v>
      </c>
      <c r="G553" s="179"/>
      <c r="H553" s="179"/>
      <c r="I553" s="179"/>
      <c r="J553" s="179"/>
      <c r="K553" s="179"/>
      <c r="L553" s="179"/>
      <c r="M553" s="179"/>
      <c r="N553" s="179"/>
      <c r="O553" s="179"/>
      <c r="P553" s="179"/>
      <c r="Q553" s="179"/>
      <c r="R553" s="179"/>
      <c r="S553" s="179"/>
    </row>
    <row r="554" ht="14.25" customHeight="1">
      <c r="A554" s="184"/>
      <c r="B554" s="184"/>
      <c r="C554" s="179" t="s">
        <v>2427</v>
      </c>
      <c r="D554" s="179" t="s">
        <v>1240</v>
      </c>
      <c r="E554" s="179" t="s">
        <v>1448</v>
      </c>
      <c r="F554" s="179" t="s">
        <v>2486</v>
      </c>
      <c r="G554" s="179"/>
      <c r="H554" s="179"/>
      <c r="I554" s="179"/>
      <c r="J554" s="179"/>
      <c r="K554" s="179"/>
      <c r="L554" s="179"/>
      <c r="M554" s="179"/>
      <c r="N554" s="179"/>
      <c r="O554" s="179"/>
      <c r="P554" s="179"/>
      <c r="Q554" s="179"/>
      <c r="R554" s="179"/>
      <c r="S554" s="179"/>
    </row>
    <row r="555" ht="14.25" customHeight="1">
      <c r="A555" s="184"/>
      <c r="B555" s="184"/>
      <c r="C555" s="179" t="s">
        <v>2427</v>
      </c>
      <c r="D555" s="179" t="s">
        <v>1240</v>
      </c>
      <c r="E555" s="179" t="s">
        <v>1448</v>
      </c>
      <c r="F555" s="179" t="s">
        <v>2489</v>
      </c>
      <c r="G555" s="179"/>
      <c r="H555" s="179"/>
      <c r="I555" s="179"/>
      <c r="J555" s="179"/>
      <c r="K555" s="179"/>
      <c r="L555" s="179"/>
      <c r="M555" s="179"/>
      <c r="N555" s="179"/>
      <c r="O555" s="179"/>
      <c r="P555" s="179"/>
      <c r="Q555" s="179"/>
      <c r="R555" s="179"/>
      <c r="S555" s="179"/>
    </row>
    <row r="556" ht="14.25" customHeight="1">
      <c r="A556" s="184"/>
      <c r="B556" s="184"/>
      <c r="C556" s="179" t="s">
        <v>2427</v>
      </c>
      <c r="D556" s="179" t="s">
        <v>1240</v>
      </c>
      <c r="E556" s="179" t="s">
        <v>1448</v>
      </c>
      <c r="F556" s="179" t="s">
        <v>2481</v>
      </c>
      <c r="G556" s="179"/>
      <c r="H556" s="179"/>
      <c r="I556" s="179"/>
      <c r="J556" s="179"/>
      <c r="K556" s="179"/>
      <c r="L556" s="179"/>
      <c r="M556" s="179"/>
      <c r="N556" s="179"/>
      <c r="O556" s="179"/>
      <c r="P556" s="179"/>
      <c r="Q556" s="179"/>
      <c r="R556" s="179"/>
      <c r="S556" s="179"/>
    </row>
    <row r="557" ht="14.25" customHeight="1">
      <c r="A557" s="184"/>
      <c r="B557" s="184"/>
      <c r="C557" s="179" t="s">
        <v>2427</v>
      </c>
      <c r="D557" s="179" t="s">
        <v>1240</v>
      </c>
      <c r="E557" s="179" t="s">
        <v>1448</v>
      </c>
      <c r="F557" s="179" t="s">
        <v>2484</v>
      </c>
      <c r="G557" s="179"/>
      <c r="H557" s="179"/>
      <c r="I557" s="179"/>
      <c r="J557" s="179"/>
      <c r="K557" s="179"/>
      <c r="L557" s="179"/>
      <c r="M557" s="179"/>
      <c r="N557" s="179"/>
      <c r="O557" s="179"/>
      <c r="P557" s="179"/>
      <c r="Q557" s="179"/>
      <c r="R557" s="179"/>
      <c r="S557" s="179"/>
    </row>
    <row r="558" ht="14.25" customHeight="1">
      <c r="A558" s="184"/>
      <c r="B558" s="184"/>
      <c r="C558" s="179" t="s">
        <v>2427</v>
      </c>
      <c r="D558" s="179" t="s">
        <v>1240</v>
      </c>
      <c r="E558" s="179" t="s">
        <v>1448</v>
      </c>
      <c r="F558" s="179" t="s">
        <v>2488</v>
      </c>
      <c r="G558" s="179"/>
      <c r="H558" s="179"/>
      <c r="I558" s="179"/>
      <c r="J558" s="179"/>
      <c r="K558" s="179"/>
      <c r="L558" s="179"/>
      <c r="M558" s="179"/>
      <c r="N558" s="179"/>
      <c r="O558" s="179"/>
      <c r="P558" s="179"/>
      <c r="Q558" s="179"/>
      <c r="R558" s="179"/>
      <c r="S558" s="179"/>
    </row>
    <row r="559" ht="14.25" customHeight="1">
      <c r="A559" s="184"/>
      <c r="B559" s="184"/>
      <c r="C559" s="179" t="s">
        <v>2427</v>
      </c>
      <c r="D559" s="179" t="s">
        <v>814</v>
      </c>
      <c r="E559" s="179" t="s">
        <v>1448</v>
      </c>
      <c r="F559" s="179" t="s">
        <v>2461</v>
      </c>
      <c r="G559" s="179"/>
      <c r="H559" s="179"/>
      <c r="I559" s="179"/>
      <c r="J559" s="179"/>
      <c r="K559" s="179"/>
      <c r="L559" s="179"/>
      <c r="M559" s="179"/>
      <c r="N559" s="179"/>
      <c r="O559" s="179"/>
      <c r="P559" s="179"/>
      <c r="Q559" s="179"/>
      <c r="R559" s="179"/>
      <c r="S559" s="179"/>
    </row>
    <row r="560" ht="14.25" customHeight="1">
      <c r="A560" s="184"/>
      <c r="B560" s="184"/>
      <c r="C560" s="179" t="s">
        <v>2427</v>
      </c>
      <c r="D560" s="179" t="s">
        <v>814</v>
      </c>
      <c r="E560" s="179" t="s">
        <v>1448</v>
      </c>
      <c r="F560" s="179" t="s">
        <v>2465</v>
      </c>
      <c r="G560" s="179"/>
      <c r="H560" s="179"/>
      <c r="I560" s="179"/>
      <c r="J560" s="179"/>
      <c r="K560" s="179"/>
      <c r="L560" s="179"/>
      <c r="M560" s="179"/>
      <c r="N560" s="179"/>
      <c r="O560" s="179"/>
      <c r="P560" s="179"/>
      <c r="Q560" s="179"/>
      <c r="R560" s="179"/>
      <c r="S560" s="179"/>
    </row>
    <row r="561" ht="14.25" customHeight="1">
      <c r="A561" s="184"/>
      <c r="B561" s="184"/>
      <c r="C561" s="179" t="s">
        <v>2427</v>
      </c>
      <c r="D561" s="179" t="s">
        <v>814</v>
      </c>
      <c r="E561" s="179" t="s">
        <v>1448</v>
      </c>
      <c r="F561" s="179" t="s">
        <v>2460</v>
      </c>
      <c r="G561" s="179"/>
      <c r="H561" s="179"/>
      <c r="I561" s="179"/>
      <c r="J561" s="179"/>
      <c r="K561" s="179"/>
      <c r="L561" s="179"/>
      <c r="M561" s="179"/>
      <c r="N561" s="179"/>
      <c r="O561" s="179"/>
      <c r="P561" s="179"/>
      <c r="Q561" s="179"/>
      <c r="R561" s="179"/>
      <c r="S561" s="179"/>
    </row>
    <row r="562" ht="14.25" customHeight="1">
      <c r="A562" s="184"/>
      <c r="B562" s="184"/>
      <c r="C562" s="179" t="s">
        <v>2427</v>
      </c>
      <c r="D562" s="179" t="s">
        <v>814</v>
      </c>
      <c r="E562" s="179" t="s">
        <v>1448</v>
      </c>
      <c r="F562" s="179" t="s">
        <v>2464</v>
      </c>
      <c r="G562" s="179"/>
      <c r="H562" s="179"/>
      <c r="I562" s="179"/>
      <c r="J562" s="179"/>
      <c r="K562" s="179"/>
      <c r="L562" s="179"/>
      <c r="M562" s="179"/>
      <c r="N562" s="179"/>
      <c r="O562" s="179"/>
      <c r="P562" s="179"/>
      <c r="Q562" s="179"/>
      <c r="R562" s="179"/>
      <c r="S562" s="179"/>
    </row>
    <row r="563" ht="14.25" customHeight="1">
      <c r="A563" s="184"/>
      <c r="B563" s="184"/>
      <c r="C563" s="179" t="s">
        <v>2427</v>
      </c>
      <c r="D563" s="179" t="s">
        <v>814</v>
      </c>
      <c r="E563" s="179" t="s">
        <v>1448</v>
      </c>
      <c r="F563" s="179" t="s">
        <v>2468</v>
      </c>
      <c r="G563" s="179"/>
      <c r="H563" s="179"/>
      <c r="I563" s="179"/>
      <c r="J563" s="179"/>
      <c r="K563" s="179"/>
      <c r="L563" s="179"/>
      <c r="M563" s="179"/>
      <c r="N563" s="179"/>
      <c r="O563" s="179"/>
      <c r="P563" s="179"/>
      <c r="Q563" s="179"/>
      <c r="R563" s="179"/>
      <c r="S563" s="179"/>
    </row>
    <row r="564" ht="14.25" customHeight="1">
      <c r="A564" s="184"/>
      <c r="B564" s="184"/>
      <c r="C564" s="179" t="s">
        <v>2427</v>
      </c>
      <c r="D564" s="179" t="s">
        <v>814</v>
      </c>
      <c r="E564" s="179" t="s">
        <v>1448</v>
      </c>
      <c r="F564" s="179" t="s">
        <v>2453</v>
      </c>
      <c r="G564" s="179"/>
      <c r="H564" s="179"/>
      <c r="I564" s="179"/>
      <c r="J564" s="179"/>
      <c r="K564" s="179"/>
      <c r="L564" s="179"/>
      <c r="M564" s="179"/>
      <c r="N564" s="179"/>
      <c r="O564" s="179"/>
      <c r="P564" s="179"/>
      <c r="Q564" s="179"/>
      <c r="R564" s="179"/>
      <c r="S564" s="179"/>
    </row>
    <row r="565" ht="14.25" customHeight="1">
      <c r="A565" s="184"/>
      <c r="B565" s="184"/>
      <c r="C565" s="179" t="s">
        <v>2427</v>
      </c>
      <c r="D565" s="179" t="s">
        <v>814</v>
      </c>
      <c r="E565" s="179" t="s">
        <v>1448</v>
      </c>
      <c r="F565" s="179" t="s">
        <v>2451</v>
      </c>
      <c r="G565" s="179"/>
      <c r="H565" s="179"/>
      <c r="I565" s="179"/>
      <c r="J565" s="179"/>
      <c r="K565" s="179"/>
      <c r="L565" s="179"/>
      <c r="M565" s="179"/>
      <c r="N565" s="179"/>
      <c r="O565" s="179"/>
      <c r="P565" s="179"/>
      <c r="Q565" s="179"/>
      <c r="R565" s="179"/>
      <c r="S565" s="179"/>
    </row>
    <row r="566" ht="14.25" customHeight="1">
      <c r="A566" s="184"/>
      <c r="B566" s="184"/>
      <c r="C566" s="179" t="s">
        <v>2427</v>
      </c>
      <c r="D566" s="179" t="s">
        <v>814</v>
      </c>
      <c r="E566" s="179" t="s">
        <v>1448</v>
      </c>
      <c r="F566" s="179" t="s">
        <v>2466</v>
      </c>
      <c r="G566" s="179"/>
      <c r="H566" s="179"/>
      <c r="I566" s="179"/>
      <c r="J566" s="179"/>
      <c r="K566" s="179"/>
      <c r="L566" s="179"/>
      <c r="M566" s="179"/>
      <c r="N566" s="179"/>
      <c r="O566" s="179"/>
      <c r="P566" s="179"/>
      <c r="Q566" s="179"/>
      <c r="R566" s="179"/>
      <c r="S566" s="179"/>
    </row>
    <row r="567" ht="14.25" customHeight="1">
      <c r="A567" s="179"/>
      <c r="B567" s="179"/>
      <c r="C567" s="179" t="s">
        <v>2427</v>
      </c>
      <c r="D567" s="179" t="s">
        <v>814</v>
      </c>
      <c r="E567" s="179" t="s">
        <v>1448</v>
      </c>
      <c r="F567" s="179" t="s">
        <v>2462</v>
      </c>
      <c r="G567" s="179"/>
      <c r="H567" s="179"/>
      <c r="I567" s="179"/>
      <c r="J567" s="179"/>
      <c r="K567" s="179"/>
      <c r="L567" s="179"/>
      <c r="M567" s="179"/>
      <c r="N567" s="179"/>
      <c r="O567" s="179"/>
      <c r="P567" s="179"/>
      <c r="Q567" s="179"/>
      <c r="R567" s="179"/>
      <c r="S567" s="179"/>
    </row>
    <row r="568" ht="14.25" customHeight="1">
      <c r="A568" s="184"/>
      <c r="B568" s="184"/>
      <c r="C568" s="179" t="s">
        <v>2427</v>
      </c>
      <c r="D568" s="179" t="s">
        <v>1242</v>
      </c>
      <c r="E568" s="179" t="s">
        <v>1448</v>
      </c>
      <c r="F568" s="179" t="s">
        <v>2444</v>
      </c>
      <c r="G568" s="179"/>
      <c r="H568" s="179"/>
      <c r="I568" s="179"/>
      <c r="J568" s="179"/>
      <c r="K568" s="179"/>
      <c r="L568" s="179"/>
      <c r="M568" s="179"/>
      <c r="N568" s="179"/>
      <c r="O568" s="179"/>
      <c r="P568" s="179"/>
      <c r="Q568" s="179"/>
      <c r="R568" s="179"/>
      <c r="S568" s="179"/>
    </row>
    <row r="569" ht="14.25" customHeight="1">
      <c r="A569" s="184"/>
      <c r="B569" s="184"/>
      <c r="C569" s="179" t="s">
        <v>2427</v>
      </c>
      <c r="D569" s="179" t="s">
        <v>1242</v>
      </c>
      <c r="E569" s="179" t="s">
        <v>1448</v>
      </c>
      <c r="F569" s="179" t="s">
        <v>2440</v>
      </c>
      <c r="G569" s="179"/>
      <c r="H569" s="179"/>
      <c r="I569" s="179"/>
      <c r="J569" s="179"/>
      <c r="K569" s="179"/>
      <c r="L569" s="179"/>
      <c r="M569" s="179"/>
      <c r="N569" s="179"/>
      <c r="O569" s="179"/>
      <c r="P569" s="179"/>
      <c r="Q569" s="179"/>
      <c r="R569" s="179"/>
      <c r="S569" s="179"/>
    </row>
    <row r="570" ht="14.25" customHeight="1">
      <c r="A570" s="184"/>
      <c r="B570" s="184"/>
      <c r="C570" s="179" t="s">
        <v>2427</v>
      </c>
      <c r="D570" s="179" t="s">
        <v>1242</v>
      </c>
      <c r="E570" s="179" t="s">
        <v>1448</v>
      </c>
      <c r="F570" s="179" t="s">
        <v>2428</v>
      </c>
      <c r="G570" s="179"/>
      <c r="H570" s="179"/>
      <c r="I570" s="179"/>
      <c r="J570" s="179"/>
      <c r="K570" s="179"/>
      <c r="L570" s="179"/>
      <c r="M570" s="179"/>
      <c r="N570" s="179"/>
      <c r="O570" s="179"/>
      <c r="P570" s="179"/>
      <c r="Q570" s="179"/>
      <c r="R570" s="179"/>
      <c r="S570" s="179"/>
    </row>
    <row r="571" ht="14.25" customHeight="1">
      <c r="A571" s="184"/>
      <c r="B571" s="184"/>
      <c r="C571" s="179" t="s">
        <v>2427</v>
      </c>
      <c r="D571" s="179" t="s">
        <v>1242</v>
      </c>
      <c r="E571" s="179" t="s">
        <v>1448</v>
      </c>
      <c r="F571" s="179" t="s">
        <v>2431</v>
      </c>
      <c r="G571" s="179"/>
      <c r="H571" s="179"/>
      <c r="I571" s="179"/>
      <c r="J571" s="179"/>
      <c r="K571" s="179"/>
      <c r="L571" s="179"/>
      <c r="M571" s="179"/>
      <c r="N571" s="179"/>
      <c r="O571" s="179"/>
      <c r="P571" s="179"/>
      <c r="Q571" s="179"/>
      <c r="R571" s="179"/>
      <c r="S571" s="179"/>
    </row>
    <row r="572" ht="14.25" customHeight="1">
      <c r="A572" s="184"/>
      <c r="B572" s="184"/>
      <c r="C572" s="179" t="s">
        <v>2427</v>
      </c>
      <c r="D572" s="179" t="s">
        <v>1242</v>
      </c>
      <c r="E572" s="179" t="s">
        <v>1448</v>
      </c>
      <c r="F572" s="179" t="s">
        <v>2435</v>
      </c>
      <c r="G572" s="179"/>
      <c r="H572" s="179"/>
      <c r="I572" s="179"/>
      <c r="J572" s="179"/>
      <c r="K572" s="179"/>
      <c r="L572" s="179"/>
      <c r="M572" s="179"/>
      <c r="N572" s="179"/>
      <c r="O572" s="179"/>
      <c r="P572" s="179"/>
      <c r="Q572" s="179"/>
      <c r="R572" s="179"/>
      <c r="S572" s="179"/>
    </row>
    <row r="573" ht="14.25" customHeight="1">
      <c r="A573" s="184"/>
      <c r="B573" s="184"/>
      <c r="C573" s="179" t="s">
        <v>2427</v>
      </c>
      <c r="D573" s="179" t="s">
        <v>1242</v>
      </c>
      <c r="E573" s="179" t="s">
        <v>1448</v>
      </c>
      <c r="F573" s="179" t="s">
        <v>2432</v>
      </c>
      <c r="G573" s="179"/>
      <c r="H573" s="179"/>
      <c r="I573" s="179"/>
      <c r="J573" s="179"/>
      <c r="K573" s="179"/>
      <c r="L573" s="179"/>
      <c r="M573" s="179"/>
      <c r="N573" s="179"/>
      <c r="O573" s="179"/>
      <c r="P573" s="179"/>
      <c r="Q573" s="179"/>
      <c r="R573" s="179"/>
      <c r="S573" s="179"/>
    </row>
    <row r="574" ht="14.25" customHeight="1">
      <c r="A574" s="184"/>
      <c r="B574" s="184"/>
      <c r="C574" s="179" t="s">
        <v>2427</v>
      </c>
      <c r="D574" s="179" t="s">
        <v>1242</v>
      </c>
      <c r="E574" s="179" t="s">
        <v>1448</v>
      </c>
      <c r="F574" s="179" t="s">
        <v>2436</v>
      </c>
      <c r="G574" s="179"/>
      <c r="H574" s="179"/>
      <c r="I574" s="179"/>
      <c r="J574" s="179"/>
      <c r="K574" s="179"/>
      <c r="L574" s="179"/>
      <c r="M574" s="179"/>
      <c r="N574" s="179"/>
      <c r="O574" s="179"/>
      <c r="P574" s="179"/>
      <c r="Q574" s="179"/>
      <c r="R574" s="179"/>
      <c r="S574" s="179"/>
    </row>
    <row r="575" ht="14.25" customHeight="1">
      <c r="A575" s="184"/>
      <c r="B575" s="184"/>
      <c r="C575" s="179" t="s">
        <v>2427</v>
      </c>
      <c r="D575" s="179" t="s">
        <v>1242</v>
      </c>
      <c r="E575" s="179" t="s">
        <v>1448</v>
      </c>
      <c r="F575" s="179" t="s">
        <v>2433</v>
      </c>
      <c r="G575" s="179"/>
      <c r="H575" s="179"/>
      <c r="I575" s="179"/>
      <c r="J575" s="179"/>
      <c r="K575" s="179"/>
      <c r="L575" s="179"/>
      <c r="M575" s="179"/>
      <c r="N575" s="179"/>
      <c r="O575" s="179"/>
      <c r="P575" s="179"/>
      <c r="Q575" s="179"/>
      <c r="R575" s="179"/>
      <c r="S575" s="179"/>
    </row>
    <row r="576" ht="14.25" customHeight="1">
      <c r="A576" s="184"/>
      <c r="B576" s="184"/>
      <c r="C576" s="179" t="s">
        <v>2427</v>
      </c>
      <c r="D576" s="179" t="s">
        <v>1242</v>
      </c>
      <c r="E576" s="179" t="s">
        <v>1448</v>
      </c>
      <c r="F576" s="179" t="s">
        <v>2437</v>
      </c>
      <c r="G576" s="179"/>
      <c r="H576" s="179"/>
      <c r="I576" s="179"/>
      <c r="J576" s="179"/>
      <c r="K576" s="179"/>
      <c r="L576" s="179"/>
      <c r="M576" s="179"/>
      <c r="N576" s="179"/>
      <c r="O576" s="179"/>
      <c r="P576" s="179"/>
      <c r="Q576" s="179"/>
      <c r="R576" s="179"/>
      <c r="S576" s="179"/>
    </row>
    <row r="577" ht="14.25" customHeight="1">
      <c r="A577" s="184"/>
      <c r="B577" s="184"/>
      <c r="C577" s="179" t="s">
        <v>2427</v>
      </c>
      <c r="D577" s="179" t="s">
        <v>1242</v>
      </c>
      <c r="E577" s="179" t="s">
        <v>1448</v>
      </c>
      <c r="F577" s="179" t="s">
        <v>2447</v>
      </c>
      <c r="G577" s="179"/>
      <c r="H577" s="179"/>
      <c r="I577" s="179"/>
      <c r="J577" s="179"/>
      <c r="K577" s="179"/>
      <c r="L577" s="179"/>
      <c r="M577" s="179"/>
      <c r="N577" s="179"/>
      <c r="O577" s="179"/>
      <c r="P577" s="179"/>
      <c r="Q577" s="179"/>
      <c r="R577" s="179"/>
      <c r="S577" s="179"/>
    </row>
    <row r="578" ht="14.25" customHeight="1">
      <c r="A578" s="184"/>
      <c r="B578" s="184"/>
      <c r="C578" s="179" t="s">
        <v>2427</v>
      </c>
      <c r="D578" s="179" t="s">
        <v>1242</v>
      </c>
      <c r="E578" s="179" t="s">
        <v>1448</v>
      </c>
      <c r="F578" s="179" t="s">
        <v>2446</v>
      </c>
      <c r="G578" s="179"/>
      <c r="H578" s="179"/>
      <c r="I578" s="179"/>
      <c r="J578" s="179"/>
      <c r="K578" s="179"/>
      <c r="L578" s="179"/>
      <c r="M578" s="179"/>
      <c r="N578" s="179"/>
      <c r="O578" s="179"/>
      <c r="P578" s="179"/>
      <c r="Q578" s="179"/>
      <c r="R578" s="179"/>
      <c r="S578" s="179"/>
    </row>
    <row r="579" ht="14.25" customHeight="1">
      <c r="A579" s="179"/>
      <c r="B579" s="179"/>
      <c r="C579" s="179" t="s">
        <v>2427</v>
      </c>
      <c r="D579" s="179" t="s">
        <v>1242</v>
      </c>
      <c r="E579" s="179" t="s">
        <v>1448</v>
      </c>
      <c r="F579" s="179" t="s">
        <v>2439</v>
      </c>
      <c r="G579" s="179"/>
      <c r="H579" s="179"/>
      <c r="I579" s="179"/>
      <c r="J579" s="179"/>
      <c r="K579" s="179"/>
      <c r="L579" s="179"/>
      <c r="M579" s="179"/>
      <c r="N579" s="179"/>
      <c r="O579" s="179"/>
      <c r="P579" s="179"/>
      <c r="Q579" s="179"/>
      <c r="R579" s="179"/>
      <c r="S579" s="179"/>
    </row>
    <row r="580" ht="14.25" customHeight="1">
      <c r="A580" s="184"/>
      <c r="B580" s="184"/>
      <c r="C580" s="179" t="s">
        <v>2427</v>
      </c>
      <c r="D580" s="179" t="s">
        <v>1242</v>
      </c>
      <c r="E580" s="179" t="s">
        <v>1448</v>
      </c>
      <c r="F580" s="179" t="s">
        <v>2429</v>
      </c>
      <c r="G580" s="179"/>
      <c r="H580" s="179"/>
      <c r="I580" s="179"/>
      <c r="J580" s="179"/>
      <c r="K580" s="179"/>
      <c r="L580" s="179"/>
      <c r="M580" s="179"/>
      <c r="N580" s="179"/>
      <c r="O580" s="179"/>
      <c r="P580" s="179"/>
      <c r="Q580" s="179"/>
      <c r="R580" s="179"/>
      <c r="S580" s="179"/>
    </row>
    <row r="581" ht="14.25" customHeight="1">
      <c r="A581" s="184"/>
      <c r="B581" s="184"/>
      <c r="C581" s="179" t="s">
        <v>2427</v>
      </c>
      <c r="D581" s="179" t="s">
        <v>1242</v>
      </c>
      <c r="E581" s="179" t="s">
        <v>1448</v>
      </c>
      <c r="F581" s="179" t="s">
        <v>2450</v>
      </c>
      <c r="G581" s="179"/>
      <c r="H581" s="179"/>
      <c r="I581" s="179"/>
      <c r="J581" s="179"/>
      <c r="K581" s="179"/>
      <c r="L581" s="179"/>
      <c r="M581" s="179"/>
      <c r="N581" s="179"/>
      <c r="O581" s="179"/>
      <c r="P581" s="179"/>
      <c r="Q581" s="179"/>
      <c r="R581" s="179"/>
      <c r="S581" s="179"/>
    </row>
    <row r="582" ht="14.25" customHeight="1">
      <c r="A582" s="179"/>
      <c r="B582" s="179"/>
      <c r="C582" s="179" t="s">
        <v>2427</v>
      </c>
      <c r="D582" s="179" t="s">
        <v>1242</v>
      </c>
      <c r="E582" s="179" t="s">
        <v>1448</v>
      </c>
      <c r="F582" s="179" t="s">
        <v>2442</v>
      </c>
      <c r="G582" s="179"/>
      <c r="H582" s="179"/>
      <c r="I582" s="179"/>
      <c r="J582" s="179"/>
      <c r="K582" s="179"/>
      <c r="L582" s="179"/>
      <c r="M582" s="179"/>
      <c r="N582" s="179"/>
      <c r="O582" s="179"/>
      <c r="P582" s="179"/>
      <c r="Q582" s="179"/>
      <c r="R582" s="179"/>
      <c r="S582" s="179"/>
    </row>
    <row r="583" ht="14.25" customHeight="1">
      <c r="A583" s="184"/>
      <c r="B583" s="184"/>
      <c r="C583" s="179"/>
      <c r="D583" s="179"/>
      <c r="E583" s="179"/>
      <c r="F583" s="179"/>
      <c r="G583" s="179"/>
      <c r="H583" s="179"/>
      <c r="I583" s="179"/>
      <c r="J583" s="179"/>
      <c r="K583" s="179"/>
      <c r="L583" s="179"/>
      <c r="M583" s="179"/>
      <c r="N583" s="179"/>
      <c r="O583" s="179"/>
      <c r="P583" s="179"/>
      <c r="Q583" s="179"/>
      <c r="R583" s="179"/>
      <c r="S583" s="179"/>
    </row>
    <row r="584" ht="14.25" customHeight="1">
      <c r="A584" s="179"/>
      <c r="B584" s="179"/>
      <c r="C584" s="179"/>
      <c r="D584" s="179"/>
      <c r="E584" s="179"/>
      <c r="F584" s="179"/>
      <c r="G584" s="179"/>
      <c r="H584" s="179"/>
      <c r="I584" s="179"/>
      <c r="J584" s="179"/>
      <c r="K584" s="179"/>
      <c r="L584" s="179"/>
      <c r="M584" s="179"/>
      <c r="N584" s="179"/>
      <c r="O584" s="179"/>
      <c r="P584" s="179"/>
      <c r="Q584" s="179"/>
      <c r="R584" s="179"/>
      <c r="S584" s="179"/>
    </row>
    <row r="585" ht="14.25" customHeight="1">
      <c r="A585" s="179"/>
      <c r="B585" s="179"/>
      <c r="C585" s="179"/>
      <c r="D585" s="179"/>
      <c r="E585" s="179"/>
      <c r="F585" s="179"/>
      <c r="G585" s="179"/>
      <c r="H585" s="179"/>
      <c r="I585" s="179"/>
      <c r="J585" s="179"/>
      <c r="K585" s="179"/>
      <c r="L585" s="179"/>
      <c r="M585" s="179"/>
      <c r="N585" s="179"/>
      <c r="O585" s="179"/>
      <c r="P585" s="179"/>
      <c r="Q585" s="179"/>
      <c r="R585" s="179"/>
      <c r="S585" s="179"/>
    </row>
    <row r="586" ht="14.25" customHeight="1">
      <c r="A586" s="179"/>
      <c r="B586" s="179"/>
      <c r="C586" s="179"/>
      <c r="D586" s="179"/>
      <c r="E586" s="179"/>
      <c r="F586" s="179"/>
      <c r="G586" s="179"/>
      <c r="H586" s="179"/>
      <c r="I586" s="179"/>
      <c r="J586" s="179"/>
      <c r="K586" s="179"/>
      <c r="L586" s="179"/>
      <c r="M586" s="179"/>
      <c r="N586" s="179"/>
      <c r="O586" s="179"/>
      <c r="P586" s="179"/>
      <c r="Q586" s="179"/>
      <c r="R586" s="179"/>
      <c r="S586" s="179"/>
    </row>
    <row r="587" ht="14.25" customHeight="1">
      <c r="A587" s="179"/>
      <c r="B587" s="179"/>
      <c r="C587" s="179"/>
      <c r="D587" s="179"/>
      <c r="E587" s="179"/>
      <c r="F587" s="179"/>
      <c r="G587" s="179"/>
      <c r="H587" s="179"/>
      <c r="I587" s="179"/>
      <c r="J587" s="179"/>
      <c r="K587" s="179"/>
      <c r="L587" s="179"/>
      <c r="M587" s="179"/>
      <c r="N587" s="179"/>
      <c r="O587" s="179"/>
      <c r="P587" s="179"/>
      <c r="Q587" s="179"/>
      <c r="R587" s="179"/>
      <c r="S587" s="179"/>
    </row>
    <row r="588" ht="14.25" customHeight="1">
      <c r="A588" s="179"/>
      <c r="B588" s="179"/>
      <c r="C588" s="179"/>
      <c r="D588" s="179"/>
      <c r="E588" s="179"/>
      <c r="F588" s="179"/>
      <c r="G588" s="179"/>
      <c r="H588" s="179"/>
      <c r="I588" s="179"/>
      <c r="J588" s="179"/>
      <c r="K588" s="179"/>
      <c r="L588" s="179"/>
      <c r="M588" s="179"/>
      <c r="N588" s="179"/>
      <c r="O588" s="179"/>
      <c r="P588" s="179"/>
      <c r="Q588" s="179"/>
      <c r="R588" s="179"/>
      <c r="S588" s="179"/>
    </row>
    <row r="589" ht="14.25" customHeight="1">
      <c r="A589" s="179"/>
      <c r="B589" s="179"/>
      <c r="C589" s="179"/>
      <c r="D589" s="179"/>
      <c r="E589" s="179"/>
      <c r="F589" s="179"/>
      <c r="G589" s="179"/>
      <c r="H589" s="179"/>
      <c r="I589" s="179"/>
      <c r="J589" s="179"/>
      <c r="K589" s="179"/>
      <c r="L589" s="179"/>
      <c r="M589" s="179"/>
      <c r="N589" s="179"/>
      <c r="O589" s="179"/>
      <c r="P589" s="179"/>
      <c r="Q589" s="179"/>
      <c r="R589" s="179"/>
      <c r="S589" s="179"/>
    </row>
    <row r="590" ht="14.25" customHeight="1">
      <c r="A590" s="179"/>
      <c r="B590" s="179"/>
      <c r="C590" s="179"/>
      <c r="D590" s="179"/>
      <c r="E590" s="179"/>
      <c r="F590" s="179"/>
      <c r="G590" s="179"/>
      <c r="H590" s="179"/>
      <c r="I590" s="179"/>
      <c r="J590" s="179"/>
      <c r="K590" s="179"/>
      <c r="L590" s="179"/>
      <c r="M590" s="179"/>
      <c r="N590" s="179"/>
      <c r="O590" s="179"/>
      <c r="P590" s="179"/>
      <c r="Q590" s="179"/>
      <c r="R590" s="179"/>
      <c r="S590" s="179"/>
    </row>
    <row r="591" ht="14.25" customHeight="1">
      <c r="A591" s="179"/>
      <c r="B591" s="179"/>
      <c r="C591" s="179"/>
      <c r="D591" s="179"/>
      <c r="E591" s="179"/>
      <c r="F591" s="179"/>
      <c r="G591" s="179"/>
      <c r="H591" s="179"/>
      <c r="I591" s="179"/>
      <c r="J591" s="179"/>
      <c r="K591" s="179"/>
      <c r="L591" s="179"/>
      <c r="M591" s="179"/>
      <c r="N591" s="179"/>
      <c r="O591" s="179"/>
      <c r="P591" s="179"/>
      <c r="Q591" s="179"/>
      <c r="R591" s="179"/>
      <c r="S591" s="179"/>
    </row>
    <row r="592" ht="14.25" customHeight="1">
      <c r="A592" s="179"/>
      <c r="B592" s="179"/>
      <c r="C592" s="179"/>
      <c r="D592" s="179"/>
      <c r="E592" s="179"/>
      <c r="F592" s="179"/>
      <c r="G592" s="179"/>
      <c r="H592" s="179"/>
      <c r="I592" s="179"/>
      <c r="J592" s="179"/>
      <c r="K592" s="179"/>
      <c r="L592" s="179"/>
      <c r="M592" s="179"/>
      <c r="N592" s="179"/>
      <c r="O592" s="179"/>
      <c r="P592" s="179"/>
      <c r="Q592" s="179"/>
      <c r="R592" s="179"/>
      <c r="S592" s="179"/>
    </row>
    <row r="593" ht="14.25" customHeight="1">
      <c r="A593" s="179"/>
      <c r="B593" s="179"/>
      <c r="C593" s="179"/>
      <c r="D593" s="179"/>
      <c r="E593" s="179"/>
      <c r="F593" s="179"/>
      <c r="G593" s="179"/>
      <c r="H593" s="179"/>
      <c r="I593" s="179"/>
      <c r="J593" s="179"/>
      <c r="K593" s="179"/>
      <c r="L593" s="179"/>
      <c r="M593" s="179"/>
      <c r="N593" s="179"/>
      <c r="O593" s="179"/>
      <c r="P593" s="179"/>
      <c r="Q593" s="179"/>
      <c r="R593" s="179"/>
      <c r="S593" s="179"/>
    </row>
    <row r="594" ht="14.25" customHeight="1">
      <c r="A594" s="184"/>
      <c r="B594" s="184"/>
      <c r="C594" s="179"/>
      <c r="D594" s="179"/>
      <c r="E594" s="179"/>
      <c r="F594" s="179"/>
      <c r="G594" s="179"/>
      <c r="H594" s="179"/>
      <c r="I594" s="179"/>
      <c r="J594" s="179"/>
      <c r="K594" s="179"/>
      <c r="L594" s="179"/>
      <c r="M594" s="179"/>
      <c r="N594" s="179"/>
      <c r="O594" s="179"/>
      <c r="P594" s="179"/>
      <c r="Q594" s="179"/>
      <c r="R594" s="179"/>
      <c r="S594" s="179"/>
    </row>
    <row r="595" ht="14.25" customHeight="1">
      <c r="A595" s="179"/>
      <c r="B595" s="179"/>
      <c r="C595" s="179"/>
      <c r="D595" s="179"/>
      <c r="E595" s="179"/>
      <c r="F595" s="179"/>
      <c r="G595" s="179"/>
      <c r="H595" s="179"/>
      <c r="I595" s="179"/>
      <c r="J595" s="179"/>
      <c r="K595" s="179"/>
      <c r="L595" s="179"/>
      <c r="M595" s="179"/>
      <c r="N595" s="179"/>
      <c r="O595" s="179"/>
      <c r="P595" s="179"/>
      <c r="Q595" s="179"/>
      <c r="R595" s="179"/>
      <c r="S595" s="179"/>
    </row>
    <row r="596" ht="14.25" customHeight="1">
      <c r="A596" s="179"/>
      <c r="B596" s="179"/>
      <c r="C596" s="179"/>
      <c r="D596" s="179"/>
      <c r="E596" s="179"/>
      <c r="F596" s="179"/>
      <c r="G596" s="179"/>
      <c r="H596" s="179"/>
      <c r="I596" s="179"/>
      <c r="J596" s="179"/>
      <c r="K596" s="179"/>
      <c r="L596" s="179"/>
      <c r="M596" s="179"/>
      <c r="N596" s="179"/>
      <c r="O596" s="179"/>
      <c r="P596" s="179"/>
      <c r="Q596" s="179"/>
      <c r="R596" s="179"/>
      <c r="S596" s="179"/>
    </row>
    <row r="597" ht="14.25" customHeight="1">
      <c r="A597" s="179"/>
      <c r="B597" s="179"/>
      <c r="C597" s="179"/>
      <c r="D597" s="179"/>
      <c r="E597" s="179"/>
      <c r="F597" s="179"/>
      <c r="G597" s="179"/>
      <c r="H597" s="179"/>
      <c r="I597" s="179"/>
      <c r="J597" s="179"/>
      <c r="K597" s="179"/>
      <c r="L597" s="179"/>
      <c r="M597" s="179"/>
      <c r="N597" s="179"/>
      <c r="O597" s="179"/>
      <c r="P597" s="179"/>
      <c r="Q597" s="179"/>
      <c r="R597" s="179"/>
      <c r="S597" s="179"/>
    </row>
    <row r="598" ht="14.25" customHeight="1">
      <c r="A598" s="179"/>
      <c r="B598" s="179"/>
      <c r="C598" s="179"/>
      <c r="D598" s="179"/>
      <c r="E598" s="179"/>
      <c r="F598" s="179"/>
      <c r="G598" s="179"/>
      <c r="H598" s="179"/>
      <c r="I598" s="179"/>
      <c r="J598" s="179"/>
      <c r="K598" s="179"/>
      <c r="L598" s="179"/>
      <c r="M598" s="179"/>
      <c r="N598" s="179"/>
      <c r="O598" s="179"/>
      <c r="P598" s="179"/>
      <c r="Q598" s="179"/>
      <c r="R598" s="179"/>
      <c r="S598" s="179"/>
    </row>
    <row r="599" ht="14.25" customHeight="1">
      <c r="A599" s="179"/>
      <c r="B599" s="179"/>
      <c r="C599" s="179"/>
      <c r="D599" s="179"/>
      <c r="E599" s="179"/>
      <c r="F599" s="179"/>
      <c r="G599" s="179"/>
      <c r="H599" s="179"/>
      <c r="I599" s="179"/>
      <c r="J599" s="179"/>
      <c r="K599" s="179"/>
      <c r="L599" s="179"/>
      <c r="M599" s="179"/>
      <c r="N599" s="179"/>
      <c r="O599" s="179"/>
      <c r="P599" s="179"/>
      <c r="Q599" s="179"/>
      <c r="R599" s="179"/>
      <c r="S599" s="179"/>
    </row>
    <row r="600" ht="14.25" customHeight="1">
      <c r="A600" s="179"/>
      <c r="B600" s="179"/>
      <c r="C600" s="179"/>
      <c r="D600" s="179"/>
      <c r="E600" s="179"/>
      <c r="F600" s="179"/>
      <c r="G600" s="179"/>
      <c r="H600" s="179"/>
      <c r="I600" s="179"/>
      <c r="J600" s="179"/>
      <c r="K600" s="179"/>
      <c r="L600" s="179"/>
      <c r="M600" s="179"/>
      <c r="N600" s="179"/>
      <c r="O600" s="179"/>
      <c r="P600" s="179"/>
      <c r="Q600" s="179"/>
      <c r="R600" s="179"/>
      <c r="S600" s="179"/>
    </row>
    <row r="601" ht="14.25" customHeight="1">
      <c r="A601" s="179"/>
      <c r="B601" s="179"/>
      <c r="C601" s="179"/>
      <c r="D601" s="179"/>
      <c r="E601" s="179"/>
      <c r="F601" s="179"/>
      <c r="G601" s="179"/>
      <c r="H601" s="179"/>
      <c r="I601" s="179"/>
      <c r="J601" s="179"/>
      <c r="K601" s="179"/>
      <c r="L601" s="179"/>
      <c r="M601" s="179"/>
      <c r="N601" s="179"/>
      <c r="O601" s="179"/>
      <c r="P601" s="179"/>
      <c r="Q601" s="179"/>
      <c r="R601" s="179"/>
      <c r="S601" s="179"/>
    </row>
    <row r="602" ht="14.25" customHeight="1">
      <c r="A602" s="179"/>
      <c r="B602" s="179"/>
      <c r="C602" s="179"/>
      <c r="D602" s="179"/>
      <c r="E602" s="179"/>
      <c r="F602" s="179"/>
      <c r="G602" s="179"/>
      <c r="H602" s="179"/>
      <c r="I602" s="179"/>
      <c r="J602" s="179"/>
      <c r="K602" s="179"/>
      <c r="L602" s="179"/>
      <c r="M602" s="179"/>
      <c r="N602" s="179"/>
      <c r="O602" s="179"/>
      <c r="P602" s="179"/>
      <c r="Q602" s="179"/>
      <c r="R602" s="179"/>
      <c r="S602" s="179"/>
    </row>
    <row r="603" ht="14.25" customHeight="1">
      <c r="A603" s="179"/>
      <c r="B603" s="179"/>
      <c r="C603" s="179"/>
      <c r="D603" s="179"/>
      <c r="E603" s="179"/>
      <c r="F603" s="179"/>
      <c r="G603" s="179"/>
      <c r="H603" s="179"/>
      <c r="I603" s="179"/>
      <c r="J603" s="179"/>
      <c r="K603" s="179"/>
      <c r="L603" s="179"/>
      <c r="M603" s="179"/>
      <c r="N603" s="179"/>
      <c r="O603" s="179"/>
      <c r="P603" s="179"/>
      <c r="Q603" s="179"/>
      <c r="R603" s="179"/>
      <c r="S603" s="179"/>
    </row>
    <row r="604" ht="14.25" customHeight="1">
      <c r="A604" s="179"/>
      <c r="B604" s="179"/>
      <c r="C604" s="179"/>
      <c r="D604" s="179"/>
      <c r="E604" s="179"/>
      <c r="F604" s="179"/>
      <c r="G604" s="179"/>
      <c r="H604" s="179"/>
      <c r="I604" s="179"/>
      <c r="J604" s="179"/>
      <c r="K604" s="179"/>
      <c r="L604" s="179"/>
      <c r="M604" s="179"/>
      <c r="N604" s="179"/>
      <c r="O604" s="179"/>
      <c r="P604" s="179"/>
      <c r="Q604" s="179"/>
      <c r="R604" s="179"/>
      <c r="S604" s="179"/>
    </row>
    <row r="605" ht="14.25" customHeight="1">
      <c r="A605" s="179"/>
      <c r="B605" s="179"/>
      <c r="C605" s="179"/>
      <c r="D605" s="179"/>
      <c r="E605" s="179"/>
      <c r="F605" s="179"/>
      <c r="G605" s="179"/>
      <c r="H605" s="179"/>
      <c r="I605" s="179"/>
      <c r="J605" s="179"/>
      <c r="K605" s="179"/>
      <c r="L605" s="179"/>
      <c r="M605" s="179"/>
      <c r="N605" s="179"/>
      <c r="O605" s="179"/>
      <c r="P605" s="179"/>
      <c r="Q605" s="179"/>
      <c r="R605" s="179"/>
      <c r="S605" s="179"/>
    </row>
    <row r="606" ht="14.25" customHeight="1">
      <c r="A606" s="179"/>
      <c r="B606" s="179"/>
      <c r="C606" s="179"/>
      <c r="D606" s="179"/>
      <c r="E606" s="179"/>
      <c r="F606" s="179"/>
      <c r="G606" s="179"/>
      <c r="H606" s="179"/>
      <c r="I606" s="179"/>
      <c r="J606" s="179"/>
      <c r="K606" s="179"/>
      <c r="L606" s="179"/>
      <c r="M606" s="179"/>
      <c r="N606" s="179"/>
      <c r="O606" s="179"/>
      <c r="P606" s="179"/>
      <c r="Q606" s="179"/>
      <c r="R606" s="179"/>
      <c r="S606" s="179"/>
    </row>
    <row r="607" ht="14.25" customHeight="1">
      <c r="A607" s="179"/>
      <c r="B607" s="179"/>
      <c r="C607" s="179"/>
      <c r="D607" s="179"/>
      <c r="E607" s="179"/>
      <c r="F607" s="179"/>
      <c r="G607" s="179"/>
      <c r="H607" s="179"/>
      <c r="I607" s="179"/>
      <c r="J607" s="179"/>
      <c r="K607" s="179"/>
      <c r="L607" s="179"/>
      <c r="M607" s="179"/>
      <c r="N607" s="179"/>
      <c r="O607" s="179"/>
      <c r="P607" s="179"/>
      <c r="Q607" s="179"/>
      <c r="R607" s="179"/>
      <c r="S607" s="179"/>
    </row>
    <row r="608" ht="14.25" customHeight="1">
      <c r="A608" s="179"/>
      <c r="B608" s="179"/>
      <c r="C608" s="179"/>
      <c r="D608" s="179"/>
      <c r="E608" s="179"/>
      <c r="F608" s="179"/>
      <c r="G608" s="179"/>
      <c r="H608" s="179"/>
      <c r="I608" s="179"/>
      <c r="J608" s="179"/>
      <c r="K608" s="179"/>
      <c r="L608" s="179"/>
      <c r="M608" s="179"/>
      <c r="N608" s="179"/>
      <c r="O608" s="179"/>
      <c r="P608" s="179"/>
      <c r="Q608" s="179"/>
      <c r="R608" s="179"/>
      <c r="S608" s="179"/>
    </row>
    <row r="609" ht="14.25" customHeight="1">
      <c r="A609" s="179"/>
      <c r="B609" s="179"/>
      <c r="C609" s="179"/>
      <c r="D609" s="179"/>
      <c r="E609" s="179"/>
      <c r="F609" s="179"/>
      <c r="G609" s="179"/>
      <c r="H609" s="179"/>
      <c r="I609" s="179"/>
      <c r="J609" s="179"/>
      <c r="K609" s="179"/>
      <c r="L609" s="179"/>
      <c r="M609" s="179"/>
      <c r="N609" s="179"/>
      <c r="O609" s="179"/>
      <c r="P609" s="179"/>
      <c r="Q609" s="179"/>
      <c r="R609" s="179"/>
      <c r="S609" s="179"/>
    </row>
    <row r="610" ht="14.25" customHeight="1">
      <c r="A610" s="179"/>
      <c r="B610" s="179"/>
      <c r="C610" s="179"/>
      <c r="D610" s="179"/>
      <c r="E610" s="179"/>
      <c r="F610" s="179"/>
      <c r="G610" s="179"/>
      <c r="H610" s="179"/>
      <c r="I610" s="179"/>
      <c r="J610" s="179"/>
      <c r="K610" s="179"/>
      <c r="L610" s="179"/>
      <c r="M610" s="179"/>
      <c r="N610" s="179"/>
      <c r="O610" s="179"/>
      <c r="P610" s="179"/>
      <c r="Q610" s="179"/>
      <c r="R610" s="179"/>
      <c r="S610" s="179"/>
    </row>
    <row r="611" ht="14.25" customHeight="1">
      <c r="A611" s="179"/>
      <c r="B611" s="179"/>
      <c r="C611" s="179"/>
      <c r="D611" s="179"/>
      <c r="E611" s="179"/>
      <c r="F611" s="179"/>
      <c r="G611" s="179"/>
      <c r="H611" s="179"/>
      <c r="I611" s="179"/>
      <c r="J611" s="179"/>
      <c r="K611" s="179"/>
      <c r="L611" s="179"/>
      <c r="M611" s="179"/>
      <c r="N611" s="179"/>
      <c r="O611" s="179"/>
      <c r="P611" s="179"/>
      <c r="Q611" s="179"/>
      <c r="R611" s="179"/>
      <c r="S611" s="179"/>
    </row>
    <row r="612" ht="14.25" customHeight="1">
      <c r="A612" s="179"/>
      <c r="B612" s="179"/>
      <c r="C612" s="179"/>
      <c r="D612" s="179"/>
      <c r="E612" s="179"/>
      <c r="F612" s="179"/>
      <c r="G612" s="179"/>
      <c r="H612" s="179"/>
      <c r="I612" s="179"/>
      <c r="J612" s="179"/>
      <c r="K612" s="179"/>
      <c r="L612" s="179"/>
      <c r="M612" s="179"/>
      <c r="N612" s="179"/>
      <c r="O612" s="179"/>
      <c r="P612" s="179"/>
      <c r="Q612" s="179"/>
      <c r="R612" s="179"/>
      <c r="S612" s="179"/>
    </row>
    <row r="613" ht="14.25" customHeight="1">
      <c r="A613" s="179"/>
      <c r="B613" s="179"/>
      <c r="C613" s="179"/>
      <c r="D613" s="179"/>
      <c r="E613" s="179"/>
      <c r="F613" s="179"/>
      <c r="G613" s="179"/>
      <c r="H613" s="179"/>
      <c r="I613" s="179"/>
      <c r="J613" s="179"/>
      <c r="K613" s="179"/>
      <c r="L613" s="179"/>
      <c r="M613" s="179"/>
      <c r="N613" s="179"/>
      <c r="O613" s="179"/>
      <c r="P613" s="179"/>
      <c r="Q613" s="179"/>
      <c r="R613" s="179"/>
      <c r="S613" s="179"/>
    </row>
    <row r="614" ht="14.25" customHeight="1">
      <c r="A614" s="179"/>
      <c r="B614" s="179"/>
      <c r="C614" s="179"/>
      <c r="D614" s="179"/>
      <c r="E614" s="179"/>
      <c r="F614" s="179"/>
      <c r="G614" s="179"/>
      <c r="H614" s="179"/>
      <c r="I614" s="179"/>
      <c r="J614" s="179"/>
      <c r="K614" s="179"/>
      <c r="L614" s="179"/>
      <c r="M614" s="179"/>
      <c r="N614" s="179"/>
      <c r="O614" s="179"/>
      <c r="P614" s="179"/>
      <c r="Q614" s="179"/>
      <c r="R614" s="179"/>
      <c r="S614" s="179"/>
    </row>
    <row r="615" ht="14.25" customHeight="1">
      <c r="A615" s="179"/>
      <c r="B615" s="179"/>
      <c r="C615" s="179"/>
      <c r="D615" s="179"/>
      <c r="E615" s="179"/>
      <c r="F615" s="179"/>
      <c r="G615" s="179"/>
      <c r="H615" s="179"/>
      <c r="I615" s="179"/>
      <c r="J615" s="179"/>
      <c r="K615" s="179"/>
      <c r="L615" s="179"/>
      <c r="M615" s="179"/>
      <c r="N615" s="179"/>
      <c r="O615" s="179"/>
      <c r="P615" s="179"/>
      <c r="Q615" s="179"/>
      <c r="R615" s="179"/>
      <c r="S615" s="179"/>
    </row>
    <row r="616" ht="14.25" customHeight="1">
      <c r="A616" s="179"/>
      <c r="B616" s="179"/>
      <c r="C616" s="179"/>
      <c r="D616" s="179"/>
      <c r="E616" s="179"/>
      <c r="F616" s="179"/>
      <c r="G616" s="179"/>
      <c r="H616" s="179"/>
      <c r="I616" s="179"/>
      <c r="J616" s="179"/>
      <c r="K616" s="179"/>
      <c r="L616" s="179"/>
      <c r="M616" s="179"/>
      <c r="N616" s="179"/>
      <c r="O616" s="179"/>
      <c r="P616" s="179"/>
      <c r="Q616" s="179"/>
      <c r="R616" s="179"/>
      <c r="S616" s="179"/>
    </row>
    <row r="617" ht="14.25" customHeight="1">
      <c r="A617" s="179"/>
      <c r="B617" s="179"/>
      <c r="C617" s="179"/>
      <c r="D617" s="179"/>
      <c r="E617" s="179"/>
      <c r="F617" s="179"/>
      <c r="G617" s="179"/>
      <c r="H617" s="179"/>
      <c r="I617" s="179"/>
      <c r="J617" s="179"/>
      <c r="K617" s="179"/>
      <c r="L617" s="179"/>
      <c r="M617" s="179"/>
      <c r="N617" s="179"/>
      <c r="O617" s="179"/>
      <c r="P617" s="179"/>
      <c r="Q617" s="179"/>
      <c r="R617" s="179"/>
      <c r="S617" s="179"/>
    </row>
    <row r="618" ht="14.25" customHeight="1">
      <c r="A618" s="179"/>
      <c r="B618" s="179"/>
      <c r="C618" s="179"/>
      <c r="D618" s="179"/>
      <c r="E618" s="179"/>
      <c r="F618" s="179"/>
      <c r="G618" s="179"/>
      <c r="H618" s="179"/>
      <c r="I618" s="179"/>
      <c r="J618" s="179"/>
      <c r="K618" s="179"/>
      <c r="L618" s="179"/>
      <c r="M618" s="179"/>
      <c r="N618" s="179"/>
      <c r="O618" s="179"/>
      <c r="P618" s="179"/>
      <c r="Q618" s="179"/>
      <c r="R618" s="179"/>
      <c r="S618" s="179"/>
    </row>
    <row r="619" ht="14.25" customHeight="1">
      <c r="A619" s="179"/>
      <c r="B619" s="179"/>
      <c r="C619" s="179"/>
      <c r="D619" s="179"/>
      <c r="E619" s="179"/>
      <c r="F619" s="179"/>
      <c r="G619" s="179"/>
      <c r="H619" s="179"/>
      <c r="I619" s="179"/>
      <c r="J619" s="179"/>
      <c r="K619" s="179"/>
      <c r="L619" s="179"/>
      <c r="M619" s="179"/>
      <c r="N619" s="179"/>
      <c r="O619" s="179"/>
      <c r="P619" s="179"/>
      <c r="Q619" s="179"/>
      <c r="R619" s="179"/>
      <c r="S619" s="179"/>
    </row>
    <row r="620" ht="14.25" customHeight="1">
      <c r="A620" s="179"/>
      <c r="B620" s="179"/>
      <c r="C620" s="179"/>
      <c r="D620" s="179"/>
      <c r="E620" s="179"/>
      <c r="F620" s="179"/>
      <c r="G620" s="179"/>
      <c r="H620" s="179"/>
      <c r="I620" s="179"/>
      <c r="J620" s="179"/>
      <c r="K620" s="179"/>
      <c r="L620" s="179"/>
      <c r="M620" s="179"/>
      <c r="N620" s="179"/>
      <c r="O620" s="179"/>
      <c r="P620" s="179"/>
      <c r="Q620" s="179"/>
      <c r="R620" s="179"/>
      <c r="S620" s="179"/>
    </row>
    <row r="621" ht="14.25" customHeight="1">
      <c r="A621" s="179"/>
      <c r="B621" s="179"/>
      <c r="C621" s="179"/>
      <c r="D621" s="179"/>
      <c r="E621" s="179"/>
      <c r="F621" s="179"/>
      <c r="G621" s="179"/>
      <c r="H621" s="179"/>
      <c r="I621" s="179"/>
      <c r="J621" s="179"/>
      <c r="K621" s="179"/>
      <c r="L621" s="179"/>
      <c r="M621" s="179"/>
      <c r="N621" s="179"/>
      <c r="O621" s="179"/>
      <c r="P621" s="179"/>
      <c r="Q621" s="179"/>
      <c r="R621" s="179"/>
      <c r="S621" s="179"/>
    </row>
    <row r="622" ht="14.25" customHeight="1">
      <c r="A622" s="179"/>
      <c r="B622" s="179"/>
      <c r="C622" s="179"/>
      <c r="D622" s="179"/>
      <c r="E622" s="179"/>
      <c r="F622" s="179"/>
      <c r="G622" s="179"/>
      <c r="H622" s="179"/>
      <c r="I622" s="179"/>
      <c r="J622" s="179"/>
      <c r="K622" s="179"/>
      <c r="L622" s="179"/>
      <c r="M622" s="179"/>
      <c r="N622" s="179"/>
      <c r="O622" s="179"/>
      <c r="P622" s="179"/>
      <c r="Q622" s="179"/>
      <c r="R622" s="179"/>
      <c r="S622" s="179"/>
    </row>
    <row r="623" ht="14.25" customHeight="1">
      <c r="A623" s="179"/>
      <c r="B623" s="179"/>
      <c r="C623" s="179"/>
      <c r="D623" s="179"/>
      <c r="E623" s="179"/>
      <c r="F623" s="179"/>
      <c r="G623" s="179"/>
      <c r="H623" s="179"/>
      <c r="I623" s="179"/>
      <c r="J623" s="179"/>
      <c r="K623" s="179"/>
      <c r="L623" s="179"/>
      <c r="M623" s="179"/>
      <c r="N623" s="179"/>
      <c r="O623" s="179"/>
      <c r="P623" s="179"/>
      <c r="Q623" s="179"/>
      <c r="R623" s="179"/>
      <c r="S623" s="179"/>
    </row>
    <row r="624" ht="14.25" customHeight="1">
      <c r="A624" s="179"/>
      <c r="B624" s="179"/>
      <c r="C624" s="179"/>
      <c r="D624" s="179"/>
      <c r="E624" s="179"/>
      <c r="F624" s="179"/>
      <c r="G624" s="179"/>
      <c r="H624" s="179"/>
      <c r="I624" s="179"/>
      <c r="J624" s="179"/>
      <c r="K624" s="179"/>
      <c r="L624" s="179"/>
      <c r="M624" s="179"/>
      <c r="N624" s="179"/>
      <c r="O624" s="179"/>
      <c r="P624" s="179"/>
      <c r="Q624" s="179"/>
      <c r="R624" s="179"/>
      <c r="S624" s="179"/>
    </row>
    <row r="625" ht="14.25" customHeight="1">
      <c r="A625" s="179"/>
      <c r="B625" s="179"/>
      <c r="C625" s="179"/>
      <c r="D625" s="179"/>
      <c r="E625" s="179"/>
      <c r="F625" s="179"/>
      <c r="G625" s="179"/>
      <c r="H625" s="179"/>
      <c r="I625" s="179"/>
      <c r="J625" s="179"/>
      <c r="K625" s="179"/>
      <c r="L625" s="179"/>
      <c r="M625" s="179"/>
      <c r="N625" s="179"/>
      <c r="O625" s="179"/>
      <c r="P625" s="179"/>
      <c r="Q625" s="179"/>
      <c r="R625" s="179"/>
      <c r="S625" s="179"/>
    </row>
    <row r="626" ht="14.25" customHeight="1">
      <c r="A626" s="179"/>
      <c r="B626" s="179"/>
      <c r="C626" s="179"/>
      <c r="D626" s="179"/>
      <c r="E626" s="179"/>
      <c r="F626" s="179"/>
      <c r="G626" s="179"/>
      <c r="H626" s="179"/>
      <c r="I626" s="179"/>
      <c r="J626" s="179"/>
      <c r="K626" s="179"/>
      <c r="L626" s="179"/>
      <c r="M626" s="179"/>
      <c r="N626" s="179"/>
      <c r="O626" s="179"/>
      <c r="P626" s="179"/>
      <c r="Q626" s="179"/>
      <c r="R626" s="179"/>
      <c r="S626" s="179"/>
    </row>
    <row r="627" ht="14.25" customHeight="1">
      <c r="A627" s="179"/>
      <c r="B627" s="179"/>
      <c r="C627" s="179"/>
      <c r="D627" s="179"/>
      <c r="E627" s="179"/>
      <c r="F627" s="179"/>
      <c r="G627" s="179"/>
      <c r="H627" s="179"/>
      <c r="I627" s="179"/>
      <c r="J627" s="179"/>
      <c r="K627" s="179"/>
      <c r="L627" s="179"/>
      <c r="M627" s="179"/>
      <c r="N627" s="179"/>
      <c r="O627" s="179"/>
      <c r="P627" s="179"/>
      <c r="Q627" s="179"/>
      <c r="R627" s="179"/>
      <c r="S627" s="179"/>
    </row>
    <row r="628" ht="14.25" customHeight="1">
      <c r="A628" s="179"/>
      <c r="B628" s="179"/>
      <c r="C628" s="179"/>
      <c r="D628" s="179"/>
      <c r="E628" s="179"/>
      <c r="F628" s="179"/>
      <c r="G628" s="179"/>
      <c r="H628" s="179"/>
      <c r="I628" s="179"/>
      <c r="J628" s="179"/>
      <c r="K628" s="179"/>
      <c r="L628" s="179"/>
      <c r="M628" s="179"/>
      <c r="N628" s="179"/>
      <c r="O628" s="179"/>
      <c r="P628" s="179"/>
      <c r="Q628" s="179"/>
      <c r="R628" s="179"/>
      <c r="S628" s="179"/>
    </row>
    <row r="629" ht="14.25" customHeight="1">
      <c r="A629" s="179"/>
      <c r="B629" s="179"/>
      <c r="C629" s="179"/>
      <c r="D629" s="179"/>
      <c r="E629" s="179"/>
      <c r="F629" s="179"/>
      <c r="G629" s="179"/>
      <c r="H629" s="179"/>
      <c r="I629" s="179"/>
      <c r="J629" s="179"/>
      <c r="K629" s="179"/>
      <c r="L629" s="179"/>
      <c r="M629" s="179"/>
      <c r="N629" s="179"/>
      <c r="O629" s="179"/>
      <c r="P629" s="179"/>
      <c r="Q629" s="179"/>
      <c r="R629" s="179"/>
      <c r="S629" s="179"/>
    </row>
    <row r="630" ht="14.25" customHeight="1">
      <c r="A630" s="179"/>
      <c r="B630" s="179"/>
      <c r="C630" s="179"/>
      <c r="D630" s="179"/>
      <c r="E630" s="179"/>
      <c r="F630" s="179"/>
      <c r="G630" s="179"/>
      <c r="H630" s="179"/>
      <c r="I630" s="179"/>
      <c r="J630" s="179"/>
      <c r="K630" s="179"/>
      <c r="L630" s="179"/>
      <c r="M630" s="179"/>
      <c r="N630" s="179"/>
      <c r="O630" s="179"/>
      <c r="P630" s="179"/>
      <c r="Q630" s="179"/>
      <c r="R630" s="179"/>
      <c r="S630" s="179"/>
    </row>
    <row r="631" ht="14.25" customHeight="1">
      <c r="A631" s="179"/>
      <c r="B631" s="179"/>
      <c r="C631" s="179"/>
      <c r="D631" s="179"/>
      <c r="E631" s="179"/>
      <c r="F631" s="179"/>
      <c r="G631" s="179"/>
      <c r="H631" s="179"/>
      <c r="I631" s="179"/>
      <c r="J631" s="179"/>
      <c r="K631" s="179"/>
      <c r="L631" s="179"/>
      <c r="M631" s="179"/>
      <c r="N631" s="179"/>
      <c r="O631" s="179"/>
      <c r="P631" s="179"/>
      <c r="Q631" s="179"/>
      <c r="R631" s="179"/>
      <c r="S631" s="179"/>
    </row>
    <row r="632" ht="14.25" customHeight="1">
      <c r="A632" s="179"/>
      <c r="B632" s="179"/>
      <c r="C632" s="179"/>
      <c r="D632" s="179"/>
      <c r="E632" s="179"/>
      <c r="F632" s="179"/>
      <c r="G632" s="179"/>
      <c r="H632" s="179"/>
      <c r="I632" s="179"/>
      <c r="J632" s="179"/>
      <c r="K632" s="179"/>
      <c r="L632" s="179"/>
      <c r="M632" s="179"/>
      <c r="N632" s="179"/>
      <c r="O632" s="179"/>
      <c r="P632" s="179"/>
      <c r="Q632" s="179"/>
      <c r="R632" s="179"/>
      <c r="S632" s="179"/>
    </row>
    <row r="633" ht="14.25" customHeight="1">
      <c r="A633" s="179"/>
      <c r="B633" s="179"/>
      <c r="C633" s="179"/>
      <c r="D633" s="179"/>
      <c r="E633" s="179"/>
      <c r="F633" s="179"/>
      <c r="G633" s="179"/>
      <c r="H633" s="179"/>
      <c r="I633" s="179"/>
      <c r="J633" s="179"/>
      <c r="K633" s="179"/>
      <c r="L633" s="179"/>
      <c r="M633" s="179"/>
      <c r="N633" s="179"/>
      <c r="O633" s="179"/>
      <c r="P633" s="179"/>
      <c r="Q633" s="179"/>
      <c r="R633" s="179"/>
      <c r="S633" s="179"/>
    </row>
    <row r="634" ht="14.25" customHeight="1">
      <c r="A634" s="179"/>
      <c r="B634" s="179"/>
      <c r="C634" s="179"/>
      <c r="D634" s="179"/>
      <c r="E634" s="179"/>
      <c r="F634" s="179"/>
      <c r="G634" s="179"/>
      <c r="H634" s="179"/>
      <c r="I634" s="179"/>
      <c r="J634" s="179"/>
      <c r="K634" s="179"/>
      <c r="L634" s="179"/>
      <c r="M634" s="179"/>
      <c r="N634" s="179"/>
      <c r="O634" s="179"/>
      <c r="P634" s="179"/>
      <c r="Q634" s="179"/>
      <c r="R634" s="179"/>
      <c r="S634" s="179"/>
    </row>
    <row r="635" ht="14.25" customHeight="1">
      <c r="A635" s="179"/>
      <c r="B635" s="179"/>
      <c r="C635" s="179"/>
      <c r="D635" s="179"/>
      <c r="E635" s="179"/>
      <c r="F635" s="179"/>
      <c r="G635" s="179"/>
      <c r="H635" s="179"/>
      <c r="I635" s="179"/>
      <c r="J635" s="179"/>
      <c r="K635" s="179"/>
      <c r="L635" s="179"/>
      <c r="M635" s="179"/>
      <c r="N635" s="179"/>
      <c r="O635" s="179"/>
      <c r="P635" s="179"/>
      <c r="Q635" s="179"/>
      <c r="R635" s="179"/>
      <c r="S635" s="179"/>
    </row>
    <row r="636" ht="14.25" customHeight="1">
      <c r="A636" s="179"/>
      <c r="B636" s="179"/>
      <c r="C636" s="179"/>
      <c r="D636" s="179"/>
      <c r="E636" s="179"/>
      <c r="F636" s="179"/>
      <c r="G636" s="179"/>
      <c r="H636" s="179"/>
      <c r="I636" s="179"/>
      <c r="J636" s="179"/>
      <c r="K636" s="179"/>
      <c r="L636" s="179"/>
      <c r="M636" s="179"/>
      <c r="N636" s="179"/>
      <c r="O636" s="179"/>
      <c r="P636" s="179"/>
      <c r="Q636" s="179"/>
      <c r="R636" s="179"/>
      <c r="S636" s="179"/>
    </row>
    <row r="637" ht="14.25" customHeight="1">
      <c r="A637" s="179"/>
      <c r="B637" s="179"/>
      <c r="C637" s="179"/>
      <c r="D637" s="179"/>
      <c r="E637" s="179"/>
      <c r="F637" s="179"/>
      <c r="G637" s="179"/>
      <c r="H637" s="179"/>
      <c r="I637" s="179"/>
      <c r="J637" s="179"/>
      <c r="K637" s="179"/>
      <c r="L637" s="179"/>
      <c r="M637" s="179"/>
      <c r="N637" s="179"/>
      <c r="O637" s="179"/>
      <c r="P637" s="179"/>
      <c r="Q637" s="179"/>
      <c r="R637" s="179"/>
      <c r="S637" s="179"/>
    </row>
    <row r="638" ht="14.25" customHeight="1">
      <c r="A638" s="179"/>
      <c r="B638" s="179"/>
      <c r="C638" s="179"/>
      <c r="D638" s="179"/>
      <c r="E638" s="179"/>
      <c r="F638" s="179"/>
      <c r="G638" s="179"/>
      <c r="H638" s="179"/>
      <c r="I638" s="179"/>
      <c r="J638" s="179"/>
      <c r="K638" s="179"/>
      <c r="L638" s="179"/>
      <c r="M638" s="179"/>
      <c r="N638" s="179"/>
      <c r="O638" s="179"/>
      <c r="P638" s="179"/>
      <c r="Q638" s="179"/>
      <c r="R638" s="179"/>
      <c r="S638" s="179"/>
    </row>
    <row r="639" ht="14.25" customHeight="1">
      <c r="A639" s="179"/>
      <c r="B639" s="179"/>
      <c r="C639" s="179"/>
      <c r="D639" s="179"/>
      <c r="E639" s="179"/>
      <c r="F639" s="179"/>
      <c r="G639" s="179"/>
      <c r="H639" s="179"/>
      <c r="I639" s="179"/>
      <c r="J639" s="179"/>
      <c r="K639" s="179"/>
      <c r="L639" s="179"/>
      <c r="M639" s="179"/>
      <c r="N639" s="179"/>
      <c r="O639" s="179"/>
      <c r="P639" s="179"/>
      <c r="Q639" s="179"/>
      <c r="R639" s="179"/>
      <c r="S639" s="179"/>
    </row>
    <row r="640" ht="14.25" customHeight="1">
      <c r="A640" s="179"/>
      <c r="B640" s="179"/>
      <c r="C640" s="179"/>
      <c r="D640" s="179"/>
      <c r="E640" s="179"/>
      <c r="F640" s="179"/>
      <c r="G640" s="179"/>
      <c r="H640" s="179"/>
      <c r="I640" s="179"/>
      <c r="J640" s="179"/>
      <c r="K640" s="179"/>
      <c r="L640" s="179"/>
      <c r="M640" s="179"/>
      <c r="N640" s="179"/>
      <c r="O640" s="179"/>
      <c r="P640" s="179"/>
      <c r="Q640" s="179"/>
      <c r="R640" s="179"/>
      <c r="S640" s="179"/>
    </row>
    <row r="641" ht="14.25" customHeight="1">
      <c r="A641" s="179"/>
      <c r="B641" s="179"/>
      <c r="C641" s="179"/>
      <c r="D641" s="179"/>
      <c r="E641" s="179"/>
      <c r="F641" s="179"/>
      <c r="G641" s="179"/>
      <c r="H641" s="179"/>
      <c r="I641" s="179"/>
      <c r="J641" s="179"/>
      <c r="K641" s="179"/>
      <c r="L641" s="179"/>
      <c r="M641" s="179"/>
      <c r="N641" s="179"/>
      <c r="O641" s="179"/>
      <c r="P641" s="179"/>
      <c r="Q641" s="179"/>
      <c r="R641" s="179"/>
      <c r="S641" s="179"/>
    </row>
    <row r="642" ht="14.25" customHeight="1">
      <c r="A642" s="179"/>
      <c r="B642" s="179"/>
      <c r="C642" s="179"/>
      <c r="D642" s="179"/>
      <c r="E642" s="179"/>
      <c r="F642" s="179"/>
      <c r="G642" s="179"/>
      <c r="H642" s="179"/>
      <c r="I642" s="179"/>
      <c r="J642" s="179"/>
      <c r="K642" s="179"/>
      <c r="L642" s="179"/>
      <c r="M642" s="179"/>
      <c r="N642" s="179"/>
      <c r="O642" s="179"/>
      <c r="P642" s="179"/>
      <c r="Q642" s="179"/>
      <c r="R642" s="179"/>
      <c r="S642" s="179"/>
    </row>
    <row r="643" ht="14.25" customHeight="1">
      <c r="A643" s="179"/>
      <c r="B643" s="179"/>
      <c r="C643" s="179"/>
      <c r="D643" s="179"/>
      <c r="E643" s="179"/>
      <c r="F643" s="179"/>
      <c r="G643" s="179"/>
      <c r="H643" s="179"/>
      <c r="I643" s="179"/>
      <c r="J643" s="179"/>
      <c r="K643" s="179"/>
      <c r="L643" s="179"/>
      <c r="M643" s="179"/>
      <c r="N643" s="179"/>
      <c r="O643" s="179"/>
      <c r="P643" s="179"/>
      <c r="Q643" s="179"/>
      <c r="R643" s="179"/>
      <c r="S643" s="179"/>
    </row>
    <row r="644" ht="14.25" customHeight="1">
      <c r="A644" s="179"/>
      <c r="B644" s="179"/>
      <c r="C644" s="179"/>
      <c r="D644" s="179"/>
      <c r="E644" s="179"/>
      <c r="F644" s="179"/>
      <c r="G644" s="179"/>
      <c r="H644" s="179"/>
      <c r="I644" s="179"/>
      <c r="J644" s="179"/>
      <c r="K644" s="179"/>
      <c r="L644" s="179"/>
      <c r="M644" s="179"/>
      <c r="N644" s="179"/>
      <c r="O644" s="179"/>
      <c r="P644" s="179"/>
      <c r="Q644" s="179"/>
      <c r="R644" s="179"/>
      <c r="S644" s="179"/>
    </row>
    <row r="645" ht="14.25" customHeight="1">
      <c r="A645" s="179"/>
      <c r="B645" s="179"/>
      <c r="C645" s="179"/>
      <c r="D645" s="179"/>
      <c r="E645" s="179"/>
      <c r="F645" s="179"/>
      <c r="G645" s="179"/>
      <c r="H645" s="179"/>
      <c r="I645" s="179"/>
      <c r="J645" s="179"/>
      <c r="K645" s="179"/>
      <c r="L645" s="179"/>
      <c r="M645" s="179"/>
      <c r="N645" s="179"/>
      <c r="O645" s="179"/>
      <c r="P645" s="179"/>
      <c r="Q645" s="179"/>
      <c r="R645" s="179"/>
      <c r="S645" s="179"/>
    </row>
    <row r="646" ht="14.25" customHeight="1">
      <c r="A646" s="179"/>
      <c r="B646" s="179"/>
      <c r="C646" s="179"/>
      <c r="D646" s="179"/>
      <c r="E646" s="179"/>
      <c r="F646" s="179"/>
      <c r="G646" s="179"/>
      <c r="H646" s="179"/>
      <c r="I646" s="179"/>
      <c r="J646" s="179"/>
      <c r="K646" s="179"/>
      <c r="L646" s="179"/>
      <c r="M646" s="179"/>
      <c r="N646" s="179"/>
      <c r="O646" s="179"/>
      <c r="P646" s="179"/>
      <c r="Q646" s="179"/>
      <c r="R646" s="179"/>
      <c r="S646" s="179"/>
    </row>
    <row r="647" ht="14.25" customHeight="1">
      <c r="A647" s="179"/>
      <c r="B647" s="179"/>
      <c r="C647" s="179"/>
      <c r="D647" s="179"/>
      <c r="E647" s="179"/>
      <c r="F647" s="179"/>
      <c r="G647" s="179"/>
      <c r="H647" s="179"/>
      <c r="I647" s="179"/>
      <c r="J647" s="179"/>
      <c r="K647" s="179"/>
      <c r="L647" s="179"/>
      <c r="M647" s="179"/>
      <c r="N647" s="179"/>
      <c r="O647" s="179"/>
      <c r="P647" s="179"/>
      <c r="Q647" s="179"/>
      <c r="R647" s="179"/>
      <c r="S647" s="179"/>
    </row>
    <row r="648" ht="14.25" customHeight="1">
      <c r="A648" s="179"/>
      <c r="B648" s="179"/>
      <c r="C648" s="179"/>
      <c r="D648" s="179"/>
      <c r="E648" s="179"/>
      <c r="F648" s="179"/>
      <c r="G648" s="179"/>
      <c r="H648" s="179"/>
      <c r="I648" s="179"/>
      <c r="J648" s="179"/>
      <c r="K648" s="179"/>
      <c r="L648" s="179"/>
      <c r="M648" s="179"/>
      <c r="N648" s="179"/>
      <c r="O648" s="179"/>
      <c r="P648" s="179"/>
      <c r="Q648" s="179"/>
      <c r="R648" s="179"/>
      <c r="S648" s="179"/>
    </row>
    <row r="649" ht="14.25" customHeight="1">
      <c r="A649" s="179"/>
      <c r="B649" s="179"/>
      <c r="C649" s="179"/>
      <c r="D649" s="179"/>
      <c r="E649" s="179"/>
      <c r="F649" s="179"/>
      <c r="G649" s="179"/>
      <c r="H649" s="179"/>
      <c r="I649" s="179"/>
      <c r="J649" s="179"/>
      <c r="K649" s="179"/>
      <c r="L649" s="179"/>
      <c r="M649" s="179"/>
      <c r="N649" s="179"/>
      <c r="O649" s="179"/>
      <c r="P649" s="179"/>
      <c r="Q649" s="179"/>
      <c r="R649" s="179"/>
      <c r="S649" s="179"/>
    </row>
    <row r="650" ht="14.25" customHeight="1">
      <c r="A650" s="179"/>
      <c r="B650" s="179"/>
      <c r="C650" s="179"/>
      <c r="D650" s="179"/>
      <c r="E650" s="179"/>
      <c r="F650" s="179"/>
      <c r="G650" s="179"/>
      <c r="H650" s="179"/>
      <c r="I650" s="179"/>
      <c r="J650" s="179"/>
      <c r="K650" s="179"/>
      <c r="L650" s="179"/>
      <c r="M650" s="179"/>
      <c r="N650" s="179"/>
      <c r="O650" s="179"/>
      <c r="P650" s="179"/>
      <c r="Q650" s="179"/>
      <c r="R650" s="179"/>
      <c r="S650" s="179"/>
    </row>
    <row r="651" ht="14.25" customHeight="1">
      <c r="A651" s="179"/>
      <c r="B651" s="179"/>
      <c r="C651" s="179"/>
      <c r="D651" s="179"/>
      <c r="E651" s="179"/>
      <c r="F651" s="179"/>
      <c r="G651" s="179"/>
      <c r="H651" s="179"/>
      <c r="I651" s="179"/>
      <c r="J651" s="179"/>
      <c r="K651" s="179"/>
      <c r="L651" s="179"/>
      <c r="M651" s="179"/>
      <c r="N651" s="179"/>
      <c r="O651" s="179"/>
      <c r="P651" s="179"/>
      <c r="Q651" s="179"/>
      <c r="R651" s="179"/>
      <c r="S651" s="179"/>
    </row>
    <row r="652" ht="14.25" customHeight="1">
      <c r="A652" s="179"/>
      <c r="B652" s="179"/>
      <c r="C652" s="179"/>
      <c r="D652" s="179"/>
      <c r="E652" s="179"/>
      <c r="F652" s="179"/>
      <c r="G652" s="179"/>
      <c r="H652" s="179"/>
      <c r="I652" s="179"/>
      <c r="J652" s="179"/>
      <c r="K652" s="179"/>
      <c r="L652" s="179"/>
      <c r="M652" s="179"/>
      <c r="N652" s="179"/>
      <c r="O652" s="179"/>
      <c r="P652" s="179"/>
      <c r="Q652" s="179"/>
      <c r="R652" s="179"/>
      <c r="S652" s="179"/>
    </row>
    <row r="653" ht="14.25" customHeight="1">
      <c r="A653" s="179"/>
      <c r="B653" s="179"/>
      <c r="C653" s="179"/>
      <c r="D653" s="179"/>
      <c r="E653" s="179"/>
      <c r="F653" s="179"/>
      <c r="G653" s="179"/>
      <c r="H653" s="179"/>
      <c r="I653" s="179"/>
      <c r="J653" s="179"/>
      <c r="K653" s="179"/>
      <c r="L653" s="179"/>
      <c r="M653" s="179"/>
      <c r="N653" s="179"/>
      <c r="O653" s="179"/>
      <c r="P653" s="179"/>
      <c r="Q653" s="179"/>
      <c r="R653" s="179"/>
      <c r="S653" s="179"/>
    </row>
    <row r="654" ht="14.25" customHeight="1">
      <c r="A654" s="179"/>
      <c r="B654" s="179"/>
      <c r="C654" s="179"/>
      <c r="D654" s="179"/>
      <c r="E654" s="179"/>
      <c r="F654" s="179"/>
      <c r="G654" s="179"/>
      <c r="H654" s="179"/>
      <c r="I654" s="179"/>
      <c r="J654" s="179"/>
      <c r="K654" s="179"/>
      <c r="L654" s="179"/>
      <c r="M654" s="179"/>
      <c r="N654" s="179"/>
      <c r="O654" s="179"/>
      <c r="P654" s="179"/>
      <c r="Q654" s="179"/>
      <c r="R654" s="179"/>
      <c r="S654" s="179"/>
    </row>
    <row r="655" ht="14.25" customHeight="1">
      <c r="A655" s="179"/>
      <c r="B655" s="179"/>
      <c r="C655" s="179"/>
      <c r="D655" s="179"/>
      <c r="E655" s="179"/>
      <c r="F655" s="179"/>
      <c r="G655" s="179"/>
      <c r="H655" s="179"/>
      <c r="I655" s="179"/>
      <c r="J655" s="179"/>
      <c r="K655" s="179"/>
      <c r="L655" s="179"/>
      <c r="M655" s="179"/>
      <c r="N655" s="179"/>
      <c r="O655" s="179"/>
      <c r="P655" s="179"/>
      <c r="Q655" s="179"/>
      <c r="R655" s="179"/>
      <c r="S655" s="179"/>
    </row>
    <row r="656" ht="14.25" customHeight="1">
      <c r="A656" s="179"/>
      <c r="B656" s="179"/>
      <c r="C656" s="179"/>
      <c r="D656" s="179"/>
      <c r="E656" s="179"/>
      <c r="F656" s="179"/>
      <c r="G656" s="179"/>
      <c r="H656" s="179"/>
      <c r="I656" s="179"/>
      <c r="J656" s="179"/>
      <c r="K656" s="179"/>
      <c r="L656" s="179"/>
      <c r="M656" s="179"/>
      <c r="N656" s="179"/>
      <c r="O656" s="179"/>
      <c r="P656" s="179"/>
      <c r="Q656" s="179"/>
      <c r="R656" s="179"/>
      <c r="S656" s="179"/>
    </row>
    <row r="657" ht="14.25" customHeight="1">
      <c r="A657" s="179"/>
      <c r="B657" s="179"/>
      <c r="C657" s="179"/>
      <c r="D657" s="179"/>
      <c r="E657" s="179"/>
      <c r="F657" s="179"/>
      <c r="G657" s="179"/>
      <c r="H657" s="179"/>
      <c r="I657" s="179"/>
      <c r="J657" s="179"/>
      <c r="K657" s="179"/>
      <c r="L657" s="179"/>
      <c r="M657" s="179"/>
      <c r="N657" s="179"/>
      <c r="O657" s="179"/>
      <c r="P657" s="179"/>
      <c r="Q657" s="179"/>
      <c r="R657" s="179"/>
      <c r="S657" s="179"/>
    </row>
    <row r="658" ht="14.25" customHeight="1">
      <c r="A658" s="179"/>
      <c r="B658" s="179"/>
      <c r="C658" s="179"/>
      <c r="D658" s="179"/>
      <c r="E658" s="179"/>
      <c r="F658" s="179"/>
      <c r="G658" s="179"/>
      <c r="H658" s="179"/>
      <c r="I658" s="179"/>
      <c r="J658" s="179"/>
      <c r="K658" s="179"/>
      <c r="L658" s="179"/>
      <c r="M658" s="179"/>
      <c r="N658" s="179"/>
      <c r="O658" s="179"/>
      <c r="P658" s="179"/>
      <c r="Q658" s="179"/>
      <c r="R658" s="179"/>
      <c r="S658" s="179"/>
    </row>
    <row r="659" ht="14.25" customHeight="1">
      <c r="A659" s="179"/>
      <c r="B659" s="179"/>
      <c r="C659" s="179"/>
      <c r="D659" s="179"/>
      <c r="E659" s="179"/>
      <c r="F659" s="179"/>
      <c r="G659" s="179"/>
      <c r="H659" s="179"/>
      <c r="I659" s="179"/>
      <c r="J659" s="179"/>
      <c r="K659" s="179"/>
      <c r="L659" s="179"/>
      <c r="M659" s="179"/>
      <c r="N659" s="179"/>
      <c r="O659" s="179"/>
      <c r="P659" s="179"/>
      <c r="Q659" s="179"/>
      <c r="R659" s="179"/>
      <c r="S659" s="179"/>
    </row>
    <row r="660" ht="14.25" customHeight="1">
      <c r="A660" s="179"/>
      <c r="B660" s="179"/>
      <c r="C660" s="179"/>
      <c r="D660" s="179"/>
      <c r="E660" s="179"/>
      <c r="F660" s="179"/>
      <c r="G660" s="179"/>
      <c r="H660" s="179"/>
      <c r="I660" s="179"/>
      <c r="J660" s="179"/>
      <c r="K660" s="179"/>
      <c r="L660" s="179"/>
      <c r="M660" s="179"/>
      <c r="N660" s="179"/>
      <c r="O660" s="179"/>
      <c r="P660" s="179"/>
      <c r="Q660" s="179"/>
      <c r="R660" s="179"/>
      <c r="S660" s="179"/>
    </row>
    <row r="661" ht="14.25" customHeight="1">
      <c r="A661" s="179"/>
      <c r="B661" s="179"/>
      <c r="C661" s="179"/>
      <c r="D661" s="179"/>
      <c r="E661" s="179"/>
      <c r="F661" s="179"/>
      <c r="G661" s="179"/>
      <c r="H661" s="179"/>
      <c r="I661" s="179"/>
      <c r="J661" s="179"/>
      <c r="K661" s="179"/>
      <c r="L661" s="179"/>
      <c r="M661" s="179"/>
      <c r="N661" s="179"/>
      <c r="O661" s="179"/>
      <c r="P661" s="179"/>
      <c r="Q661" s="179"/>
      <c r="R661" s="179"/>
      <c r="S661" s="179"/>
    </row>
    <row r="662" ht="14.25" customHeight="1">
      <c r="A662" s="179"/>
      <c r="B662" s="179"/>
      <c r="C662" s="179"/>
      <c r="D662" s="179"/>
      <c r="E662" s="179"/>
      <c r="F662" s="179"/>
      <c r="G662" s="179"/>
      <c r="H662" s="179"/>
      <c r="I662" s="179"/>
      <c r="J662" s="179"/>
      <c r="K662" s="179"/>
      <c r="L662" s="179"/>
      <c r="M662" s="179"/>
      <c r="N662" s="179"/>
      <c r="O662" s="179"/>
      <c r="P662" s="179"/>
      <c r="Q662" s="179"/>
      <c r="R662" s="179"/>
      <c r="S662" s="179"/>
    </row>
    <row r="663" ht="14.25" customHeight="1">
      <c r="A663" s="179"/>
      <c r="B663" s="179"/>
      <c r="C663" s="179"/>
      <c r="D663" s="179"/>
      <c r="E663" s="179"/>
      <c r="F663" s="179"/>
      <c r="G663" s="179"/>
      <c r="H663" s="179"/>
      <c r="I663" s="179"/>
      <c r="J663" s="179"/>
      <c r="K663" s="179"/>
      <c r="L663" s="179"/>
      <c r="M663" s="179"/>
      <c r="N663" s="179"/>
      <c r="O663" s="179"/>
      <c r="P663" s="179"/>
      <c r="Q663" s="179"/>
      <c r="R663" s="179"/>
      <c r="S663" s="179"/>
    </row>
    <row r="664" ht="14.25" customHeight="1">
      <c r="A664" s="179"/>
      <c r="B664" s="179"/>
      <c r="C664" s="179"/>
      <c r="D664" s="179"/>
      <c r="E664" s="179"/>
      <c r="F664" s="179"/>
      <c r="G664" s="179"/>
      <c r="H664" s="179"/>
      <c r="I664" s="179"/>
      <c r="J664" s="179"/>
      <c r="K664" s="179"/>
      <c r="L664" s="179"/>
      <c r="M664" s="179"/>
      <c r="N664" s="179"/>
      <c r="O664" s="179"/>
      <c r="P664" s="179"/>
      <c r="Q664" s="179"/>
      <c r="R664" s="179"/>
      <c r="S664" s="179"/>
    </row>
    <row r="665" ht="14.25" customHeight="1">
      <c r="A665" s="179"/>
      <c r="B665" s="179"/>
      <c r="C665" s="179"/>
      <c r="D665" s="179"/>
      <c r="E665" s="179"/>
      <c r="F665" s="179"/>
      <c r="G665" s="179"/>
      <c r="H665" s="179"/>
      <c r="I665" s="179"/>
      <c r="J665" s="179"/>
      <c r="K665" s="179"/>
      <c r="L665" s="179"/>
      <c r="M665" s="179"/>
      <c r="N665" s="179"/>
      <c r="O665" s="179"/>
      <c r="P665" s="179"/>
      <c r="Q665" s="179"/>
      <c r="R665" s="179"/>
      <c r="S665" s="179"/>
    </row>
    <row r="666" ht="14.25" customHeight="1">
      <c r="A666" s="179"/>
      <c r="B666" s="179"/>
      <c r="C666" s="179"/>
      <c r="D666" s="179"/>
      <c r="E666" s="179"/>
      <c r="F666" s="179"/>
      <c r="G666" s="179"/>
      <c r="H666" s="179"/>
      <c r="I666" s="179"/>
      <c r="J666" s="179"/>
      <c r="K666" s="179"/>
      <c r="L666" s="179"/>
      <c r="M666" s="179"/>
      <c r="N666" s="179"/>
      <c r="O666" s="179"/>
      <c r="P666" s="179"/>
      <c r="Q666" s="179"/>
      <c r="R666" s="179"/>
      <c r="S666" s="179"/>
    </row>
    <row r="667" ht="14.25" customHeight="1">
      <c r="A667" s="179"/>
      <c r="B667" s="179"/>
      <c r="C667" s="179"/>
      <c r="D667" s="179"/>
      <c r="E667" s="179"/>
      <c r="F667" s="179"/>
      <c r="G667" s="179"/>
      <c r="H667" s="179"/>
      <c r="I667" s="179"/>
      <c r="J667" s="179"/>
      <c r="K667" s="179"/>
      <c r="L667" s="179"/>
      <c r="M667" s="179"/>
      <c r="N667" s="179"/>
      <c r="O667" s="179"/>
      <c r="P667" s="179"/>
      <c r="Q667" s="179"/>
      <c r="R667" s="179"/>
      <c r="S667" s="179"/>
    </row>
    <row r="668" ht="14.25" customHeight="1">
      <c r="A668" s="179"/>
      <c r="B668" s="179"/>
      <c r="C668" s="179"/>
      <c r="D668" s="179"/>
      <c r="E668" s="179"/>
      <c r="F668" s="179"/>
      <c r="G668" s="179"/>
      <c r="H668" s="179"/>
      <c r="I668" s="179"/>
      <c r="J668" s="179"/>
      <c r="K668" s="179"/>
      <c r="L668" s="179"/>
      <c r="M668" s="179"/>
      <c r="N668" s="179"/>
      <c r="O668" s="179"/>
      <c r="P668" s="179"/>
      <c r="Q668" s="179"/>
      <c r="R668" s="179"/>
      <c r="S668" s="179"/>
    </row>
    <row r="669" ht="14.25" customHeight="1">
      <c r="A669" s="179"/>
      <c r="B669" s="179"/>
      <c r="C669" s="179"/>
      <c r="D669" s="179"/>
      <c r="E669" s="179"/>
      <c r="F669" s="179"/>
      <c r="G669" s="179"/>
      <c r="H669" s="179"/>
      <c r="I669" s="179"/>
      <c r="J669" s="179"/>
      <c r="K669" s="179"/>
      <c r="L669" s="179"/>
      <c r="M669" s="179"/>
      <c r="N669" s="179"/>
      <c r="O669" s="179"/>
      <c r="P669" s="179"/>
      <c r="Q669" s="179"/>
      <c r="R669" s="179"/>
      <c r="S669" s="179"/>
    </row>
    <row r="670" ht="14.25" customHeight="1">
      <c r="A670" s="179"/>
      <c r="B670" s="179"/>
      <c r="C670" s="179"/>
      <c r="D670" s="179"/>
      <c r="E670" s="179"/>
      <c r="F670" s="179"/>
      <c r="G670" s="179"/>
      <c r="H670" s="179"/>
      <c r="I670" s="179"/>
      <c r="J670" s="179"/>
      <c r="K670" s="179"/>
      <c r="L670" s="179"/>
      <c r="M670" s="179"/>
      <c r="N670" s="179"/>
      <c r="O670" s="179"/>
      <c r="P670" s="179"/>
      <c r="Q670" s="179"/>
      <c r="R670" s="179"/>
      <c r="S670" s="179"/>
    </row>
    <row r="671" ht="14.25" customHeight="1">
      <c r="A671" s="179"/>
      <c r="B671" s="179"/>
      <c r="C671" s="179"/>
      <c r="D671" s="179"/>
      <c r="E671" s="179"/>
      <c r="F671" s="179"/>
      <c r="G671" s="179"/>
      <c r="H671" s="179"/>
      <c r="I671" s="179"/>
      <c r="J671" s="179"/>
      <c r="K671" s="179"/>
      <c r="L671" s="179"/>
      <c r="M671" s="179"/>
      <c r="N671" s="179"/>
      <c r="O671" s="179"/>
      <c r="P671" s="179"/>
      <c r="Q671" s="179"/>
      <c r="R671" s="179"/>
      <c r="S671" s="179"/>
    </row>
    <row r="672" ht="14.25" customHeight="1">
      <c r="A672" s="179"/>
      <c r="B672" s="179"/>
      <c r="C672" s="179"/>
      <c r="D672" s="179"/>
      <c r="E672" s="179"/>
      <c r="F672" s="179"/>
      <c r="G672" s="179"/>
      <c r="H672" s="179"/>
      <c r="I672" s="179"/>
      <c r="J672" s="179"/>
      <c r="K672" s="179"/>
      <c r="L672" s="179"/>
      <c r="M672" s="179"/>
      <c r="N672" s="179"/>
      <c r="O672" s="179"/>
      <c r="P672" s="179"/>
      <c r="Q672" s="179"/>
      <c r="R672" s="179"/>
      <c r="S672" s="179"/>
    </row>
    <row r="673" ht="14.25" customHeight="1">
      <c r="A673" s="179"/>
      <c r="B673" s="179"/>
      <c r="C673" s="179"/>
      <c r="D673" s="179"/>
      <c r="E673" s="179"/>
      <c r="F673" s="179"/>
      <c r="G673" s="179"/>
      <c r="H673" s="179"/>
      <c r="I673" s="179"/>
      <c r="J673" s="179"/>
      <c r="K673" s="179"/>
      <c r="L673" s="179"/>
      <c r="M673" s="179"/>
      <c r="N673" s="179"/>
      <c r="O673" s="179"/>
      <c r="P673" s="179"/>
      <c r="Q673" s="179"/>
      <c r="R673" s="179"/>
      <c r="S673" s="179"/>
    </row>
    <row r="674" ht="14.25" customHeight="1">
      <c r="A674" s="179"/>
      <c r="B674" s="179"/>
      <c r="C674" s="179"/>
      <c r="D674" s="179"/>
      <c r="E674" s="179"/>
      <c r="F674" s="179"/>
      <c r="G674" s="179"/>
      <c r="H674" s="179"/>
      <c r="I674" s="179"/>
      <c r="J674" s="179"/>
      <c r="K674" s="179"/>
      <c r="L674" s="179"/>
      <c r="M674" s="179"/>
      <c r="N674" s="179"/>
      <c r="O674" s="179"/>
      <c r="P674" s="179"/>
      <c r="Q674" s="179"/>
      <c r="R674" s="179"/>
      <c r="S674" s="179"/>
    </row>
    <row r="675" ht="14.25" customHeight="1">
      <c r="A675" s="179"/>
      <c r="B675" s="179"/>
      <c r="C675" s="179"/>
      <c r="D675" s="179"/>
      <c r="E675" s="179"/>
      <c r="F675" s="179"/>
      <c r="G675" s="179"/>
      <c r="H675" s="179"/>
      <c r="I675" s="179"/>
      <c r="J675" s="179"/>
      <c r="K675" s="179"/>
      <c r="L675" s="179"/>
      <c r="M675" s="179"/>
      <c r="N675" s="179"/>
      <c r="O675" s="179"/>
      <c r="P675" s="179"/>
      <c r="Q675" s="179"/>
      <c r="R675" s="179"/>
      <c r="S675" s="179"/>
    </row>
    <row r="676" ht="14.25" customHeight="1">
      <c r="A676" s="179"/>
      <c r="B676" s="179"/>
      <c r="C676" s="179"/>
      <c r="D676" s="179"/>
      <c r="E676" s="179"/>
      <c r="F676" s="179"/>
      <c r="G676" s="179"/>
      <c r="H676" s="179"/>
      <c r="I676" s="179"/>
      <c r="J676" s="179"/>
      <c r="K676" s="179"/>
      <c r="L676" s="179"/>
      <c r="M676" s="179"/>
      <c r="N676" s="179"/>
      <c r="O676" s="179"/>
      <c r="P676" s="179"/>
      <c r="Q676" s="179"/>
      <c r="R676" s="179"/>
      <c r="S676" s="179"/>
    </row>
    <row r="677" ht="14.25" customHeight="1">
      <c r="A677" s="179"/>
      <c r="B677" s="179"/>
      <c r="C677" s="179"/>
      <c r="D677" s="179"/>
      <c r="E677" s="179"/>
      <c r="F677" s="179"/>
      <c r="G677" s="179"/>
      <c r="H677" s="179"/>
      <c r="I677" s="179"/>
      <c r="J677" s="179"/>
      <c r="K677" s="179"/>
      <c r="L677" s="179"/>
      <c r="M677" s="179"/>
      <c r="N677" s="179"/>
      <c r="O677" s="179"/>
      <c r="P677" s="179"/>
      <c r="Q677" s="179"/>
      <c r="R677" s="179"/>
      <c r="S677" s="179"/>
    </row>
    <row r="678" ht="14.25" customHeight="1">
      <c r="A678" s="179"/>
      <c r="B678" s="179"/>
      <c r="C678" s="179"/>
      <c r="D678" s="179"/>
      <c r="E678" s="179"/>
      <c r="F678" s="179"/>
      <c r="G678" s="179"/>
      <c r="H678" s="179"/>
      <c r="I678" s="179"/>
      <c r="J678" s="179"/>
      <c r="K678" s="179"/>
      <c r="L678" s="179"/>
      <c r="M678" s="179"/>
      <c r="N678" s="179"/>
      <c r="O678" s="179"/>
      <c r="P678" s="179"/>
      <c r="Q678" s="179"/>
      <c r="R678" s="179"/>
      <c r="S678" s="179"/>
    </row>
    <row r="679" ht="14.25" customHeight="1">
      <c r="A679" s="179"/>
      <c r="B679" s="179"/>
      <c r="C679" s="179"/>
      <c r="D679" s="179"/>
      <c r="E679" s="179"/>
      <c r="F679" s="179"/>
      <c r="G679" s="179"/>
      <c r="H679" s="179"/>
      <c r="I679" s="179"/>
      <c r="J679" s="179"/>
      <c r="K679" s="179"/>
      <c r="L679" s="179"/>
      <c r="M679" s="179"/>
      <c r="N679" s="179"/>
      <c r="O679" s="179"/>
      <c r="P679" s="179"/>
      <c r="Q679" s="179"/>
      <c r="R679" s="179"/>
      <c r="S679" s="179"/>
    </row>
    <row r="680" ht="14.25" customHeight="1">
      <c r="A680" s="179"/>
      <c r="B680" s="179"/>
      <c r="C680" s="179"/>
      <c r="D680" s="179"/>
      <c r="E680" s="179"/>
      <c r="F680" s="179"/>
      <c r="G680" s="179"/>
      <c r="H680" s="179"/>
      <c r="I680" s="179"/>
      <c r="J680" s="179"/>
      <c r="K680" s="179"/>
      <c r="L680" s="179"/>
      <c r="M680" s="179"/>
      <c r="N680" s="179"/>
      <c r="O680" s="179"/>
      <c r="P680" s="179"/>
      <c r="Q680" s="179"/>
      <c r="R680" s="179"/>
      <c r="S680" s="179"/>
    </row>
    <row r="681" ht="14.25" customHeight="1">
      <c r="A681" s="179"/>
      <c r="B681" s="179"/>
      <c r="C681" s="179"/>
      <c r="D681" s="179"/>
      <c r="E681" s="179"/>
      <c r="F681" s="179"/>
      <c r="G681" s="179"/>
      <c r="H681" s="179"/>
      <c r="I681" s="179"/>
      <c r="J681" s="179"/>
      <c r="K681" s="179"/>
      <c r="L681" s="179"/>
      <c r="M681" s="179"/>
      <c r="N681" s="179"/>
      <c r="O681" s="179"/>
      <c r="P681" s="179"/>
      <c r="Q681" s="179"/>
      <c r="R681" s="179"/>
      <c r="S681" s="179"/>
    </row>
    <row r="682" ht="14.25" customHeight="1">
      <c r="A682" s="179"/>
      <c r="B682" s="179"/>
      <c r="C682" s="179"/>
      <c r="D682" s="179"/>
      <c r="E682" s="179"/>
      <c r="F682" s="179"/>
      <c r="G682" s="179"/>
      <c r="H682" s="179"/>
      <c r="I682" s="179"/>
      <c r="J682" s="179"/>
      <c r="K682" s="179"/>
      <c r="L682" s="179"/>
      <c r="M682" s="179"/>
      <c r="N682" s="179"/>
      <c r="O682" s="179"/>
      <c r="P682" s="179"/>
      <c r="Q682" s="179"/>
      <c r="R682" s="179"/>
      <c r="S682" s="179"/>
    </row>
    <row r="683" ht="14.25" customHeight="1">
      <c r="A683" s="179"/>
      <c r="B683" s="179"/>
      <c r="C683" s="179"/>
      <c r="D683" s="179"/>
      <c r="E683" s="179"/>
      <c r="F683" s="179"/>
      <c r="G683" s="179"/>
      <c r="H683" s="179"/>
      <c r="I683" s="179"/>
      <c r="J683" s="179"/>
      <c r="K683" s="179"/>
      <c r="L683" s="179"/>
      <c r="M683" s="179"/>
      <c r="N683" s="179"/>
      <c r="O683" s="179"/>
      <c r="P683" s="179"/>
      <c r="Q683" s="179"/>
      <c r="R683" s="179"/>
      <c r="S683" s="179"/>
    </row>
    <row r="684" ht="14.25" customHeight="1">
      <c r="A684" s="179"/>
      <c r="B684" s="179"/>
      <c r="C684" s="179"/>
      <c r="D684" s="179"/>
      <c r="E684" s="179"/>
      <c r="F684" s="179"/>
      <c r="G684" s="179"/>
      <c r="H684" s="179"/>
      <c r="I684" s="179"/>
      <c r="J684" s="179"/>
      <c r="K684" s="179"/>
      <c r="L684" s="179"/>
      <c r="M684" s="179"/>
      <c r="N684" s="179"/>
      <c r="O684" s="179"/>
      <c r="P684" s="179"/>
      <c r="Q684" s="179"/>
      <c r="R684" s="179"/>
      <c r="S684" s="179"/>
    </row>
    <row r="685" ht="14.25" customHeight="1">
      <c r="A685" s="179"/>
      <c r="B685" s="179"/>
      <c r="C685" s="179"/>
      <c r="D685" s="179"/>
      <c r="E685" s="179"/>
      <c r="F685" s="179"/>
      <c r="G685" s="179"/>
      <c r="H685" s="179"/>
      <c r="I685" s="179"/>
      <c r="J685" s="179"/>
      <c r="K685" s="179"/>
      <c r="L685" s="179"/>
      <c r="M685" s="179"/>
      <c r="N685" s="179"/>
      <c r="O685" s="179"/>
      <c r="P685" s="179"/>
      <c r="Q685" s="179"/>
      <c r="R685" s="179"/>
      <c r="S685" s="179"/>
    </row>
    <row r="686" ht="14.25" customHeight="1">
      <c r="A686" s="179"/>
      <c r="B686" s="179"/>
      <c r="C686" s="179"/>
      <c r="D686" s="179"/>
      <c r="E686" s="179"/>
      <c r="F686" s="179"/>
      <c r="G686" s="179"/>
      <c r="H686" s="179"/>
      <c r="I686" s="179"/>
      <c r="J686" s="179"/>
      <c r="K686" s="179"/>
      <c r="L686" s="179"/>
      <c r="M686" s="179"/>
      <c r="N686" s="179"/>
      <c r="O686" s="179"/>
      <c r="P686" s="179"/>
      <c r="Q686" s="179"/>
      <c r="R686" s="179"/>
      <c r="S686" s="179"/>
    </row>
    <row r="687" ht="14.25" customHeight="1">
      <c r="A687" s="179"/>
      <c r="B687" s="179"/>
      <c r="C687" s="179"/>
      <c r="D687" s="179"/>
      <c r="E687" s="179"/>
      <c r="F687" s="179"/>
      <c r="G687" s="179"/>
      <c r="H687" s="179"/>
      <c r="I687" s="179"/>
      <c r="J687" s="179"/>
      <c r="K687" s="179"/>
      <c r="L687" s="179"/>
      <c r="M687" s="179"/>
      <c r="N687" s="179"/>
      <c r="O687" s="179"/>
      <c r="P687" s="179"/>
      <c r="Q687" s="179"/>
      <c r="R687" s="179"/>
      <c r="S687" s="179"/>
    </row>
    <row r="688" ht="14.25" customHeight="1">
      <c r="A688" s="179"/>
      <c r="B688" s="179"/>
      <c r="C688" s="179"/>
      <c r="D688" s="179"/>
      <c r="E688" s="179"/>
      <c r="F688" s="179"/>
      <c r="G688" s="179"/>
      <c r="H688" s="179"/>
      <c r="I688" s="179"/>
      <c r="J688" s="179"/>
      <c r="K688" s="179"/>
      <c r="L688" s="179"/>
      <c r="M688" s="179"/>
      <c r="N688" s="179"/>
      <c r="O688" s="179"/>
      <c r="P688" s="179"/>
      <c r="Q688" s="179"/>
      <c r="R688" s="179"/>
      <c r="S688" s="179"/>
    </row>
    <row r="689" ht="14.25" customHeight="1">
      <c r="A689" s="179"/>
      <c r="B689" s="179"/>
      <c r="C689" s="179"/>
      <c r="D689" s="179"/>
      <c r="E689" s="179"/>
      <c r="F689" s="179"/>
      <c r="G689" s="179"/>
      <c r="H689" s="179"/>
      <c r="I689" s="179"/>
      <c r="J689" s="179"/>
      <c r="K689" s="179"/>
      <c r="L689" s="179"/>
      <c r="M689" s="179"/>
      <c r="N689" s="179"/>
      <c r="O689" s="179"/>
      <c r="P689" s="179"/>
      <c r="Q689" s="179"/>
      <c r="R689" s="179"/>
      <c r="S689" s="179"/>
    </row>
    <row r="690" ht="14.25" customHeight="1">
      <c r="A690" s="179"/>
      <c r="B690" s="179"/>
      <c r="C690" s="179"/>
      <c r="D690" s="179"/>
      <c r="E690" s="179"/>
      <c r="F690" s="179"/>
      <c r="G690" s="179"/>
      <c r="H690" s="179"/>
      <c r="I690" s="179"/>
      <c r="J690" s="179"/>
      <c r="K690" s="179"/>
      <c r="L690" s="179"/>
      <c r="M690" s="179"/>
      <c r="N690" s="179"/>
      <c r="O690" s="179"/>
      <c r="P690" s="179"/>
      <c r="Q690" s="179"/>
      <c r="R690" s="179"/>
      <c r="S690" s="179"/>
    </row>
    <row r="691" ht="14.25" customHeight="1">
      <c r="A691" s="179"/>
      <c r="B691" s="179"/>
      <c r="C691" s="179"/>
      <c r="D691" s="179"/>
      <c r="E691" s="179"/>
      <c r="F691" s="179"/>
      <c r="G691" s="179"/>
      <c r="H691" s="179"/>
      <c r="I691" s="179"/>
      <c r="J691" s="179"/>
      <c r="K691" s="179"/>
      <c r="L691" s="179"/>
      <c r="M691" s="179"/>
      <c r="N691" s="179"/>
      <c r="O691" s="179"/>
      <c r="P691" s="179"/>
      <c r="Q691" s="179"/>
      <c r="R691" s="179"/>
      <c r="S691" s="179"/>
    </row>
    <row r="692" ht="14.25" customHeight="1">
      <c r="A692" s="179"/>
      <c r="B692" s="179"/>
      <c r="C692" s="179"/>
      <c r="D692" s="179"/>
      <c r="E692" s="179"/>
      <c r="F692" s="179"/>
      <c r="G692" s="179"/>
      <c r="H692" s="179"/>
      <c r="I692" s="179"/>
      <c r="J692" s="179"/>
      <c r="K692" s="179"/>
      <c r="L692" s="179"/>
      <c r="M692" s="179"/>
      <c r="N692" s="179"/>
      <c r="O692" s="179"/>
      <c r="P692" s="179"/>
      <c r="Q692" s="179"/>
      <c r="R692" s="179"/>
      <c r="S692" s="179"/>
    </row>
    <row r="693" ht="14.25" customHeight="1">
      <c r="A693" s="179"/>
      <c r="B693" s="179"/>
      <c r="C693" s="179"/>
      <c r="D693" s="179"/>
      <c r="E693" s="179"/>
      <c r="F693" s="179"/>
      <c r="G693" s="179"/>
      <c r="H693" s="179"/>
      <c r="I693" s="179"/>
      <c r="J693" s="179"/>
      <c r="K693" s="179"/>
      <c r="L693" s="179"/>
      <c r="M693" s="179"/>
      <c r="N693" s="179"/>
      <c r="O693" s="179"/>
      <c r="P693" s="179"/>
      <c r="Q693" s="179"/>
      <c r="R693" s="179"/>
      <c r="S693" s="179"/>
    </row>
    <row r="694" ht="14.25" customHeight="1">
      <c r="A694" s="179"/>
      <c r="B694" s="179"/>
      <c r="C694" s="179"/>
      <c r="D694" s="179"/>
      <c r="E694" s="179"/>
      <c r="F694" s="179"/>
      <c r="G694" s="179"/>
      <c r="H694" s="179"/>
      <c r="I694" s="179"/>
      <c r="J694" s="179"/>
      <c r="K694" s="179"/>
      <c r="L694" s="179"/>
      <c r="M694" s="179"/>
      <c r="N694" s="179"/>
      <c r="O694" s="179"/>
      <c r="P694" s="179"/>
      <c r="Q694" s="179"/>
      <c r="R694" s="179"/>
      <c r="S694" s="179"/>
    </row>
    <row r="695" ht="14.25" customHeight="1">
      <c r="A695" s="179"/>
      <c r="B695" s="179"/>
      <c r="C695" s="179"/>
      <c r="D695" s="179"/>
      <c r="E695" s="179"/>
      <c r="F695" s="179"/>
      <c r="G695" s="179"/>
      <c r="H695" s="179"/>
      <c r="I695" s="179"/>
      <c r="J695" s="179"/>
      <c r="K695" s="179"/>
      <c r="L695" s="179"/>
      <c r="M695" s="179"/>
      <c r="N695" s="179"/>
      <c r="O695" s="179"/>
      <c r="P695" s="179"/>
      <c r="Q695" s="179"/>
      <c r="R695" s="179"/>
      <c r="S695" s="179"/>
    </row>
    <row r="696" ht="14.25" customHeight="1">
      <c r="A696" s="179"/>
      <c r="B696" s="179"/>
      <c r="C696" s="179"/>
      <c r="D696" s="179"/>
      <c r="E696" s="179"/>
      <c r="F696" s="179"/>
      <c r="G696" s="179"/>
      <c r="H696" s="179"/>
      <c r="I696" s="179"/>
      <c r="J696" s="179"/>
      <c r="K696" s="179"/>
      <c r="L696" s="179"/>
      <c r="M696" s="179"/>
      <c r="N696" s="179"/>
      <c r="O696" s="179"/>
      <c r="P696" s="179"/>
      <c r="Q696" s="179"/>
      <c r="R696" s="179"/>
      <c r="S696" s="179"/>
    </row>
    <row r="697" ht="14.25" customHeight="1">
      <c r="A697" s="179"/>
      <c r="B697" s="179"/>
      <c r="C697" s="179"/>
      <c r="D697" s="179"/>
      <c r="E697" s="179"/>
      <c r="F697" s="179"/>
      <c r="G697" s="179"/>
      <c r="H697" s="179"/>
      <c r="I697" s="179"/>
      <c r="J697" s="179"/>
      <c r="K697" s="179"/>
      <c r="L697" s="179"/>
      <c r="M697" s="179"/>
      <c r="N697" s="179"/>
      <c r="O697" s="179"/>
      <c r="P697" s="179"/>
      <c r="Q697" s="179"/>
      <c r="R697" s="179"/>
      <c r="S697" s="179"/>
    </row>
    <row r="698" ht="14.25" customHeight="1">
      <c r="A698" s="179"/>
      <c r="B698" s="179"/>
      <c r="C698" s="179"/>
      <c r="D698" s="179"/>
      <c r="E698" s="179"/>
      <c r="F698" s="179"/>
      <c r="G698" s="179"/>
      <c r="H698" s="179"/>
      <c r="I698" s="179"/>
      <c r="J698" s="179"/>
      <c r="K698" s="179"/>
      <c r="L698" s="179"/>
      <c r="M698" s="179"/>
      <c r="N698" s="179"/>
      <c r="O698" s="179"/>
      <c r="P698" s="179"/>
      <c r="Q698" s="179"/>
      <c r="R698" s="179"/>
      <c r="S698" s="179"/>
    </row>
    <row r="699" ht="14.25" customHeight="1">
      <c r="A699" s="179"/>
      <c r="B699" s="179"/>
      <c r="C699" s="179"/>
      <c r="D699" s="179"/>
      <c r="E699" s="179"/>
      <c r="F699" s="179"/>
      <c r="G699" s="179"/>
      <c r="H699" s="179"/>
      <c r="I699" s="179"/>
      <c r="J699" s="179"/>
      <c r="K699" s="179"/>
      <c r="L699" s="179"/>
      <c r="M699" s="179"/>
      <c r="N699" s="179"/>
      <c r="O699" s="179"/>
      <c r="P699" s="179"/>
      <c r="Q699" s="179"/>
      <c r="R699" s="179"/>
      <c r="S699" s="179"/>
    </row>
    <row r="700" ht="14.25" customHeight="1">
      <c r="A700" s="179"/>
      <c r="B700" s="179"/>
      <c r="C700" s="179"/>
      <c r="D700" s="179"/>
      <c r="E700" s="179"/>
      <c r="F700" s="179"/>
      <c r="G700" s="179"/>
      <c r="H700" s="179"/>
      <c r="I700" s="179"/>
      <c r="J700" s="179"/>
      <c r="K700" s="179"/>
      <c r="L700" s="179"/>
      <c r="M700" s="179"/>
      <c r="N700" s="179"/>
      <c r="O700" s="179"/>
      <c r="P700" s="179"/>
      <c r="Q700" s="179"/>
      <c r="R700" s="179"/>
      <c r="S700" s="179"/>
    </row>
    <row r="701" ht="14.25" customHeight="1">
      <c r="A701" s="179"/>
      <c r="B701" s="179"/>
      <c r="C701" s="179"/>
      <c r="D701" s="179"/>
      <c r="E701" s="179"/>
      <c r="F701" s="179"/>
      <c r="G701" s="179"/>
      <c r="H701" s="179"/>
      <c r="I701" s="179"/>
      <c r="J701" s="179"/>
      <c r="K701" s="179"/>
      <c r="L701" s="179"/>
      <c r="M701" s="179"/>
      <c r="N701" s="179"/>
      <c r="O701" s="179"/>
      <c r="P701" s="179"/>
      <c r="Q701" s="179"/>
      <c r="R701" s="179"/>
      <c r="S701" s="179"/>
    </row>
    <row r="702" ht="14.25" customHeight="1">
      <c r="A702" s="179"/>
      <c r="B702" s="179"/>
      <c r="C702" s="179"/>
      <c r="D702" s="179"/>
      <c r="E702" s="179"/>
      <c r="F702" s="179"/>
      <c r="G702" s="179"/>
      <c r="H702" s="179"/>
      <c r="I702" s="179"/>
      <c r="J702" s="179"/>
      <c r="K702" s="179"/>
      <c r="L702" s="179"/>
      <c r="M702" s="179"/>
      <c r="N702" s="179"/>
      <c r="O702" s="179"/>
      <c r="P702" s="179"/>
      <c r="Q702" s="179"/>
      <c r="R702" s="179"/>
      <c r="S702" s="179"/>
    </row>
    <row r="703" ht="14.25" customHeight="1">
      <c r="A703" s="179"/>
      <c r="B703" s="179"/>
      <c r="C703" s="179"/>
      <c r="D703" s="179"/>
      <c r="E703" s="179"/>
      <c r="F703" s="179"/>
      <c r="G703" s="179"/>
      <c r="H703" s="179"/>
      <c r="I703" s="179"/>
      <c r="J703" s="179"/>
      <c r="K703" s="179"/>
      <c r="L703" s="179"/>
      <c r="M703" s="179"/>
      <c r="N703" s="179"/>
      <c r="O703" s="179"/>
      <c r="P703" s="179"/>
      <c r="Q703" s="179"/>
      <c r="R703" s="179"/>
      <c r="S703" s="179"/>
    </row>
    <row r="704" ht="14.25" customHeight="1">
      <c r="A704" s="179"/>
      <c r="B704" s="179"/>
      <c r="C704" s="179"/>
      <c r="D704" s="179"/>
      <c r="E704" s="179"/>
      <c r="F704" s="179"/>
      <c r="G704" s="179"/>
      <c r="H704" s="179"/>
      <c r="I704" s="179"/>
      <c r="J704" s="179"/>
      <c r="K704" s="179"/>
      <c r="L704" s="179"/>
      <c r="M704" s="179"/>
      <c r="N704" s="179"/>
      <c r="O704" s="179"/>
      <c r="P704" s="179"/>
      <c r="Q704" s="179"/>
      <c r="R704" s="179"/>
      <c r="S704" s="179"/>
    </row>
    <row r="705" ht="14.25" customHeight="1">
      <c r="A705" s="179"/>
      <c r="B705" s="179"/>
      <c r="C705" s="179"/>
      <c r="D705" s="179"/>
      <c r="E705" s="179"/>
      <c r="F705" s="179"/>
      <c r="G705" s="179"/>
      <c r="H705" s="179"/>
      <c r="I705" s="179"/>
      <c r="J705" s="179"/>
      <c r="K705" s="179"/>
      <c r="L705" s="179"/>
      <c r="M705" s="179"/>
      <c r="N705" s="179"/>
      <c r="O705" s="179"/>
      <c r="P705" s="179"/>
      <c r="Q705" s="179"/>
      <c r="R705" s="179"/>
      <c r="S705" s="179"/>
    </row>
    <row r="706" ht="14.25" customHeight="1">
      <c r="A706" s="179"/>
      <c r="B706" s="179"/>
      <c r="C706" s="179"/>
      <c r="D706" s="179"/>
      <c r="E706" s="179"/>
      <c r="F706" s="179"/>
      <c r="G706" s="179"/>
      <c r="H706" s="179"/>
      <c r="I706" s="179"/>
      <c r="J706" s="179"/>
      <c r="K706" s="179"/>
      <c r="L706" s="179"/>
      <c r="M706" s="179"/>
      <c r="N706" s="179"/>
      <c r="O706" s="179"/>
      <c r="P706" s="179"/>
      <c r="Q706" s="179"/>
      <c r="R706" s="179"/>
      <c r="S706" s="179"/>
    </row>
    <row r="707" ht="14.25" customHeight="1">
      <c r="A707" s="179"/>
      <c r="B707" s="179"/>
      <c r="C707" s="179"/>
      <c r="D707" s="179"/>
      <c r="E707" s="179"/>
      <c r="F707" s="179"/>
      <c r="G707" s="179"/>
      <c r="H707" s="179"/>
      <c r="I707" s="179"/>
      <c r="J707" s="179"/>
      <c r="K707" s="179"/>
      <c r="L707" s="179"/>
      <c r="M707" s="179"/>
      <c r="N707" s="179"/>
      <c r="O707" s="179"/>
      <c r="P707" s="179"/>
      <c r="Q707" s="179"/>
      <c r="R707" s="179"/>
      <c r="S707" s="179"/>
    </row>
    <row r="708" ht="14.25" customHeight="1">
      <c r="A708" s="179"/>
      <c r="B708" s="179"/>
      <c r="C708" s="179"/>
      <c r="D708" s="179"/>
      <c r="E708" s="179"/>
      <c r="F708" s="179"/>
      <c r="G708" s="179"/>
      <c r="H708" s="179"/>
      <c r="I708" s="179"/>
      <c r="J708" s="179"/>
      <c r="K708" s="179"/>
      <c r="L708" s="179"/>
      <c r="M708" s="179"/>
      <c r="N708" s="179"/>
      <c r="O708" s="179"/>
      <c r="P708" s="179"/>
      <c r="Q708" s="179"/>
      <c r="R708" s="179"/>
      <c r="S708" s="179"/>
    </row>
    <row r="709" ht="14.25" customHeight="1">
      <c r="A709" s="179"/>
      <c r="B709" s="179"/>
      <c r="C709" s="179"/>
      <c r="D709" s="179"/>
      <c r="E709" s="179"/>
      <c r="F709" s="179"/>
      <c r="G709" s="179"/>
      <c r="H709" s="179"/>
      <c r="I709" s="179"/>
      <c r="J709" s="179"/>
      <c r="K709" s="179"/>
      <c r="L709" s="179"/>
      <c r="M709" s="179"/>
      <c r="N709" s="179"/>
      <c r="O709" s="179"/>
      <c r="P709" s="179"/>
      <c r="Q709" s="179"/>
      <c r="R709" s="179"/>
      <c r="S709" s="179"/>
    </row>
    <row r="710" ht="14.25" customHeight="1">
      <c r="A710" s="179"/>
      <c r="B710" s="179"/>
      <c r="C710" s="179"/>
      <c r="D710" s="179"/>
      <c r="E710" s="179"/>
      <c r="F710" s="179"/>
      <c r="G710" s="179"/>
      <c r="H710" s="179"/>
      <c r="I710" s="179"/>
      <c r="J710" s="179"/>
      <c r="K710" s="179"/>
      <c r="L710" s="179"/>
      <c r="M710" s="179"/>
      <c r="N710" s="179"/>
      <c r="O710" s="179"/>
      <c r="P710" s="179"/>
      <c r="Q710" s="179"/>
      <c r="R710" s="179"/>
      <c r="S710" s="179"/>
    </row>
    <row r="711" ht="14.25" customHeight="1">
      <c r="A711" s="179"/>
      <c r="B711" s="179"/>
      <c r="C711" s="179"/>
      <c r="D711" s="179"/>
      <c r="E711" s="179"/>
      <c r="F711" s="179"/>
      <c r="G711" s="179"/>
      <c r="H711" s="179"/>
      <c r="I711" s="179"/>
      <c r="J711" s="179"/>
      <c r="K711" s="179"/>
      <c r="L711" s="179"/>
      <c r="M711" s="179"/>
      <c r="N711" s="179"/>
      <c r="O711" s="179"/>
      <c r="P711" s="179"/>
      <c r="Q711" s="179"/>
      <c r="R711" s="179"/>
      <c r="S711" s="179"/>
    </row>
    <row r="712" ht="14.25" customHeight="1">
      <c r="A712" s="179"/>
      <c r="B712" s="179"/>
      <c r="C712" s="179"/>
      <c r="D712" s="179"/>
      <c r="E712" s="179"/>
      <c r="F712" s="179"/>
      <c r="G712" s="179"/>
      <c r="H712" s="179"/>
      <c r="I712" s="179"/>
      <c r="J712" s="179"/>
      <c r="K712" s="179"/>
      <c r="L712" s="179"/>
      <c r="M712" s="179"/>
      <c r="N712" s="179"/>
      <c r="O712" s="179"/>
      <c r="P712" s="179"/>
      <c r="Q712" s="179"/>
      <c r="R712" s="179"/>
      <c r="S712" s="179"/>
    </row>
    <row r="713" ht="14.25" customHeight="1">
      <c r="A713" s="179"/>
      <c r="B713" s="179"/>
      <c r="C713" s="179"/>
      <c r="D713" s="179"/>
      <c r="E713" s="179"/>
      <c r="F713" s="179"/>
      <c r="G713" s="179"/>
      <c r="H713" s="179"/>
      <c r="I713" s="179"/>
      <c r="J713" s="179"/>
      <c r="K713" s="179"/>
      <c r="L713" s="179"/>
      <c r="M713" s="179"/>
      <c r="N713" s="179"/>
      <c r="O713" s="179"/>
      <c r="P713" s="179"/>
      <c r="Q713" s="179"/>
      <c r="R713" s="179"/>
      <c r="S713" s="179"/>
    </row>
    <row r="714" ht="14.25" customHeight="1">
      <c r="A714" s="179"/>
      <c r="B714" s="179"/>
      <c r="C714" s="179"/>
      <c r="D714" s="179"/>
      <c r="E714" s="179"/>
      <c r="F714" s="179"/>
      <c r="G714" s="179"/>
      <c r="H714" s="179"/>
      <c r="I714" s="179"/>
      <c r="J714" s="179"/>
      <c r="K714" s="179"/>
      <c r="L714" s="179"/>
      <c r="M714" s="179"/>
      <c r="N714" s="179"/>
      <c r="O714" s="179"/>
      <c r="P714" s="179"/>
      <c r="Q714" s="179"/>
      <c r="R714" s="179"/>
      <c r="S714" s="179"/>
    </row>
    <row r="715" ht="14.25" customHeight="1">
      <c r="A715" s="179"/>
      <c r="B715" s="179"/>
      <c r="C715" s="179"/>
      <c r="D715" s="179"/>
      <c r="E715" s="179"/>
      <c r="F715" s="179"/>
      <c r="G715" s="179"/>
      <c r="H715" s="179"/>
      <c r="I715" s="179"/>
      <c r="J715" s="179"/>
      <c r="K715" s="179"/>
      <c r="L715" s="179"/>
      <c r="M715" s="179"/>
      <c r="N715" s="179"/>
      <c r="O715" s="179"/>
      <c r="P715" s="179"/>
      <c r="Q715" s="179"/>
      <c r="R715" s="179"/>
      <c r="S715" s="179"/>
    </row>
    <row r="716" ht="14.25" customHeight="1">
      <c r="A716" s="179"/>
      <c r="B716" s="179"/>
      <c r="C716" s="179"/>
      <c r="D716" s="179"/>
      <c r="E716" s="179"/>
      <c r="F716" s="179"/>
      <c r="G716" s="179"/>
      <c r="H716" s="179"/>
      <c r="I716" s="179"/>
      <c r="J716" s="179"/>
      <c r="K716" s="179"/>
      <c r="L716" s="179"/>
      <c r="M716" s="179"/>
      <c r="N716" s="179"/>
      <c r="O716" s="179"/>
      <c r="P716" s="179"/>
      <c r="Q716" s="179"/>
      <c r="R716" s="179"/>
      <c r="S716" s="179"/>
    </row>
    <row r="717" ht="14.25" customHeight="1">
      <c r="A717" s="179"/>
      <c r="B717" s="179"/>
      <c r="C717" s="179"/>
      <c r="D717" s="179"/>
      <c r="E717" s="179"/>
      <c r="F717" s="179"/>
      <c r="G717" s="179"/>
      <c r="H717" s="179"/>
      <c r="I717" s="179"/>
      <c r="J717" s="179"/>
      <c r="K717" s="179"/>
      <c r="L717" s="179"/>
      <c r="M717" s="179"/>
      <c r="N717" s="179"/>
      <c r="O717" s="179"/>
      <c r="P717" s="179"/>
      <c r="Q717" s="179"/>
      <c r="R717" s="179"/>
      <c r="S717" s="179"/>
    </row>
    <row r="718" ht="14.25" customHeight="1">
      <c r="A718" s="179"/>
      <c r="B718" s="179"/>
      <c r="C718" s="179"/>
      <c r="D718" s="179"/>
      <c r="E718" s="179"/>
      <c r="F718" s="179"/>
      <c r="G718" s="179"/>
      <c r="H718" s="179"/>
      <c r="I718" s="179"/>
      <c r="J718" s="179"/>
      <c r="K718" s="179"/>
      <c r="L718" s="179"/>
      <c r="M718" s="179"/>
      <c r="N718" s="179"/>
      <c r="O718" s="179"/>
      <c r="P718" s="179"/>
      <c r="Q718" s="179"/>
      <c r="R718" s="179"/>
      <c r="S718" s="179"/>
    </row>
    <row r="719" ht="14.25" customHeight="1">
      <c r="A719" s="179"/>
      <c r="B719" s="179"/>
      <c r="C719" s="179"/>
      <c r="D719" s="179"/>
      <c r="E719" s="179"/>
      <c r="F719" s="179"/>
      <c r="G719" s="179"/>
      <c r="H719" s="179"/>
      <c r="I719" s="179"/>
      <c r="J719" s="179"/>
      <c r="K719" s="179"/>
      <c r="L719" s="179"/>
      <c r="M719" s="179"/>
      <c r="N719" s="179"/>
      <c r="O719" s="179"/>
      <c r="P719" s="179"/>
      <c r="Q719" s="179"/>
      <c r="R719" s="179"/>
      <c r="S719" s="179"/>
    </row>
    <row r="720" ht="14.25" customHeight="1">
      <c r="A720" s="179"/>
      <c r="B720" s="179"/>
      <c r="C720" s="179"/>
      <c r="D720" s="179"/>
      <c r="E720" s="179"/>
      <c r="F720" s="179"/>
      <c r="G720" s="179"/>
      <c r="H720" s="179"/>
      <c r="I720" s="179"/>
      <c r="J720" s="179"/>
      <c r="K720" s="179"/>
      <c r="L720" s="179"/>
      <c r="M720" s="179"/>
      <c r="N720" s="179"/>
      <c r="O720" s="179"/>
      <c r="P720" s="179"/>
      <c r="Q720" s="179"/>
      <c r="R720" s="179"/>
      <c r="S720" s="179"/>
    </row>
    <row r="721" ht="14.25" customHeight="1">
      <c r="A721" s="179"/>
      <c r="B721" s="179"/>
      <c r="C721" s="179"/>
      <c r="D721" s="179"/>
      <c r="E721" s="179"/>
      <c r="F721" s="179"/>
      <c r="G721" s="179"/>
      <c r="H721" s="179"/>
      <c r="I721" s="179"/>
      <c r="J721" s="179"/>
      <c r="K721" s="179"/>
      <c r="L721" s="179"/>
      <c r="M721" s="179"/>
      <c r="N721" s="179"/>
      <c r="O721" s="179"/>
      <c r="P721" s="179"/>
      <c r="Q721" s="179"/>
      <c r="R721" s="179"/>
      <c r="S721" s="179"/>
    </row>
    <row r="722" ht="14.25" customHeight="1">
      <c r="A722" s="179"/>
      <c r="B722" s="179"/>
      <c r="C722" s="179"/>
      <c r="D722" s="179"/>
      <c r="E722" s="179"/>
      <c r="F722" s="179"/>
      <c r="G722" s="179"/>
      <c r="H722" s="179"/>
      <c r="I722" s="179"/>
      <c r="J722" s="179"/>
      <c r="K722" s="179"/>
      <c r="L722" s="179"/>
      <c r="M722" s="179"/>
      <c r="N722" s="179"/>
      <c r="O722" s="179"/>
      <c r="P722" s="179"/>
      <c r="Q722" s="179"/>
      <c r="R722" s="179"/>
      <c r="S722" s="179"/>
    </row>
    <row r="723" ht="14.25" customHeight="1">
      <c r="A723" s="179"/>
      <c r="B723" s="179"/>
      <c r="C723" s="179"/>
      <c r="D723" s="179"/>
      <c r="E723" s="179"/>
      <c r="F723" s="179"/>
      <c r="G723" s="179"/>
      <c r="H723" s="179"/>
      <c r="I723" s="179"/>
      <c r="J723" s="179"/>
      <c r="K723" s="179"/>
      <c r="L723" s="179"/>
      <c r="M723" s="179"/>
      <c r="N723" s="179"/>
      <c r="O723" s="179"/>
      <c r="P723" s="179"/>
      <c r="Q723" s="179"/>
      <c r="R723" s="179"/>
      <c r="S723" s="179"/>
    </row>
    <row r="724" ht="14.25" customHeight="1">
      <c r="A724" s="179"/>
      <c r="B724" s="179"/>
      <c r="C724" s="179"/>
      <c r="D724" s="179"/>
      <c r="E724" s="179"/>
      <c r="F724" s="179"/>
      <c r="G724" s="179"/>
      <c r="H724" s="179"/>
      <c r="I724" s="179"/>
      <c r="J724" s="179"/>
      <c r="K724" s="179"/>
      <c r="L724" s="179"/>
      <c r="M724" s="179"/>
      <c r="N724" s="179"/>
      <c r="O724" s="179"/>
      <c r="P724" s="179"/>
      <c r="Q724" s="179"/>
      <c r="R724" s="179"/>
      <c r="S724" s="179"/>
    </row>
    <row r="725" ht="14.25" customHeight="1">
      <c r="A725" s="179"/>
      <c r="B725" s="179"/>
      <c r="C725" s="179"/>
      <c r="D725" s="179"/>
      <c r="E725" s="179"/>
      <c r="F725" s="179"/>
      <c r="G725" s="179"/>
      <c r="H725" s="179"/>
      <c r="I725" s="179"/>
      <c r="J725" s="179"/>
      <c r="K725" s="179"/>
      <c r="L725" s="179"/>
      <c r="M725" s="179"/>
      <c r="N725" s="179"/>
      <c r="O725" s="179"/>
      <c r="P725" s="179"/>
      <c r="Q725" s="179"/>
      <c r="R725" s="179"/>
      <c r="S725" s="179"/>
    </row>
    <row r="726" ht="14.25" customHeight="1">
      <c r="A726" s="179"/>
      <c r="B726" s="179"/>
      <c r="C726" s="179"/>
      <c r="D726" s="179"/>
      <c r="E726" s="179"/>
      <c r="F726" s="179"/>
      <c r="G726" s="179"/>
      <c r="H726" s="179"/>
      <c r="I726" s="179"/>
      <c r="J726" s="179"/>
      <c r="K726" s="179"/>
      <c r="L726" s="179"/>
      <c r="M726" s="179"/>
      <c r="N726" s="179"/>
      <c r="O726" s="179"/>
      <c r="P726" s="179"/>
      <c r="Q726" s="179"/>
      <c r="R726" s="179"/>
      <c r="S726" s="179"/>
    </row>
    <row r="727" ht="14.25" customHeight="1">
      <c r="A727" s="179"/>
      <c r="B727" s="179"/>
      <c r="C727" s="179"/>
      <c r="D727" s="179"/>
      <c r="E727" s="179"/>
      <c r="F727" s="179"/>
      <c r="G727" s="179"/>
      <c r="H727" s="179"/>
      <c r="I727" s="179"/>
      <c r="J727" s="179"/>
      <c r="K727" s="179"/>
      <c r="L727" s="179"/>
      <c r="M727" s="179"/>
      <c r="N727" s="179"/>
      <c r="O727" s="179"/>
      <c r="P727" s="179"/>
      <c r="Q727" s="179"/>
      <c r="R727" s="179"/>
      <c r="S727" s="179"/>
    </row>
    <row r="728" ht="14.25" customHeight="1">
      <c r="A728" s="179"/>
      <c r="B728" s="179"/>
      <c r="C728" s="179"/>
      <c r="D728" s="179"/>
      <c r="E728" s="179"/>
      <c r="F728" s="179"/>
      <c r="G728" s="179"/>
      <c r="H728" s="179"/>
      <c r="I728" s="179"/>
      <c r="J728" s="179"/>
      <c r="K728" s="179"/>
      <c r="L728" s="179"/>
      <c r="M728" s="179"/>
      <c r="N728" s="179"/>
      <c r="O728" s="179"/>
      <c r="P728" s="179"/>
      <c r="Q728" s="179"/>
      <c r="R728" s="179"/>
      <c r="S728" s="179"/>
    </row>
    <row r="729" ht="14.25" customHeight="1">
      <c r="A729" s="179"/>
      <c r="B729" s="179"/>
      <c r="C729" s="179"/>
      <c r="D729" s="179"/>
      <c r="E729" s="179"/>
      <c r="F729" s="179"/>
      <c r="G729" s="179"/>
      <c r="H729" s="179"/>
      <c r="I729" s="179"/>
      <c r="J729" s="179"/>
      <c r="K729" s="179"/>
      <c r="L729" s="179"/>
      <c r="M729" s="179"/>
      <c r="N729" s="179"/>
      <c r="O729" s="179"/>
      <c r="P729" s="179"/>
      <c r="Q729" s="179"/>
      <c r="R729" s="179"/>
      <c r="S729" s="179"/>
    </row>
    <row r="730" ht="14.25" customHeight="1">
      <c r="A730" s="179"/>
      <c r="B730" s="179"/>
      <c r="C730" s="179"/>
      <c r="D730" s="179"/>
      <c r="E730" s="179"/>
      <c r="F730" s="179"/>
      <c r="G730" s="179"/>
      <c r="H730" s="179"/>
      <c r="I730" s="179"/>
      <c r="J730" s="179"/>
      <c r="K730" s="179"/>
      <c r="L730" s="179"/>
      <c r="M730" s="179"/>
      <c r="N730" s="179"/>
      <c r="O730" s="179"/>
      <c r="P730" s="179"/>
      <c r="Q730" s="179"/>
      <c r="R730" s="179"/>
      <c r="S730" s="179"/>
    </row>
    <row r="731" ht="14.25" customHeight="1">
      <c r="A731" s="179"/>
      <c r="B731" s="179"/>
      <c r="C731" s="179"/>
      <c r="D731" s="179"/>
      <c r="E731" s="179"/>
      <c r="F731" s="179"/>
      <c r="G731" s="179"/>
      <c r="H731" s="179"/>
      <c r="I731" s="179"/>
      <c r="J731" s="179"/>
      <c r="K731" s="179"/>
      <c r="L731" s="179"/>
      <c r="M731" s="179"/>
      <c r="N731" s="179"/>
      <c r="O731" s="179"/>
      <c r="P731" s="179"/>
      <c r="Q731" s="179"/>
      <c r="R731" s="179"/>
      <c r="S731" s="179"/>
    </row>
    <row r="732" ht="14.25" customHeight="1">
      <c r="A732" s="179"/>
      <c r="B732" s="179"/>
      <c r="C732" s="179"/>
      <c r="D732" s="179"/>
      <c r="E732" s="179"/>
      <c r="F732" s="179"/>
      <c r="G732" s="179"/>
      <c r="H732" s="179"/>
      <c r="I732" s="179"/>
      <c r="J732" s="179"/>
      <c r="K732" s="179"/>
      <c r="L732" s="179"/>
      <c r="M732" s="179"/>
      <c r="N732" s="179"/>
      <c r="O732" s="179"/>
      <c r="P732" s="179"/>
      <c r="Q732" s="179"/>
      <c r="R732" s="179"/>
      <c r="S732" s="179"/>
    </row>
    <row r="733" ht="14.25" customHeight="1">
      <c r="A733" s="179"/>
      <c r="B733" s="179"/>
      <c r="C733" s="179"/>
      <c r="D733" s="179"/>
      <c r="E733" s="179"/>
      <c r="F733" s="179"/>
      <c r="G733" s="179"/>
      <c r="H733" s="179"/>
      <c r="I733" s="179"/>
      <c r="J733" s="179"/>
      <c r="K733" s="179"/>
      <c r="L733" s="179"/>
      <c r="M733" s="179"/>
      <c r="N733" s="179"/>
      <c r="O733" s="179"/>
      <c r="P733" s="179"/>
      <c r="Q733" s="179"/>
      <c r="R733" s="179"/>
      <c r="S733" s="179"/>
    </row>
    <row r="734" ht="14.25" customHeight="1">
      <c r="A734" s="179"/>
      <c r="B734" s="179"/>
      <c r="C734" s="179"/>
      <c r="D734" s="179"/>
      <c r="E734" s="179"/>
      <c r="F734" s="179"/>
      <c r="G734" s="179"/>
      <c r="H734" s="179"/>
      <c r="I734" s="179"/>
      <c r="J734" s="179"/>
      <c r="K734" s="179"/>
      <c r="L734" s="179"/>
      <c r="M734" s="179"/>
      <c r="N734" s="179"/>
      <c r="O734" s="179"/>
      <c r="P734" s="179"/>
      <c r="Q734" s="179"/>
      <c r="R734" s="179"/>
      <c r="S734" s="179"/>
    </row>
    <row r="735" ht="14.25" customHeight="1">
      <c r="A735" s="179"/>
      <c r="B735" s="179"/>
      <c r="C735" s="179"/>
      <c r="D735" s="179"/>
      <c r="E735" s="179"/>
      <c r="F735" s="179"/>
      <c r="G735" s="179"/>
      <c r="H735" s="179"/>
      <c r="I735" s="179"/>
      <c r="J735" s="179"/>
      <c r="K735" s="179"/>
      <c r="L735" s="179"/>
      <c r="M735" s="179"/>
      <c r="N735" s="179"/>
      <c r="O735" s="179"/>
      <c r="P735" s="179"/>
      <c r="Q735" s="179"/>
      <c r="R735" s="179"/>
      <c r="S735" s="179"/>
    </row>
    <row r="736" ht="14.25" customHeight="1">
      <c r="A736" s="179"/>
      <c r="B736" s="179"/>
      <c r="C736" s="179"/>
      <c r="D736" s="179"/>
      <c r="E736" s="179"/>
      <c r="F736" s="179"/>
      <c r="G736" s="179"/>
      <c r="H736" s="179"/>
      <c r="I736" s="179"/>
      <c r="J736" s="179"/>
      <c r="K736" s="179"/>
      <c r="L736" s="179"/>
      <c r="M736" s="179"/>
      <c r="N736" s="179"/>
      <c r="O736" s="179"/>
      <c r="P736" s="179"/>
      <c r="Q736" s="179"/>
      <c r="R736" s="179"/>
      <c r="S736" s="179"/>
    </row>
    <row r="737" ht="14.25" customHeight="1">
      <c r="A737" s="179"/>
      <c r="B737" s="179"/>
      <c r="C737" s="179"/>
      <c r="D737" s="179"/>
      <c r="E737" s="179"/>
      <c r="F737" s="179"/>
      <c r="G737" s="179"/>
      <c r="H737" s="179"/>
      <c r="I737" s="179"/>
      <c r="J737" s="179"/>
      <c r="K737" s="179"/>
      <c r="L737" s="179"/>
      <c r="M737" s="179"/>
      <c r="N737" s="179"/>
      <c r="O737" s="179"/>
      <c r="P737" s="179"/>
      <c r="Q737" s="179"/>
      <c r="R737" s="179"/>
      <c r="S737" s="179"/>
    </row>
    <row r="738" ht="14.25" customHeight="1">
      <c r="A738" s="179"/>
      <c r="B738" s="179"/>
      <c r="C738" s="179"/>
      <c r="D738" s="179"/>
      <c r="E738" s="179"/>
      <c r="F738" s="179"/>
      <c r="G738" s="179"/>
      <c r="H738" s="179"/>
      <c r="I738" s="179"/>
      <c r="J738" s="179"/>
      <c r="K738" s="179"/>
      <c r="L738" s="179"/>
      <c r="M738" s="179"/>
      <c r="N738" s="179"/>
      <c r="O738" s="179"/>
      <c r="P738" s="179"/>
      <c r="Q738" s="179"/>
      <c r="R738" s="179"/>
      <c r="S738" s="179"/>
    </row>
    <row r="739" ht="14.25" customHeight="1">
      <c r="A739" s="179"/>
      <c r="B739" s="179"/>
      <c r="C739" s="179"/>
      <c r="D739" s="179"/>
      <c r="E739" s="179"/>
      <c r="F739" s="179"/>
      <c r="G739" s="179"/>
      <c r="H739" s="179"/>
      <c r="I739" s="179"/>
      <c r="J739" s="179"/>
      <c r="K739" s="179"/>
      <c r="L739" s="179"/>
      <c r="M739" s="179"/>
      <c r="N739" s="179"/>
      <c r="O739" s="179"/>
      <c r="P739" s="179"/>
      <c r="Q739" s="179"/>
      <c r="R739" s="179"/>
      <c r="S739" s="179"/>
    </row>
    <row r="740" ht="14.25" customHeight="1">
      <c r="A740" s="179"/>
      <c r="B740" s="179"/>
      <c r="C740" s="179"/>
      <c r="D740" s="179"/>
      <c r="E740" s="179"/>
      <c r="F740" s="179"/>
      <c r="G740" s="179"/>
      <c r="H740" s="179"/>
      <c r="I740" s="179"/>
      <c r="J740" s="179"/>
      <c r="K740" s="179"/>
      <c r="L740" s="179"/>
      <c r="M740" s="179"/>
      <c r="N740" s="179"/>
      <c r="O740" s="179"/>
      <c r="P740" s="179"/>
      <c r="Q740" s="179"/>
      <c r="R740" s="179"/>
      <c r="S740" s="179"/>
    </row>
    <row r="741" ht="14.25" customHeight="1">
      <c r="A741" s="179"/>
      <c r="B741" s="179"/>
      <c r="C741" s="179"/>
      <c r="D741" s="179"/>
      <c r="E741" s="179"/>
      <c r="F741" s="179"/>
      <c r="G741" s="179"/>
      <c r="H741" s="179"/>
      <c r="I741" s="179"/>
      <c r="J741" s="179"/>
      <c r="K741" s="179"/>
      <c r="L741" s="179"/>
      <c r="M741" s="179"/>
      <c r="N741" s="179"/>
      <c r="O741" s="179"/>
      <c r="P741" s="179"/>
      <c r="Q741" s="179"/>
      <c r="R741" s="179"/>
      <c r="S741" s="179"/>
    </row>
    <row r="742" ht="14.25" customHeight="1">
      <c r="A742" s="179"/>
      <c r="B742" s="179"/>
      <c r="C742" s="179"/>
      <c r="D742" s="179"/>
      <c r="E742" s="179"/>
      <c r="F742" s="179"/>
      <c r="G742" s="179"/>
      <c r="H742" s="179"/>
      <c r="I742" s="179"/>
      <c r="J742" s="179"/>
      <c r="K742" s="179"/>
      <c r="L742" s="179"/>
      <c r="M742" s="179"/>
      <c r="N742" s="179"/>
      <c r="O742" s="179"/>
      <c r="P742" s="179"/>
      <c r="Q742" s="179"/>
      <c r="R742" s="179"/>
      <c r="S742" s="179"/>
    </row>
    <row r="743" ht="14.25" customHeight="1">
      <c r="A743" s="179"/>
      <c r="B743" s="179"/>
      <c r="C743" s="179"/>
      <c r="D743" s="179"/>
      <c r="E743" s="179"/>
      <c r="F743" s="179"/>
      <c r="G743" s="179"/>
      <c r="H743" s="179"/>
      <c r="I743" s="179"/>
      <c r="J743" s="179"/>
      <c r="K743" s="179"/>
      <c r="L743" s="179"/>
      <c r="M743" s="179"/>
      <c r="N743" s="179"/>
      <c r="O743" s="179"/>
      <c r="P743" s="179"/>
      <c r="Q743" s="179"/>
      <c r="R743" s="179"/>
      <c r="S743" s="179"/>
    </row>
    <row r="744" ht="14.25" customHeight="1">
      <c r="A744" s="179"/>
      <c r="B744" s="179"/>
      <c r="C744" s="179"/>
      <c r="D744" s="179"/>
      <c r="E744" s="179"/>
      <c r="F744" s="179"/>
      <c r="G744" s="179"/>
      <c r="H744" s="179"/>
      <c r="I744" s="179"/>
      <c r="J744" s="179"/>
      <c r="K744" s="179"/>
      <c r="L744" s="179"/>
      <c r="M744" s="179"/>
      <c r="N744" s="179"/>
      <c r="O744" s="179"/>
      <c r="P744" s="179"/>
      <c r="Q744" s="179"/>
      <c r="R744" s="179"/>
      <c r="S744" s="179"/>
    </row>
    <row r="745" ht="14.25" customHeight="1">
      <c r="A745" s="179"/>
      <c r="B745" s="179"/>
      <c r="C745" s="179"/>
      <c r="D745" s="179"/>
      <c r="E745" s="179"/>
      <c r="F745" s="179"/>
      <c r="G745" s="179"/>
      <c r="H745" s="179"/>
      <c r="I745" s="179"/>
      <c r="J745" s="179"/>
      <c r="K745" s="179"/>
      <c r="L745" s="179"/>
      <c r="M745" s="179"/>
      <c r="N745" s="179"/>
      <c r="O745" s="179"/>
      <c r="P745" s="179"/>
      <c r="Q745" s="179"/>
      <c r="R745" s="179"/>
      <c r="S745" s="179"/>
    </row>
    <row r="746" ht="14.25" customHeight="1">
      <c r="A746" s="179"/>
      <c r="B746" s="179"/>
      <c r="C746" s="179"/>
      <c r="D746" s="179"/>
      <c r="E746" s="179"/>
      <c r="F746" s="179"/>
      <c r="G746" s="179"/>
      <c r="H746" s="179"/>
      <c r="I746" s="179"/>
      <c r="J746" s="179"/>
      <c r="K746" s="179"/>
      <c r="L746" s="179"/>
      <c r="M746" s="179"/>
      <c r="N746" s="179"/>
      <c r="O746" s="179"/>
      <c r="P746" s="179"/>
      <c r="Q746" s="179"/>
      <c r="R746" s="179"/>
      <c r="S746" s="179"/>
    </row>
    <row r="747" ht="14.25" customHeight="1">
      <c r="A747" s="179"/>
      <c r="B747" s="179"/>
      <c r="C747" s="179"/>
      <c r="D747" s="179"/>
      <c r="E747" s="179"/>
      <c r="F747" s="179"/>
      <c r="G747" s="179"/>
      <c r="H747" s="179"/>
      <c r="I747" s="179"/>
      <c r="J747" s="179"/>
      <c r="K747" s="179"/>
      <c r="L747" s="179"/>
      <c r="M747" s="179"/>
      <c r="N747" s="179"/>
      <c r="O747" s="179"/>
      <c r="P747" s="179"/>
      <c r="Q747" s="179"/>
      <c r="R747" s="179"/>
      <c r="S747" s="179"/>
    </row>
    <row r="748" ht="14.25" customHeight="1">
      <c r="A748" s="179"/>
      <c r="B748" s="179"/>
      <c r="C748" s="179"/>
      <c r="D748" s="179"/>
      <c r="E748" s="179"/>
      <c r="F748" s="179"/>
      <c r="G748" s="179"/>
      <c r="H748" s="179"/>
      <c r="I748" s="179"/>
      <c r="J748" s="179"/>
      <c r="K748" s="179"/>
      <c r="L748" s="179"/>
      <c r="M748" s="179"/>
      <c r="N748" s="179"/>
      <c r="O748" s="179"/>
      <c r="P748" s="179"/>
      <c r="Q748" s="179"/>
      <c r="R748" s="179"/>
      <c r="S748" s="179"/>
    </row>
    <row r="749" ht="14.25" customHeight="1">
      <c r="A749" s="179"/>
      <c r="B749" s="179"/>
      <c r="C749" s="179"/>
      <c r="D749" s="179"/>
      <c r="E749" s="179"/>
      <c r="F749" s="179"/>
      <c r="G749" s="179"/>
      <c r="H749" s="179"/>
      <c r="I749" s="179"/>
      <c r="J749" s="179"/>
      <c r="K749" s="179"/>
      <c r="L749" s="179"/>
      <c r="M749" s="179"/>
      <c r="N749" s="179"/>
      <c r="O749" s="179"/>
      <c r="P749" s="179"/>
      <c r="Q749" s="179"/>
      <c r="R749" s="179"/>
      <c r="S749" s="179"/>
    </row>
    <row r="750" ht="14.25" customHeight="1">
      <c r="A750" s="179"/>
      <c r="B750" s="179"/>
      <c r="C750" s="179"/>
      <c r="D750" s="179"/>
      <c r="E750" s="179"/>
      <c r="F750" s="179"/>
      <c r="G750" s="179"/>
      <c r="H750" s="179"/>
      <c r="I750" s="179"/>
      <c r="J750" s="179"/>
      <c r="K750" s="179"/>
      <c r="L750" s="179"/>
      <c r="M750" s="179"/>
      <c r="N750" s="179"/>
      <c r="O750" s="179"/>
      <c r="P750" s="179"/>
      <c r="Q750" s="179"/>
      <c r="R750" s="179"/>
      <c r="S750" s="179"/>
    </row>
    <row r="751" ht="14.25" customHeight="1">
      <c r="A751" s="179"/>
      <c r="B751" s="179"/>
      <c r="C751" s="179"/>
      <c r="D751" s="179"/>
      <c r="E751" s="179"/>
      <c r="F751" s="179"/>
      <c r="G751" s="179"/>
      <c r="H751" s="179"/>
      <c r="I751" s="179"/>
      <c r="J751" s="179"/>
      <c r="K751" s="179"/>
      <c r="L751" s="179"/>
      <c r="M751" s="179"/>
      <c r="N751" s="179"/>
      <c r="O751" s="179"/>
      <c r="P751" s="179"/>
      <c r="Q751" s="179"/>
      <c r="R751" s="179"/>
      <c r="S751" s="179"/>
    </row>
    <row r="752" ht="14.25" customHeight="1">
      <c r="A752" s="179"/>
      <c r="B752" s="179"/>
      <c r="C752" s="179"/>
      <c r="D752" s="179"/>
      <c r="E752" s="179"/>
      <c r="F752" s="179"/>
      <c r="G752" s="179"/>
      <c r="H752" s="179"/>
      <c r="I752" s="179"/>
      <c r="J752" s="179"/>
      <c r="K752" s="179"/>
      <c r="L752" s="179"/>
      <c r="M752" s="179"/>
      <c r="N752" s="179"/>
      <c r="O752" s="179"/>
      <c r="P752" s="179"/>
      <c r="Q752" s="179"/>
      <c r="R752" s="179"/>
      <c r="S752" s="179"/>
    </row>
    <row r="753" ht="14.25" customHeight="1">
      <c r="A753" s="179"/>
      <c r="B753" s="179"/>
      <c r="C753" s="179"/>
      <c r="D753" s="179"/>
      <c r="E753" s="179"/>
      <c r="F753" s="179"/>
      <c r="G753" s="179"/>
      <c r="H753" s="179"/>
      <c r="I753" s="179"/>
      <c r="J753" s="179"/>
      <c r="K753" s="179"/>
      <c r="L753" s="179"/>
      <c r="M753" s="179"/>
      <c r="N753" s="179"/>
      <c r="O753" s="179"/>
      <c r="P753" s="179"/>
      <c r="Q753" s="179"/>
      <c r="R753" s="179"/>
      <c r="S753" s="179"/>
    </row>
    <row r="754" ht="14.25" customHeight="1">
      <c r="A754" s="179"/>
      <c r="B754" s="179"/>
      <c r="C754" s="179"/>
      <c r="D754" s="179"/>
      <c r="E754" s="179"/>
      <c r="F754" s="179"/>
      <c r="G754" s="179"/>
      <c r="H754" s="179"/>
      <c r="I754" s="179"/>
      <c r="J754" s="179"/>
      <c r="K754" s="179"/>
      <c r="L754" s="179"/>
      <c r="M754" s="179"/>
      <c r="N754" s="179"/>
      <c r="O754" s="179"/>
      <c r="P754" s="179"/>
      <c r="Q754" s="179"/>
      <c r="R754" s="179"/>
      <c r="S754" s="179"/>
    </row>
    <row r="755" ht="14.25" customHeight="1">
      <c r="A755" s="179"/>
      <c r="B755" s="179"/>
      <c r="C755" s="179"/>
      <c r="D755" s="179"/>
      <c r="E755" s="179"/>
      <c r="F755" s="179"/>
      <c r="G755" s="179"/>
      <c r="H755" s="179"/>
      <c r="I755" s="179"/>
      <c r="J755" s="179"/>
      <c r="K755" s="179"/>
      <c r="L755" s="179"/>
      <c r="M755" s="179"/>
      <c r="N755" s="179"/>
      <c r="O755" s="179"/>
      <c r="P755" s="179"/>
      <c r="Q755" s="179"/>
      <c r="R755" s="179"/>
      <c r="S755" s="179"/>
    </row>
    <row r="756" ht="14.25" customHeight="1">
      <c r="A756" s="179"/>
      <c r="B756" s="179"/>
      <c r="C756" s="179"/>
      <c r="D756" s="179"/>
      <c r="E756" s="179"/>
      <c r="F756" s="179"/>
      <c r="G756" s="179"/>
      <c r="H756" s="179"/>
      <c r="I756" s="179"/>
      <c r="J756" s="179"/>
      <c r="K756" s="179"/>
      <c r="L756" s="179"/>
      <c r="M756" s="179"/>
      <c r="N756" s="179"/>
      <c r="O756" s="179"/>
      <c r="P756" s="179"/>
      <c r="Q756" s="179"/>
      <c r="R756" s="179"/>
      <c r="S756" s="179"/>
    </row>
    <row r="757" ht="14.25" customHeight="1">
      <c r="A757" s="179"/>
      <c r="B757" s="179"/>
      <c r="C757" s="179"/>
      <c r="D757" s="179"/>
      <c r="E757" s="179"/>
      <c r="F757" s="179"/>
      <c r="G757" s="179"/>
      <c r="H757" s="179"/>
      <c r="I757" s="179"/>
      <c r="J757" s="179"/>
      <c r="K757" s="179"/>
      <c r="L757" s="179"/>
      <c r="M757" s="179"/>
      <c r="N757" s="179"/>
      <c r="O757" s="179"/>
      <c r="P757" s="179"/>
      <c r="Q757" s="179"/>
      <c r="R757" s="179"/>
      <c r="S757" s="179"/>
    </row>
    <row r="758" ht="14.25" customHeight="1">
      <c r="A758" s="179"/>
      <c r="B758" s="179"/>
      <c r="C758" s="179"/>
      <c r="D758" s="179"/>
      <c r="E758" s="179"/>
      <c r="F758" s="179"/>
      <c r="G758" s="179"/>
      <c r="H758" s="179"/>
      <c r="I758" s="179"/>
      <c r="J758" s="179"/>
      <c r="K758" s="179"/>
      <c r="L758" s="179"/>
      <c r="M758" s="179"/>
      <c r="N758" s="179"/>
      <c r="O758" s="179"/>
      <c r="P758" s="179"/>
      <c r="Q758" s="179"/>
      <c r="R758" s="179"/>
      <c r="S758" s="179"/>
    </row>
    <row r="759" ht="14.25" customHeight="1">
      <c r="A759" s="179"/>
      <c r="B759" s="179"/>
      <c r="C759" s="179"/>
      <c r="D759" s="179"/>
      <c r="E759" s="179"/>
      <c r="F759" s="179"/>
      <c r="G759" s="179"/>
      <c r="H759" s="179"/>
      <c r="I759" s="179"/>
      <c r="J759" s="179"/>
      <c r="K759" s="179"/>
      <c r="L759" s="179"/>
      <c r="M759" s="179"/>
      <c r="N759" s="179"/>
      <c r="O759" s="179"/>
      <c r="P759" s="179"/>
      <c r="Q759" s="179"/>
      <c r="R759" s="179"/>
      <c r="S759" s="179"/>
    </row>
    <row r="760" ht="14.25" customHeight="1">
      <c r="A760" s="179"/>
      <c r="B760" s="179"/>
      <c r="C760" s="179"/>
      <c r="D760" s="179"/>
      <c r="E760" s="179"/>
      <c r="F760" s="179"/>
      <c r="G760" s="179"/>
      <c r="H760" s="179"/>
      <c r="I760" s="179"/>
      <c r="J760" s="179"/>
      <c r="K760" s="179"/>
      <c r="L760" s="179"/>
      <c r="M760" s="179"/>
      <c r="N760" s="179"/>
      <c r="O760" s="179"/>
      <c r="P760" s="179"/>
      <c r="Q760" s="179"/>
      <c r="R760" s="179"/>
      <c r="S760" s="179"/>
    </row>
    <row r="761" ht="14.25" customHeight="1">
      <c r="A761" s="179"/>
      <c r="B761" s="179"/>
      <c r="C761" s="179"/>
      <c r="D761" s="179"/>
      <c r="E761" s="179"/>
      <c r="F761" s="179"/>
      <c r="G761" s="179"/>
      <c r="H761" s="179"/>
      <c r="I761" s="179"/>
      <c r="J761" s="179"/>
      <c r="K761" s="179"/>
      <c r="L761" s="179"/>
      <c r="M761" s="179"/>
      <c r="N761" s="179"/>
      <c r="O761" s="179"/>
      <c r="P761" s="179"/>
      <c r="Q761" s="179"/>
      <c r="R761" s="179"/>
      <c r="S761" s="179"/>
    </row>
    <row r="762" ht="14.25" customHeight="1">
      <c r="A762" s="179"/>
      <c r="B762" s="179"/>
      <c r="C762" s="179"/>
      <c r="D762" s="179"/>
      <c r="E762" s="179"/>
      <c r="F762" s="179"/>
      <c r="G762" s="179"/>
      <c r="H762" s="179"/>
      <c r="I762" s="179"/>
      <c r="J762" s="179"/>
      <c r="K762" s="179"/>
      <c r="L762" s="179"/>
      <c r="M762" s="179"/>
      <c r="N762" s="179"/>
      <c r="O762" s="179"/>
      <c r="P762" s="179"/>
      <c r="Q762" s="179"/>
      <c r="R762" s="179"/>
      <c r="S762" s="179"/>
    </row>
    <row r="763" ht="14.25" customHeight="1">
      <c r="A763" s="179"/>
      <c r="B763" s="179"/>
      <c r="C763" s="179"/>
      <c r="D763" s="179"/>
      <c r="E763" s="179"/>
      <c r="F763" s="179"/>
      <c r="G763" s="179"/>
      <c r="H763" s="179"/>
      <c r="I763" s="179"/>
      <c r="J763" s="179"/>
      <c r="K763" s="179"/>
      <c r="L763" s="179"/>
      <c r="M763" s="179"/>
      <c r="N763" s="179"/>
      <c r="O763" s="179"/>
      <c r="P763" s="179"/>
      <c r="Q763" s="179"/>
      <c r="R763" s="179"/>
      <c r="S763" s="179"/>
    </row>
    <row r="764" ht="14.25" customHeight="1">
      <c r="A764" s="179"/>
      <c r="B764" s="179"/>
      <c r="C764" s="179"/>
      <c r="D764" s="179"/>
      <c r="E764" s="179"/>
      <c r="F764" s="179"/>
      <c r="G764" s="179"/>
      <c r="H764" s="179"/>
      <c r="I764" s="179"/>
      <c r="J764" s="179"/>
      <c r="K764" s="179"/>
      <c r="L764" s="179"/>
      <c r="M764" s="179"/>
      <c r="N764" s="179"/>
      <c r="O764" s="179"/>
      <c r="P764" s="179"/>
      <c r="Q764" s="179"/>
      <c r="R764" s="179"/>
      <c r="S764" s="179"/>
    </row>
    <row r="765" ht="14.25" customHeight="1">
      <c r="A765" s="179"/>
      <c r="B765" s="179"/>
      <c r="C765" s="179"/>
      <c r="D765" s="179"/>
      <c r="E765" s="179"/>
      <c r="F765" s="179"/>
      <c r="G765" s="179"/>
      <c r="H765" s="179"/>
      <c r="I765" s="179"/>
      <c r="J765" s="179"/>
      <c r="K765" s="179"/>
      <c r="L765" s="179"/>
      <c r="M765" s="179"/>
      <c r="N765" s="179"/>
      <c r="O765" s="179"/>
      <c r="P765" s="179"/>
      <c r="Q765" s="179"/>
      <c r="R765" s="179"/>
      <c r="S765" s="179"/>
    </row>
    <row r="766" ht="14.25" customHeight="1">
      <c r="A766" s="179"/>
      <c r="B766" s="179"/>
      <c r="C766" s="179"/>
      <c r="D766" s="179"/>
      <c r="E766" s="179"/>
      <c r="F766" s="179"/>
      <c r="G766" s="179"/>
      <c r="H766" s="179"/>
      <c r="I766" s="179"/>
      <c r="J766" s="179"/>
      <c r="K766" s="179"/>
      <c r="L766" s="179"/>
      <c r="M766" s="179"/>
      <c r="N766" s="179"/>
      <c r="O766" s="179"/>
      <c r="P766" s="179"/>
      <c r="Q766" s="179"/>
      <c r="R766" s="179"/>
      <c r="S766" s="179"/>
    </row>
    <row r="767" ht="14.25" customHeight="1">
      <c r="A767" s="179"/>
      <c r="B767" s="179"/>
      <c r="C767" s="179"/>
      <c r="D767" s="179"/>
      <c r="E767" s="179"/>
      <c r="F767" s="179"/>
      <c r="G767" s="179"/>
      <c r="H767" s="179"/>
      <c r="I767" s="179"/>
      <c r="J767" s="179"/>
      <c r="K767" s="179"/>
      <c r="L767" s="179"/>
      <c r="M767" s="179"/>
      <c r="N767" s="179"/>
      <c r="O767" s="179"/>
      <c r="P767" s="179"/>
      <c r="Q767" s="179"/>
      <c r="R767" s="179"/>
      <c r="S767" s="179"/>
    </row>
    <row r="768" ht="14.25" customHeight="1">
      <c r="A768" s="179"/>
      <c r="B768" s="179"/>
      <c r="C768" s="179"/>
      <c r="D768" s="179"/>
      <c r="E768" s="179"/>
      <c r="F768" s="179"/>
      <c r="G768" s="179"/>
      <c r="H768" s="179"/>
      <c r="I768" s="179"/>
      <c r="J768" s="179"/>
      <c r="K768" s="179"/>
      <c r="L768" s="179"/>
      <c r="M768" s="179"/>
      <c r="N768" s="179"/>
      <c r="O768" s="179"/>
      <c r="P768" s="179"/>
      <c r="Q768" s="179"/>
      <c r="R768" s="179"/>
      <c r="S768" s="179"/>
    </row>
    <row r="769" ht="14.25" customHeight="1">
      <c r="A769" s="179"/>
      <c r="B769" s="179"/>
      <c r="C769" s="179"/>
      <c r="D769" s="179"/>
      <c r="E769" s="179"/>
      <c r="F769" s="179"/>
      <c r="G769" s="179"/>
      <c r="H769" s="179"/>
      <c r="I769" s="179"/>
      <c r="J769" s="179"/>
      <c r="K769" s="179"/>
      <c r="L769" s="179"/>
      <c r="M769" s="179"/>
      <c r="N769" s="179"/>
      <c r="O769" s="179"/>
      <c r="P769" s="179"/>
      <c r="Q769" s="179"/>
      <c r="R769" s="179"/>
      <c r="S769" s="179"/>
    </row>
    <row r="770" ht="14.25" customHeight="1">
      <c r="A770" s="179"/>
      <c r="B770" s="179"/>
      <c r="C770" s="179"/>
      <c r="D770" s="179"/>
      <c r="E770" s="179"/>
      <c r="F770" s="179"/>
      <c r="G770" s="179"/>
      <c r="H770" s="179"/>
      <c r="I770" s="179"/>
      <c r="J770" s="179"/>
      <c r="K770" s="179"/>
      <c r="L770" s="179"/>
      <c r="M770" s="179"/>
      <c r="N770" s="179"/>
      <c r="O770" s="179"/>
      <c r="P770" s="179"/>
      <c r="Q770" s="179"/>
      <c r="R770" s="179"/>
      <c r="S770" s="179"/>
    </row>
    <row r="771" ht="14.25" customHeight="1">
      <c r="A771" s="179"/>
      <c r="B771" s="179"/>
      <c r="C771" s="179"/>
      <c r="D771" s="179"/>
      <c r="E771" s="179"/>
      <c r="F771" s="179"/>
      <c r="G771" s="179"/>
      <c r="H771" s="179"/>
      <c r="I771" s="179"/>
      <c r="J771" s="179"/>
      <c r="K771" s="179"/>
      <c r="L771" s="179"/>
      <c r="M771" s="179"/>
      <c r="N771" s="179"/>
      <c r="O771" s="179"/>
      <c r="P771" s="179"/>
      <c r="Q771" s="179"/>
      <c r="R771" s="179"/>
      <c r="S771" s="179"/>
    </row>
    <row r="772" ht="14.25" customHeight="1">
      <c r="A772" s="179"/>
      <c r="B772" s="179"/>
      <c r="C772" s="179"/>
      <c r="D772" s="179"/>
      <c r="E772" s="179"/>
      <c r="F772" s="179"/>
      <c r="G772" s="179"/>
      <c r="H772" s="179"/>
      <c r="I772" s="179"/>
      <c r="J772" s="179"/>
      <c r="K772" s="179"/>
      <c r="L772" s="179"/>
      <c r="M772" s="179"/>
      <c r="N772" s="179"/>
      <c r="O772" s="179"/>
      <c r="P772" s="179"/>
      <c r="Q772" s="179"/>
      <c r="R772" s="179"/>
      <c r="S772" s="179"/>
    </row>
    <row r="773" ht="14.25" customHeight="1">
      <c r="A773" s="179"/>
      <c r="B773" s="179"/>
      <c r="C773" s="179"/>
      <c r="D773" s="179"/>
      <c r="E773" s="179"/>
      <c r="F773" s="179"/>
      <c r="G773" s="179"/>
      <c r="H773" s="179"/>
      <c r="I773" s="179"/>
      <c r="J773" s="179"/>
      <c r="K773" s="179"/>
      <c r="L773" s="179"/>
      <c r="M773" s="179"/>
      <c r="N773" s="179"/>
      <c r="O773" s="179"/>
      <c r="P773" s="179"/>
      <c r="Q773" s="179"/>
      <c r="R773" s="179"/>
      <c r="S773" s="179"/>
    </row>
    <row r="774" ht="14.25" customHeight="1">
      <c r="A774" s="179"/>
      <c r="B774" s="179"/>
      <c r="C774" s="179"/>
      <c r="D774" s="179"/>
      <c r="E774" s="179"/>
      <c r="F774" s="179"/>
      <c r="G774" s="179"/>
      <c r="H774" s="179"/>
      <c r="I774" s="179"/>
      <c r="J774" s="179"/>
      <c r="K774" s="179"/>
      <c r="L774" s="179"/>
      <c r="M774" s="179"/>
      <c r="N774" s="179"/>
      <c r="O774" s="179"/>
      <c r="P774" s="179"/>
      <c r="Q774" s="179"/>
      <c r="R774" s="179"/>
      <c r="S774" s="179"/>
    </row>
    <row r="775" ht="14.25" customHeight="1">
      <c r="A775" s="179"/>
      <c r="B775" s="179"/>
      <c r="C775" s="179"/>
      <c r="D775" s="179"/>
      <c r="E775" s="179"/>
      <c r="F775" s="179"/>
      <c r="G775" s="179"/>
      <c r="H775" s="179"/>
      <c r="I775" s="179"/>
      <c r="J775" s="179"/>
      <c r="K775" s="179"/>
      <c r="L775" s="179"/>
      <c r="M775" s="179"/>
      <c r="N775" s="179"/>
      <c r="O775" s="179"/>
      <c r="P775" s="179"/>
      <c r="Q775" s="179"/>
      <c r="R775" s="179"/>
      <c r="S775" s="179"/>
    </row>
    <row r="776" ht="14.25" customHeight="1">
      <c r="A776" s="179"/>
      <c r="B776" s="179"/>
      <c r="C776" s="179"/>
      <c r="D776" s="179"/>
      <c r="E776" s="179"/>
      <c r="F776" s="179"/>
      <c r="G776" s="179"/>
      <c r="H776" s="179"/>
      <c r="I776" s="179"/>
      <c r="J776" s="179"/>
      <c r="K776" s="179"/>
      <c r="L776" s="179"/>
      <c r="M776" s="179"/>
      <c r="N776" s="179"/>
      <c r="O776" s="179"/>
      <c r="P776" s="179"/>
      <c r="Q776" s="179"/>
      <c r="R776" s="179"/>
      <c r="S776" s="179"/>
    </row>
    <row r="777" ht="14.25" customHeight="1">
      <c r="A777" s="179"/>
      <c r="B777" s="179"/>
      <c r="C777" s="179"/>
      <c r="D777" s="179"/>
      <c r="E777" s="179"/>
      <c r="F777" s="179"/>
      <c r="G777" s="179"/>
      <c r="H777" s="179"/>
      <c r="I777" s="179"/>
      <c r="J777" s="179"/>
      <c r="K777" s="179"/>
      <c r="L777" s="179"/>
      <c r="M777" s="179"/>
      <c r="N777" s="179"/>
      <c r="O777" s="179"/>
      <c r="P777" s="179"/>
      <c r="Q777" s="179"/>
      <c r="R777" s="179"/>
      <c r="S777" s="179"/>
    </row>
    <row r="778" ht="14.25" customHeight="1">
      <c r="A778" s="179"/>
      <c r="B778" s="179"/>
      <c r="C778" s="179"/>
      <c r="D778" s="179"/>
      <c r="E778" s="179"/>
      <c r="F778" s="179"/>
      <c r="G778" s="179"/>
      <c r="H778" s="179"/>
      <c r="I778" s="179"/>
      <c r="J778" s="179"/>
      <c r="K778" s="179"/>
      <c r="L778" s="179"/>
      <c r="M778" s="179"/>
      <c r="N778" s="179"/>
      <c r="O778" s="179"/>
      <c r="P778" s="179"/>
      <c r="Q778" s="179"/>
      <c r="R778" s="179"/>
      <c r="S778" s="179"/>
    </row>
    <row r="779" ht="14.25" customHeight="1">
      <c r="A779" s="179"/>
      <c r="B779" s="179"/>
      <c r="C779" s="179"/>
      <c r="D779" s="179"/>
      <c r="E779" s="179"/>
      <c r="F779" s="179"/>
      <c r="G779" s="179"/>
      <c r="H779" s="179"/>
      <c r="I779" s="179"/>
      <c r="J779" s="179"/>
      <c r="K779" s="179"/>
      <c r="L779" s="179"/>
      <c r="M779" s="179"/>
      <c r="N779" s="179"/>
      <c r="O779" s="179"/>
      <c r="P779" s="179"/>
      <c r="Q779" s="179"/>
      <c r="R779" s="179"/>
      <c r="S779" s="179"/>
    </row>
    <row r="780" ht="14.25" customHeight="1">
      <c r="A780" s="179"/>
      <c r="B780" s="179"/>
      <c r="C780" s="179"/>
      <c r="D780" s="179"/>
      <c r="E780" s="179"/>
      <c r="F780" s="179"/>
      <c r="G780" s="179"/>
      <c r="H780" s="179"/>
      <c r="I780" s="179"/>
      <c r="J780" s="179"/>
      <c r="K780" s="179"/>
      <c r="L780" s="179"/>
      <c r="M780" s="179"/>
      <c r="N780" s="179"/>
      <c r="O780" s="179"/>
      <c r="P780" s="179"/>
      <c r="Q780" s="179"/>
      <c r="R780" s="179"/>
      <c r="S780" s="179"/>
    </row>
    <row r="781" ht="14.25" customHeight="1">
      <c r="A781" s="179"/>
      <c r="B781" s="179"/>
      <c r="C781" s="179"/>
      <c r="D781" s="179"/>
      <c r="E781" s="179"/>
      <c r="F781" s="179"/>
      <c r="G781" s="179"/>
      <c r="H781" s="179"/>
      <c r="I781" s="179"/>
      <c r="J781" s="179"/>
      <c r="K781" s="179"/>
      <c r="L781" s="179"/>
      <c r="M781" s="179"/>
      <c r="N781" s="179"/>
      <c r="O781" s="179"/>
      <c r="P781" s="179"/>
      <c r="Q781" s="179"/>
      <c r="R781" s="179"/>
      <c r="S781" s="179"/>
    </row>
    <row r="782" ht="14.25" customHeight="1">
      <c r="A782" s="179"/>
      <c r="B782" s="179"/>
      <c r="C782" s="179"/>
      <c r="D782" s="179"/>
      <c r="E782" s="179"/>
      <c r="F782" s="179"/>
      <c r="G782" s="179"/>
      <c r="H782" s="179"/>
      <c r="I782" s="179"/>
      <c r="J782" s="179"/>
      <c r="K782" s="179"/>
      <c r="L782" s="179"/>
      <c r="M782" s="179"/>
      <c r="N782" s="179"/>
      <c r="O782" s="179"/>
      <c r="P782" s="179"/>
      <c r="Q782" s="179"/>
      <c r="R782" s="179"/>
      <c r="S782" s="179"/>
    </row>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pane ySplit="3.0" topLeftCell="A4" activePane="bottomLeft" state="frozen"/>
      <selection activeCell="B5" sqref="B5" pane="bottomLeft"/>
    </sheetView>
  </sheetViews>
  <sheetFormatPr customHeight="1" defaultColWidth="14.43" defaultRowHeight="15.0"/>
  <cols>
    <col customWidth="1" hidden="1" min="1" max="1" width="10.43"/>
    <col customWidth="1" hidden="1" min="2" max="2" width="8.71"/>
    <col customWidth="1" hidden="1" min="3" max="3" width="37.86"/>
    <col customWidth="1" min="4" max="4" width="27.0"/>
    <col customWidth="1" hidden="1" min="5" max="5" width="27.0"/>
    <col customWidth="1" min="6" max="6" width="90.29"/>
    <col customWidth="1" min="7" max="20" width="8.71"/>
  </cols>
  <sheetData>
    <row r="1" ht="14.25" customHeight="1"/>
    <row r="2" ht="14.25" customHeight="1"/>
    <row r="3" ht="52.5" customHeight="1">
      <c r="A3" s="186" t="s">
        <v>1442</v>
      </c>
      <c r="B3" s="186" t="s">
        <v>1443</v>
      </c>
      <c r="C3" s="186" t="s">
        <v>151</v>
      </c>
      <c r="D3" s="186" t="s">
        <v>77</v>
      </c>
      <c r="E3" s="186" t="s">
        <v>1445</v>
      </c>
      <c r="F3" s="186" t="s">
        <v>1446</v>
      </c>
      <c r="G3" s="187"/>
      <c r="H3" s="187"/>
      <c r="I3" s="187"/>
      <c r="J3" s="187"/>
      <c r="K3" s="187"/>
      <c r="L3" s="187"/>
      <c r="M3" s="187"/>
      <c r="N3" s="187"/>
      <c r="O3" s="187"/>
      <c r="P3" s="187"/>
      <c r="Q3" s="187"/>
      <c r="R3" s="187"/>
      <c r="S3" s="187"/>
      <c r="T3" s="187"/>
    </row>
    <row r="4" ht="15.0" customHeight="1">
      <c r="A4" s="188"/>
      <c r="B4" s="189"/>
      <c r="C4" s="189" t="s">
        <v>1541</v>
      </c>
      <c r="D4" s="189" t="s">
        <v>1542</v>
      </c>
      <c r="E4" s="189" t="s">
        <v>1448</v>
      </c>
      <c r="F4" s="190" t="s">
        <v>1544</v>
      </c>
    </row>
    <row r="5" ht="15.0" customHeight="1">
      <c r="A5" s="188"/>
      <c r="B5" s="189"/>
      <c r="C5" s="189" t="str">
        <f t="shared" ref="C5:C119" si="1">C4</f>
        <v>Perencanaan dan Penganggaran</v>
      </c>
      <c r="D5" s="189" t="s">
        <v>1542</v>
      </c>
      <c r="E5" s="189" t="s">
        <v>1448</v>
      </c>
      <c r="F5" s="189" t="s">
        <v>1547</v>
      </c>
    </row>
    <row r="6" ht="15.0" customHeight="1">
      <c r="A6" s="188"/>
      <c r="B6" s="189"/>
      <c r="C6" s="189" t="str">
        <f t="shared" si="1"/>
        <v>Perencanaan dan Penganggaran</v>
      </c>
      <c r="D6" s="189" t="s">
        <v>1542</v>
      </c>
      <c r="E6" s="189" t="s">
        <v>1448</v>
      </c>
      <c r="F6" s="189" t="s">
        <v>1548</v>
      </c>
    </row>
    <row r="7" ht="15.0" customHeight="1">
      <c r="A7" s="188"/>
      <c r="B7" s="189"/>
      <c r="C7" s="189" t="str">
        <f t="shared" si="1"/>
        <v>Perencanaan dan Penganggaran</v>
      </c>
      <c r="D7" s="189" t="s">
        <v>1542</v>
      </c>
      <c r="E7" s="189" t="s">
        <v>1448</v>
      </c>
      <c r="F7" s="189" t="s">
        <v>1550</v>
      </c>
    </row>
    <row r="8" ht="15.0" customHeight="1">
      <c r="A8" s="188"/>
      <c r="B8" s="189"/>
      <c r="C8" s="189" t="str">
        <f t="shared" si="1"/>
        <v>Perencanaan dan Penganggaran</v>
      </c>
      <c r="D8" s="189" t="s">
        <v>1542</v>
      </c>
      <c r="E8" s="189" t="s">
        <v>1448</v>
      </c>
      <c r="F8" s="189" t="s">
        <v>1551</v>
      </c>
    </row>
    <row r="9" ht="15.0" customHeight="1">
      <c r="A9" s="188"/>
      <c r="B9" s="189"/>
      <c r="C9" s="189" t="str">
        <f t="shared" si="1"/>
        <v>Perencanaan dan Penganggaran</v>
      </c>
      <c r="D9" s="189" t="s">
        <v>1542</v>
      </c>
      <c r="E9" s="189" t="s">
        <v>1448</v>
      </c>
      <c r="F9" s="189" t="s">
        <v>1553</v>
      </c>
    </row>
    <row r="10" ht="15.0" customHeight="1">
      <c r="A10" s="188"/>
      <c r="B10" s="189"/>
      <c r="C10" s="189" t="str">
        <f t="shared" si="1"/>
        <v>Perencanaan dan Penganggaran</v>
      </c>
      <c r="D10" s="189" t="s">
        <v>1542</v>
      </c>
      <c r="E10" s="189" t="s">
        <v>1448</v>
      </c>
      <c r="F10" s="189" t="s">
        <v>1555</v>
      </c>
    </row>
    <row r="11" ht="15.0" customHeight="1">
      <c r="A11" s="188"/>
      <c r="B11" s="189"/>
      <c r="C11" s="189" t="str">
        <f t="shared" si="1"/>
        <v>Perencanaan dan Penganggaran</v>
      </c>
      <c r="D11" s="189" t="s">
        <v>1542</v>
      </c>
      <c r="E11" s="189" t="s">
        <v>1448</v>
      </c>
      <c r="F11" s="189" t="s">
        <v>1557</v>
      </c>
    </row>
    <row r="12" ht="15.0" customHeight="1">
      <c r="A12" s="188"/>
      <c r="B12" s="189"/>
      <c r="C12" s="189" t="str">
        <f t="shared" si="1"/>
        <v>Perencanaan dan Penganggaran</v>
      </c>
      <c r="D12" s="189" t="s">
        <v>1542</v>
      </c>
      <c r="E12" s="189" t="s">
        <v>1448</v>
      </c>
      <c r="F12" s="189" t="s">
        <v>1558</v>
      </c>
    </row>
    <row r="13" ht="15.0" customHeight="1">
      <c r="A13" s="188"/>
      <c r="B13" s="189"/>
      <c r="C13" s="189" t="str">
        <f t="shared" si="1"/>
        <v>Perencanaan dan Penganggaran</v>
      </c>
      <c r="D13" s="189" t="s">
        <v>1542</v>
      </c>
      <c r="E13" s="189" t="s">
        <v>1448</v>
      </c>
      <c r="F13" s="189" t="s">
        <v>1560</v>
      </c>
    </row>
    <row r="14" ht="15.0" customHeight="1">
      <c r="A14" s="188"/>
      <c r="B14" s="189"/>
      <c r="C14" s="189" t="str">
        <f t="shared" si="1"/>
        <v>Perencanaan dan Penganggaran</v>
      </c>
      <c r="D14" s="189" t="s">
        <v>1542</v>
      </c>
      <c r="E14" s="189" t="s">
        <v>1448</v>
      </c>
      <c r="F14" s="190" t="s">
        <v>1562</v>
      </c>
    </row>
    <row r="15" ht="15.0" customHeight="1">
      <c r="A15" s="188"/>
      <c r="B15" s="189"/>
      <c r="C15" s="189" t="str">
        <f t="shared" si="1"/>
        <v>Perencanaan dan Penganggaran</v>
      </c>
      <c r="D15" s="189" t="s">
        <v>1542</v>
      </c>
      <c r="E15" s="189" t="s">
        <v>1448</v>
      </c>
      <c r="F15" s="189" t="s">
        <v>1564</v>
      </c>
    </row>
    <row r="16" ht="15.0" customHeight="1">
      <c r="A16" s="188"/>
      <c r="B16" s="189"/>
      <c r="C16" s="189" t="str">
        <f t="shared" si="1"/>
        <v>Perencanaan dan Penganggaran</v>
      </c>
      <c r="D16" s="189" t="s">
        <v>1542</v>
      </c>
      <c r="E16" s="189" t="s">
        <v>1448</v>
      </c>
      <c r="F16" s="189" t="s">
        <v>1566</v>
      </c>
    </row>
    <row r="17" ht="15.0" customHeight="1">
      <c r="A17" s="188"/>
      <c r="B17" s="189"/>
      <c r="C17" s="189" t="str">
        <f t="shared" si="1"/>
        <v>Perencanaan dan Penganggaran</v>
      </c>
      <c r="D17" s="189" t="s">
        <v>1542</v>
      </c>
      <c r="E17" s="189" t="s">
        <v>1448</v>
      </c>
      <c r="F17" s="189" t="s">
        <v>1567</v>
      </c>
    </row>
    <row r="18" ht="15.0" customHeight="1">
      <c r="A18" s="188"/>
      <c r="B18" s="189"/>
      <c r="C18" s="189" t="str">
        <f t="shared" si="1"/>
        <v>Perencanaan dan Penganggaran</v>
      </c>
      <c r="D18" s="189" t="s">
        <v>1542</v>
      </c>
      <c r="E18" s="189" t="s">
        <v>1448</v>
      </c>
      <c r="F18" s="190" t="s">
        <v>1569</v>
      </c>
    </row>
    <row r="19" ht="15.0" customHeight="1">
      <c r="A19" s="188"/>
      <c r="B19" s="189"/>
      <c r="C19" s="189" t="str">
        <f t="shared" si="1"/>
        <v>Perencanaan dan Penganggaran</v>
      </c>
      <c r="D19" s="189" t="s">
        <v>1542</v>
      </c>
      <c r="E19" s="189" t="s">
        <v>1448</v>
      </c>
      <c r="F19" s="189" t="s">
        <v>1571</v>
      </c>
    </row>
    <row r="20" ht="15.0" customHeight="1">
      <c r="A20" s="188"/>
      <c r="B20" s="189"/>
      <c r="C20" s="189" t="str">
        <f t="shared" si="1"/>
        <v>Perencanaan dan Penganggaran</v>
      </c>
      <c r="D20" s="189" t="s">
        <v>1542</v>
      </c>
      <c r="E20" s="189" t="s">
        <v>1448</v>
      </c>
      <c r="F20" s="189" t="s">
        <v>1548</v>
      </c>
    </row>
    <row r="21" ht="15.0" customHeight="1">
      <c r="A21" s="188"/>
      <c r="B21" s="189"/>
      <c r="C21" s="189" t="str">
        <f t="shared" si="1"/>
        <v>Perencanaan dan Penganggaran</v>
      </c>
      <c r="D21" s="189" t="s">
        <v>1542</v>
      </c>
      <c r="E21" s="189" t="s">
        <v>1448</v>
      </c>
      <c r="F21" s="189" t="s">
        <v>1550</v>
      </c>
    </row>
    <row r="22" ht="15.0" customHeight="1">
      <c r="A22" s="188"/>
      <c r="B22" s="189"/>
      <c r="C22" s="189" t="str">
        <f t="shared" si="1"/>
        <v>Perencanaan dan Penganggaran</v>
      </c>
      <c r="D22" s="189" t="s">
        <v>1542</v>
      </c>
      <c r="E22" s="189" t="s">
        <v>1448</v>
      </c>
      <c r="F22" s="189" t="s">
        <v>1551</v>
      </c>
    </row>
    <row r="23" ht="15.0" customHeight="1">
      <c r="A23" s="188"/>
      <c r="B23" s="189"/>
      <c r="C23" s="189" t="str">
        <f t="shared" si="1"/>
        <v>Perencanaan dan Penganggaran</v>
      </c>
      <c r="D23" s="189" t="s">
        <v>1542</v>
      </c>
      <c r="E23" s="189" t="s">
        <v>1448</v>
      </c>
      <c r="F23" s="189" t="s">
        <v>1553</v>
      </c>
    </row>
    <row r="24" ht="15.0" customHeight="1">
      <c r="A24" s="188"/>
      <c r="B24" s="189"/>
      <c r="C24" s="189" t="str">
        <f t="shared" si="1"/>
        <v>Perencanaan dan Penganggaran</v>
      </c>
      <c r="D24" s="189" t="s">
        <v>1542</v>
      </c>
      <c r="E24" s="189" t="s">
        <v>1448</v>
      </c>
      <c r="F24" s="189" t="s">
        <v>1555</v>
      </c>
    </row>
    <row r="25" ht="15.0" customHeight="1">
      <c r="A25" s="188"/>
      <c r="B25" s="189"/>
      <c r="C25" s="189" t="str">
        <f t="shared" si="1"/>
        <v>Perencanaan dan Penganggaran</v>
      </c>
      <c r="D25" s="189" t="s">
        <v>1542</v>
      </c>
      <c r="E25" s="189" t="s">
        <v>1448</v>
      </c>
      <c r="F25" s="189" t="s">
        <v>1557</v>
      </c>
    </row>
    <row r="26" ht="15.0" customHeight="1">
      <c r="A26" s="188"/>
      <c r="B26" s="189"/>
      <c r="C26" s="189" t="str">
        <f t="shared" si="1"/>
        <v>Perencanaan dan Penganggaran</v>
      </c>
      <c r="D26" s="189" t="s">
        <v>1542</v>
      </c>
      <c r="E26" s="189" t="s">
        <v>1448</v>
      </c>
      <c r="F26" s="189" t="s">
        <v>1572</v>
      </c>
    </row>
    <row r="27" ht="15.0" customHeight="1">
      <c r="A27" s="188"/>
      <c r="B27" s="189"/>
      <c r="C27" s="189" t="str">
        <f t="shared" si="1"/>
        <v>Perencanaan dan Penganggaran</v>
      </c>
      <c r="D27" s="189" t="s">
        <v>1573</v>
      </c>
      <c r="E27" s="189" t="s">
        <v>1448</v>
      </c>
      <c r="F27" s="190" t="s">
        <v>1574</v>
      </c>
    </row>
    <row r="28" ht="15.0" customHeight="1">
      <c r="A28" s="188"/>
      <c r="B28" s="189"/>
      <c r="C28" s="189" t="str">
        <f t="shared" si="1"/>
        <v>Perencanaan dan Penganggaran</v>
      </c>
      <c r="D28" s="189" t="s">
        <v>1573</v>
      </c>
      <c r="E28" s="189" t="s">
        <v>1448</v>
      </c>
      <c r="F28" s="189" t="s">
        <v>1575</v>
      </c>
    </row>
    <row r="29" ht="15.0" customHeight="1">
      <c r="A29" s="188"/>
      <c r="B29" s="189"/>
      <c r="C29" s="189" t="str">
        <f t="shared" si="1"/>
        <v>Perencanaan dan Penganggaran</v>
      </c>
      <c r="D29" s="189" t="s">
        <v>1573</v>
      </c>
      <c r="E29" s="189" t="s">
        <v>1448</v>
      </c>
      <c r="F29" s="189" t="s">
        <v>1576</v>
      </c>
    </row>
    <row r="30" ht="15.0" customHeight="1">
      <c r="A30" s="188"/>
      <c r="B30" s="189"/>
      <c r="C30" s="189" t="str">
        <f t="shared" si="1"/>
        <v>Perencanaan dan Penganggaran</v>
      </c>
      <c r="D30" s="189" t="s">
        <v>1573</v>
      </c>
      <c r="E30" s="189" t="s">
        <v>1448</v>
      </c>
      <c r="F30" s="189" t="s">
        <v>1577</v>
      </c>
    </row>
    <row r="31" ht="15.0" customHeight="1">
      <c r="A31" s="188"/>
      <c r="B31" s="189"/>
      <c r="C31" s="189" t="str">
        <f t="shared" si="1"/>
        <v>Perencanaan dan Penganggaran</v>
      </c>
      <c r="D31" s="189" t="s">
        <v>1573</v>
      </c>
      <c r="E31" s="189" t="s">
        <v>1448</v>
      </c>
      <c r="F31" s="189" t="s">
        <v>1578</v>
      </c>
    </row>
    <row r="32" ht="15.0" customHeight="1">
      <c r="A32" s="188"/>
      <c r="B32" s="189"/>
      <c r="C32" s="189" t="str">
        <f t="shared" si="1"/>
        <v>Perencanaan dan Penganggaran</v>
      </c>
      <c r="D32" s="189" t="s">
        <v>1573</v>
      </c>
      <c r="E32" s="189" t="s">
        <v>1448</v>
      </c>
      <c r="F32" s="189" t="s">
        <v>1579</v>
      </c>
    </row>
    <row r="33" ht="15.0" customHeight="1">
      <c r="A33" s="188"/>
      <c r="B33" s="189"/>
      <c r="C33" s="189" t="str">
        <f t="shared" si="1"/>
        <v>Perencanaan dan Penganggaran</v>
      </c>
      <c r="D33" s="189" t="s">
        <v>1573</v>
      </c>
      <c r="E33" s="189" t="s">
        <v>1448</v>
      </c>
      <c r="F33" s="189" t="s">
        <v>1580</v>
      </c>
    </row>
    <row r="34" ht="15.0" customHeight="1">
      <c r="A34" s="188"/>
      <c r="B34" s="189"/>
      <c r="C34" s="189" t="str">
        <f t="shared" si="1"/>
        <v>Perencanaan dan Penganggaran</v>
      </c>
      <c r="D34" s="189" t="s">
        <v>1573</v>
      </c>
      <c r="E34" s="189" t="s">
        <v>1448</v>
      </c>
      <c r="F34" s="189" t="s">
        <v>1581</v>
      </c>
    </row>
    <row r="35" ht="15.0" customHeight="1">
      <c r="A35" s="188"/>
      <c r="B35" s="189"/>
      <c r="C35" s="189" t="str">
        <f t="shared" si="1"/>
        <v>Perencanaan dan Penganggaran</v>
      </c>
      <c r="D35" s="189" t="s">
        <v>1573</v>
      </c>
      <c r="E35" s="189" t="s">
        <v>1448</v>
      </c>
      <c r="F35" s="189" t="s">
        <v>1582</v>
      </c>
    </row>
    <row r="36" ht="15.0" customHeight="1">
      <c r="A36" s="188"/>
      <c r="B36" s="189"/>
      <c r="C36" s="189" t="str">
        <f t="shared" si="1"/>
        <v>Perencanaan dan Penganggaran</v>
      </c>
      <c r="D36" s="189" t="s">
        <v>1573</v>
      </c>
      <c r="E36" s="189" t="s">
        <v>1448</v>
      </c>
      <c r="F36" s="189" t="s">
        <v>1583</v>
      </c>
    </row>
    <row r="37" ht="15.0" customHeight="1">
      <c r="A37" s="188"/>
      <c r="B37" s="189"/>
      <c r="C37" s="189" t="str">
        <f t="shared" si="1"/>
        <v>Perencanaan dan Penganggaran</v>
      </c>
      <c r="D37" s="189" t="s">
        <v>1573</v>
      </c>
      <c r="E37" s="189" t="s">
        <v>1448</v>
      </c>
      <c r="F37" s="189" t="s">
        <v>1584</v>
      </c>
    </row>
    <row r="38" ht="15.0" customHeight="1">
      <c r="A38" s="188"/>
      <c r="B38" s="189"/>
      <c r="C38" s="189" t="str">
        <f t="shared" si="1"/>
        <v>Perencanaan dan Penganggaran</v>
      </c>
      <c r="D38" s="189" t="s">
        <v>1573</v>
      </c>
      <c r="E38" s="189" t="s">
        <v>1448</v>
      </c>
      <c r="F38" s="190" t="s">
        <v>1586</v>
      </c>
    </row>
    <row r="39" ht="15.0" customHeight="1">
      <c r="A39" s="188"/>
      <c r="B39" s="189"/>
      <c r="C39" s="189" t="str">
        <f t="shared" si="1"/>
        <v>Perencanaan dan Penganggaran</v>
      </c>
      <c r="D39" s="189" t="s">
        <v>1573</v>
      </c>
      <c r="E39" s="189" t="s">
        <v>1448</v>
      </c>
      <c r="F39" s="189" t="s">
        <v>1587</v>
      </c>
    </row>
    <row r="40" ht="15.0" customHeight="1">
      <c r="A40" s="188"/>
      <c r="B40" s="189"/>
      <c r="C40" s="189" t="str">
        <f t="shared" si="1"/>
        <v>Perencanaan dan Penganggaran</v>
      </c>
      <c r="D40" s="189" t="s">
        <v>1573</v>
      </c>
      <c r="E40" s="189" t="s">
        <v>1448</v>
      </c>
      <c r="F40" s="189" t="s">
        <v>1588</v>
      </c>
    </row>
    <row r="41" ht="15.0" customHeight="1">
      <c r="A41" s="188"/>
      <c r="B41" s="189"/>
      <c r="C41" s="189" t="str">
        <f t="shared" si="1"/>
        <v>Perencanaan dan Penganggaran</v>
      </c>
      <c r="D41" s="189" t="s">
        <v>1573</v>
      </c>
      <c r="E41" s="189" t="s">
        <v>1448</v>
      </c>
      <c r="F41" s="189" t="s">
        <v>1589</v>
      </c>
    </row>
    <row r="42" ht="15.0" customHeight="1">
      <c r="A42" s="188"/>
      <c r="B42" s="189"/>
      <c r="C42" s="189" t="str">
        <f t="shared" si="1"/>
        <v>Perencanaan dan Penganggaran</v>
      </c>
      <c r="D42" s="189" t="s">
        <v>1573</v>
      </c>
      <c r="E42" s="189" t="s">
        <v>1448</v>
      </c>
      <c r="F42" s="189" t="s">
        <v>1590</v>
      </c>
    </row>
    <row r="43" ht="15.0" customHeight="1">
      <c r="A43" s="188"/>
      <c r="B43" s="189"/>
      <c r="C43" s="189" t="str">
        <f t="shared" si="1"/>
        <v>Perencanaan dan Penganggaran</v>
      </c>
      <c r="D43" s="189" t="s">
        <v>1573</v>
      </c>
      <c r="E43" s="189" t="s">
        <v>1448</v>
      </c>
      <c r="F43" s="189" t="s">
        <v>1591</v>
      </c>
    </row>
    <row r="44" ht="15.0" customHeight="1">
      <c r="A44" s="188"/>
      <c r="B44" s="189"/>
      <c r="C44" s="189" t="str">
        <f t="shared" si="1"/>
        <v>Perencanaan dan Penganggaran</v>
      </c>
      <c r="D44" s="189" t="s">
        <v>1573</v>
      </c>
      <c r="E44" s="189" t="s">
        <v>1448</v>
      </c>
      <c r="F44" s="189" t="s">
        <v>1592</v>
      </c>
    </row>
    <row r="45" ht="15.0" customHeight="1">
      <c r="A45" s="188"/>
      <c r="B45" s="189"/>
      <c r="C45" s="189" t="str">
        <f t="shared" si="1"/>
        <v>Perencanaan dan Penganggaran</v>
      </c>
      <c r="D45" s="189" t="s">
        <v>1573</v>
      </c>
      <c r="E45" s="189" t="s">
        <v>1448</v>
      </c>
      <c r="F45" s="189" t="s">
        <v>1593</v>
      </c>
    </row>
    <row r="46" ht="15.0" customHeight="1">
      <c r="A46" s="188"/>
      <c r="B46" s="189"/>
      <c r="C46" s="189" t="str">
        <f t="shared" si="1"/>
        <v>Perencanaan dan Penganggaran</v>
      </c>
      <c r="D46" s="189" t="s">
        <v>1573</v>
      </c>
      <c r="E46" s="189" t="s">
        <v>1448</v>
      </c>
      <c r="F46" s="189" t="s">
        <v>1594</v>
      </c>
    </row>
    <row r="47" ht="15.0" customHeight="1">
      <c r="A47" s="188"/>
      <c r="B47" s="189"/>
      <c r="C47" s="189" t="str">
        <f t="shared" si="1"/>
        <v>Perencanaan dan Penganggaran</v>
      </c>
      <c r="D47" s="189" t="s">
        <v>1573</v>
      </c>
      <c r="E47" s="189" t="s">
        <v>1448</v>
      </c>
      <c r="F47" s="189" t="s">
        <v>1560</v>
      </c>
    </row>
    <row r="48" ht="15.0" customHeight="1">
      <c r="A48" s="188"/>
      <c r="B48" s="189"/>
      <c r="C48" s="189" t="str">
        <f t="shared" si="1"/>
        <v>Perencanaan dan Penganggaran</v>
      </c>
      <c r="D48" s="189" t="s">
        <v>1595</v>
      </c>
      <c r="E48" s="189" t="s">
        <v>1448</v>
      </c>
      <c r="F48" s="190" t="s">
        <v>1596</v>
      </c>
    </row>
    <row r="49" ht="15.0" customHeight="1">
      <c r="A49" s="188"/>
      <c r="B49" s="189"/>
      <c r="C49" s="189" t="str">
        <f t="shared" si="1"/>
        <v>Perencanaan dan Penganggaran</v>
      </c>
      <c r="D49" s="189" t="s">
        <v>1595</v>
      </c>
      <c r="E49" s="189" t="s">
        <v>1448</v>
      </c>
      <c r="F49" s="189" t="s">
        <v>1597</v>
      </c>
    </row>
    <row r="50" ht="15.0" customHeight="1">
      <c r="A50" s="188"/>
      <c r="B50" s="189"/>
      <c r="C50" s="189" t="str">
        <f t="shared" si="1"/>
        <v>Perencanaan dan Penganggaran</v>
      </c>
      <c r="D50" s="189" t="s">
        <v>1595</v>
      </c>
      <c r="E50" s="189" t="s">
        <v>1448</v>
      </c>
      <c r="F50" s="189" t="s">
        <v>1576</v>
      </c>
    </row>
    <row r="51" ht="15.0" customHeight="1">
      <c r="A51" s="188"/>
      <c r="B51" s="189"/>
      <c r="C51" s="189" t="str">
        <f t="shared" si="1"/>
        <v>Perencanaan dan Penganggaran</v>
      </c>
      <c r="D51" s="189" t="s">
        <v>1595</v>
      </c>
      <c r="E51" s="189" t="s">
        <v>1448</v>
      </c>
      <c r="F51" s="189" t="s">
        <v>1598</v>
      </c>
    </row>
    <row r="52" ht="15.0" customHeight="1">
      <c r="A52" s="188"/>
      <c r="B52" s="189"/>
      <c r="C52" s="189" t="str">
        <f t="shared" si="1"/>
        <v>Perencanaan dan Penganggaran</v>
      </c>
      <c r="D52" s="189" t="s">
        <v>1595</v>
      </c>
      <c r="E52" s="189" t="s">
        <v>1448</v>
      </c>
      <c r="F52" s="189" t="s">
        <v>1578</v>
      </c>
    </row>
    <row r="53" ht="15.0" customHeight="1">
      <c r="A53" s="188"/>
      <c r="B53" s="189"/>
      <c r="C53" s="189" t="str">
        <f t="shared" si="1"/>
        <v>Perencanaan dan Penganggaran</v>
      </c>
      <c r="D53" s="189" t="s">
        <v>1595</v>
      </c>
      <c r="E53" s="189" t="s">
        <v>1448</v>
      </c>
      <c r="F53" s="189" t="s">
        <v>1599</v>
      </c>
    </row>
    <row r="54" ht="15.0" customHeight="1">
      <c r="A54" s="188"/>
      <c r="B54" s="189"/>
      <c r="C54" s="189" t="str">
        <f t="shared" si="1"/>
        <v>Perencanaan dan Penganggaran</v>
      </c>
      <c r="D54" s="189" t="s">
        <v>1595</v>
      </c>
      <c r="E54" s="189" t="s">
        <v>1448</v>
      </c>
      <c r="F54" s="189" t="s">
        <v>1583</v>
      </c>
    </row>
    <row r="55" ht="15.0" customHeight="1">
      <c r="A55" s="188"/>
      <c r="B55" s="189"/>
      <c r="C55" s="189" t="str">
        <f t="shared" si="1"/>
        <v>Perencanaan dan Penganggaran</v>
      </c>
      <c r="D55" s="189" t="s">
        <v>1595</v>
      </c>
      <c r="E55" s="189" t="s">
        <v>1448</v>
      </c>
      <c r="F55" s="189" t="s">
        <v>1584</v>
      </c>
    </row>
    <row r="56" ht="15.0" customHeight="1">
      <c r="A56" s="188"/>
      <c r="B56" s="189"/>
      <c r="C56" s="189" t="str">
        <f t="shared" si="1"/>
        <v>Perencanaan dan Penganggaran</v>
      </c>
      <c r="D56" s="189" t="s">
        <v>1595</v>
      </c>
      <c r="E56" s="189" t="s">
        <v>1448</v>
      </c>
      <c r="F56" s="190" t="s">
        <v>1600</v>
      </c>
    </row>
    <row r="57" ht="15.0" customHeight="1">
      <c r="A57" s="188"/>
      <c r="B57" s="189"/>
      <c r="C57" s="189" t="str">
        <f t="shared" si="1"/>
        <v>Perencanaan dan Penganggaran</v>
      </c>
      <c r="D57" s="189" t="s">
        <v>1595</v>
      </c>
      <c r="E57" s="189" t="s">
        <v>1448</v>
      </c>
      <c r="F57" s="189" t="s">
        <v>1601</v>
      </c>
    </row>
    <row r="58" ht="15.0" customHeight="1">
      <c r="A58" s="188"/>
      <c r="B58" s="189"/>
      <c r="C58" s="189" t="str">
        <f t="shared" si="1"/>
        <v>Perencanaan dan Penganggaran</v>
      </c>
      <c r="D58" s="189" t="s">
        <v>1595</v>
      </c>
      <c r="E58" s="189" t="s">
        <v>1448</v>
      </c>
      <c r="F58" s="189" t="s">
        <v>1588</v>
      </c>
    </row>
    <row r="59" ht="15.0" customHeight="1">
      <c r="A59" s="188"/>
      <c r="B59" s="189"/>
      <c r="C59" s="189" t="str">
        <f t="shared" si="1"/>
        <v>Perencanaan dan Penganggaran</v>
      </c>
      <c r="D59" s="189" t="s">
        <v>1595</v>
      </c>
      <c r="E59" s="189" t="s">
        <v>1448</v>
      </c>
      <c r="F59" s="189" t="s">
        <v>1589</v>
      </c>
    </row>
    <row r="60" ht="15.0" customHeight="1">
      <c r="A60" s="188"/>
      <c r="B60" s="189"/>
      <c r="C60" s="189" t="str">
        <f t="shared" si="1"/>
        <v>Perencanaan dan Penganggaran</v>
      </c>
      <c r="D60" s="189" t="s">
        <v>1595</v>
      </c>
      <c r="E60" s="189" t="s">
        <v>1448</v>
      </c>
      <c r="F60" s="189" t="s">
        <v>1590</v>
      </c>
    </row>
    <row r="61" ht="15.0" customHeight="1">
      <c r="A61" s="188"/>
      <c r="B61" s="189"/>
      <c r="C61" s="189" t="str">
        <f t="shared" si="1"/>
        <v>Perencanaan dan Penganggaran</v>
      </c>
      <c r="D61" s="189" t="s">
        <v>1595</v>
      </c>
      <c r="E61" s="189" t="s">
        <v>1448</v>
      </c>
      <c r="F61" s="189" t="s">
        <v>1583</v>
      </c>
    </row>
    <row r="62" ht="15.0" customHeight="1">
      <c r="A62" s="188"/>
      <c r="B62" s="189"/>
      <c r="C62" s="189" t="str">
        <f t="shared" si="1"/>
        <v>Perencanaan dan Penganggaran</v>
      </c>
      <c r="D62" s="189" t="s">
        <v>1595</v>
      </c>
      <c r="E62" s="189" t="s">
        <v>1448</v>
      </c>
      <c r="F62" s="189" t="s">
        <v>1602</v>
      </c>
    </row>
    <row r="63" ht="15.0" customHeight="1">
      <c r="A63" s="188"/>
      <c r="B63" s="189"/>
      <c r="C63" s="189" t="str">
        <f t="shared" si="1"/>
        <v>Perencanaan dan Penganggaran</v>
      </c>
      <c r="D63" s="189" t="s">
        <v>1595</v>
      </c>
      <c r="E63" s="189" t="s">
        <v>1448</v>
      </c>
      <c r="F63" s="189" t="s">
        <v>1603</v>
      </c>
    </row>
    <row r="64" ht="15.0" customHeight="1">
      <c r="A64" s="188"/>
      <c r="B64" s="189"/>
      <c r="C64" s="189" t="str">
        <f t="shared" si="1"/>
        <v>Perencanaan dan Penganggaran</v>
      </c>
      <c r="D64" s="189" t="s">
        <v>1595</v>
      </c>
      <c r="E64" s="189" t="s">
        <v>1448</v>
      </c>
      <c r="F64" s="189" t="s">
        <v>1605</v>
      </c>
    </row>
    <row r="65" ht="15.0" customHeight="1">
      <c r="A65" s="188"/>
      <c r="B65" s="189"/>
      <c r="C65" s="189" t="str">
        <f t="shared" si="1"/>
        <v>Perencanaan dan Penganggaran</v>
      </c>
      <c r="D65" s="189" t="s">
        <v>1595</v>
      </c>
      <c r="E65" s="189" t="s">
        <v>1448</v>
      </c>
      <c r="F65" s="189" t="s">
        <v>1606</v>
      </c>
    </row>
    <row r="66" ht="15.0" customHeight="1">
      <c r="A66" s="188"/>
      <c r="B66" s="189"/>
      <c r="C66" s="189" t="str">
        <f t="shared" si="1"/>
        <v>Perencanaan dan Penganggaran</v>
      </c>
      <c r="D66" s="189" t="s">
        <v>1595</v>
      </c>
      <c r="E66" s="189" t="s">
        <v>1448</v>
      </c>
      <c r="F66" s="189" t="s">
        <v>1607</v>
      </c>
    </row>
    <row r="67" ht="15.0" customHeight="1">
      <c r="A67" s="188"/>
      <c r="B67" s="189"/>
      <c r="C67" s="189" t="str">
        <f t="shared" si="1"/>
        <v>Perencanaan dan Penganggaran</v>
      </c>
      <c r="D67" s="189" t="s">
        <v>1595</v>
      </c>
      <c r="E67" s="189" t="s">
        <v>1448</v>
      </c>
      <c r="F67" s="189" t="s">
        <v>1608</v>
      </c>
    </row>
    <row r="68" ht="15.0" customHeight="1">
      <c r="A68" s="188"/>
      <c r="B68" s="189"/>
      <c r="C68" s="189" t="str">
        <f t="shared" si="1"/>
        <v>Perencanaan dan Penganggaran</v>
      </c>
      <c r="D68" s="189" t="s">
        <v>1595</v>
      </c>
      <c r="E68" s="189" t="s">
        <v>1448</v>
      </c>
      <c r="F68" s="189" t="s">
        <v>1594</v>
      </c>
    </row>
    <row r="69" ht="15.0" customHeight="1">
      <c r="A69" s="188"/>
      <c r="B69" s="189"/>
      <c r="C69" s="189" t="str">
        <f t="shared" si="1"/>
        <v>Perencanaan dan Penganggaran</v>
      </c>
      <c r="D69" s="189" t="s">
        <v>1595</v>
      </c>
      <c r="E69" s="189" t="s">
        <v>1448</v>
      </c>
      <c r="F69" s="189" t="s">
        <v>1560</v>
      </c>
    </row>
    <row r="70" ht="15.0" customHeight="1">
      <c r="A70" s="188"/>
      <c r="B70" s="189"/>
      <c r="C70" s="189" t="str">
        <f t="shared" si="1"/>
        <v>Perencanaan dan Penganggaran</v>
      </c>
      <c r="D70" s="189" t="s">
        <v>1595</v>
      </c>
      <c r="E70" s="189" t="s">
        <v>1448</v>
      </c>
      <c r="F70" s="190" t="s">
        <v>1609</v>
      </c>
    </row>
    <row r="71" ht="15.0" customHeight="1">
      <c r="A71" s="188"/>
      <c r="B71" s="189"/>
      <c r="C71" s="189" t="str">
        <f t="shared" si="1"/>
        <v>Perencanaan dan Penganggaran</v>
      </c>
      <c r="D71" s="189" t="s">
        <v>1595</v>
      </c>
      <c r="E71" s="189" t="s">
        <v>1448</v>
      </c>
      <c r="F71" s="189" t="s">
        <v>1610</v>
      </c>
    </row>
    <row r="72" ht="15.0" customHeight="1">
      <c r="A72" s="188"/>
      <c r="B72" s="189"/>
      <c r="C72" s="189" t="str">
        <f t="shared" si="1"/>
        <v>Perencanaan dan Penganggaran</v>
      </c>
      <c r="D72" s="189" t="s">
        <v>1595</v>
      </c>
      <c r="E72" s="189" t="s">
        <v>1448</v>
      </c>
      <c r="F72" s="189" t="s">
        <v>1588</v>
      </c>
    </row>
    <row r="73" ht="15.0" customHeight="1">
      <c r="A73" s="188"/>
      <c r="B73" s="189"/>
      <c r="C73" s="189" t="str">
        <f t="shared" si="1"/>
        <v>Perencanaan dan Penganggaran</v>
      </c>
      <c r="D73" s="189" t="s">
        <v>1595</v>
      </c>
      <c r="E73" s="189" t="s">
        <v>1448</v>
      </c>
      <c r="F73" s="189" t="s">
        <v>1589</v>
      </c>
    </row>
    <row r="74" ht="15.0" customHeight="1">
      <c r="A74" s="188"/>
      <c r="B74" s="189"/>
      <c r="C74" s="189" t="str">
        <f t="shared" si="1"/>
        <v>Perencanaan dan Penganggaran</v>
      </c>
      <c r="D74" s="189" t="s">
        <v>1595</v>
      </c>
      <c r="E74" s="189" t="s">
        <v>1448</v>
      </c>
      <c r="F74" s="189" t="s">
        <v>1590</v>
      </c>
    </row>
    <row r="75" ht="15.0" customHeight="1">
      <c r="A75" s="188"/>
      <c r="B75" s="189"/>
      <c r="C75" s="189" t="str">
        <f t="shared" si="1"/>
        <v>Perencanaan dan Penganggaran</v>
      </c>
      <c r="D75" s="189" t="s">
        <v>1595</v>
      </c>
      <c r="E75" s="189" t="s">
        <v>1448</v>
      </c>
      <c r="F75" s="189" t="s">
        <v>1583</v>
      </c>
    </row>
    <row r="76" ht="15.0" customHeight="1">
      <c r="A76" s="188"/>
      <c r="B76" s="189"/>
      <c r="C76" s="189" t="str">
        <f t="shared" si="1"/>
        <v>Perencanaan dan Penganggaran</v>
      </c>
      <c r="D76" s="189" t="s">
        <v>1595</v>
      </c>
      <c r="E76" s="189" t="s">
        <v>1448</v>
      </c>
      <c r="F76" s="189" t="s">
        <v>1611</v>
      </c>
    </row>
    <row r="77" ht="15.0" customHeight="1">
      <c r="A77" s="188"/>
      <c r="B77" s="189"/>
      <c r="C77" s="189" t="str">
        <f t="shared" si="1"/>
        <v>Perencanaan dan Penganggaran</v>
      </c>
      <c r="D77" s="189" t="s">
        <v>1595</v>
      </c>
      <c r="E77" s="189" t="s">
        <v>1448</v>
      </c>
      <c r="F77" s="189" t="s">
        <v>1612</v>
      </c>
    </row>
    <row r="78" ht="15.0" customHeight="1">
      <c r="A78" s="188"/>
      <c r="B78" s="189"/>
      <c r="C78" s="189" t="str">
        <f t="shared" si="1"/>
        <v>Perencanaan dan Penganggaran</v>
      </c>
      <c r="D78" s="189" t="s">
        <v>1595</v>
      </c>
      <c r="E78" s="189" t="s">
        <v>1448</v>
      </c>
      <c r="F78" s="189" t="s">
        <v>1560</v>
      </c>
    </row>
    <row r="79" ht="15.0" customHeight="1">
      <c r="A79" s="188"/>
      <c r="B79" s="189"/>
      <c r="C79" s="189" t="str">
        <f t="shared" si="1"/>
        <v>Perencanaan dan Penganggaran</v>
      </c>
      <c r="D79" s="189" t="s">
        <v>1613</v>
      </c>
      <c r="E79" s="189" t="s">
        <v>1448</v>
      </c>
      <c r="F79" s="190" t="s">
        <v>1614</v>
      </c>
    </row>
    <row r="80" ht="15.0" customHeight="1">
      <c r="A80" s="188"/>
      <c r="B80" s="189"/>
      <c r="C80" s="189" t="str">
        <f t="shared" si="1"/>
        <v>Perencanaan dan Penganggaran</v>
      </c>
      <c r="D80" s="189" t="s">
        <v>1613</v>
      </c>
      <c r="E80" s="189" t="s">
        <v>1448</v>
      </c>
      <c r="F80" s="189" t="s">
        <v>1615</v>
      </c>
    </row>
    <row r="81" ht="15.0" customHeight="1">
      <c r="A81" s="188"/>
      <c r="B81" s="189"/>
      <c r="C81" s="189" t="str">
        <f t="shared" si="1"/>
        <v>Perencanaan dan Penganggaran</v>
      </c>
      <c r="D81" s="189" t="s">
        <v>1613</v>
      </c>
      <c r="E81" s="189" t="s">
        <v>1448</v>
      </c>
      <c r="F81" s="189" t="s">
        <v>1616</v>
      </c>
    </row>
    <row r="82" ht="15.0" customHeight="1">
      <c r="A82" s="188"/>
      <c r="B82" s="189"/>
      <c r="C82" s="189" t="str">
        <f t="shared" si="1"/>
        <v>Perencanaan dan Penganggaran</v>
      </c>
      <c r="D82" s="189" t="s">
        <v>1613</v>
      </c>
      <c r="E82" s="189" t="s">
        <v>1448</v>
      </c>
      <c r="F82" s="189" t="s">
        <v>1617</v>
      </c>
    </row>
    <row r="83" ht="15.0" customHeight="1">
      <c r="A83" s="188"/>
      <c r="B83" s="189"/>
      <c r="C83" s="189" t="str">
        <f t="shared" si="1"/>
        <v>Perencanaan dan Penganggaran</v>
      </c>
      <c r="D83" s="189" t="s">
        <v>1613</v>
      </c>
      <c r="E83" s="189" t="s">
        <v>1448</v>
      </c>
      <c r="F83" s="189" t="s">
        <v>1618</v>
      </c>
    </row>
    <row r="84" ht="15.0" customHeight="1">
      <c r="A84" s="188"/>
      <c r="B84" s="189"/>
      <c r="C84" s="189" t="str">
        <f t="shared" si="1"/>
        <v>Perencanaan dan Penganggaran</v>
      </c>
      <c r="D84" s="189" t="s">
        <v>1613</v>
      </c>
      <c r="E84" s="189" t="s">
        <v>1448</v>
      </c>
      <c r="F84" s="189" t="s">
        <v>1619</v>
      </c>
    </row>
    <row r="85" ht="15.0" customHeight="1">
      <c r="A85" s="188"/>
      <c r="B85" s="189"/>
      <c r="C85" s="189" t="str">
        <f t="shared" si="1"/>
        <v>Perencanaan dan Penganggaran</v>
      </c>
      <c r="D85" s="189" t="s">
        <v>1613</v>
      </c>
      <c r="E85" s="189" t="s">
        <v>1448</v>
      </c>
      <c r="F85" s="190" t="s">
        <v>1620</v>
      </c>
    </row>
    <row r="86" ht="15.0" customHeight="1">
      <c r="A86" s="188"/>
      <c r="B86" s="189"/>
      <c r="C86" s="189" t="str">
        <f t="shared" si="1"/>
        <v>Perencanaan dan Penganggaran</v>
      </c>
      <c r="D86" s="189" t="s">
        <v>1613</v>
      </c>
      <c r="E86" s="189" t="s">
        <v>1448</v>
      </c>
      <c r="F86" s="189" t="s">
        <v>1621</v>
      </c>
    </row>
    <row r="87" ht="15.0" customHeight="1">
      <c r="A87" s="188"/>
      <c r="B87" s="189"/>
      <c r="C87" s="189" t="str">
        <f t="shared" si="1"/>
        <v>Perencanaan dan Penganggaran</v>
      </c>
      <c r="D87" s="189" t="s">
        <v>1613</v>
      </c>
      <c r="E87" s="189" t="s">
        <v>1448</v>
      </c>
      <c r="F87" s="189" t="s">
        <v>1622</v>
      </c>
    </row>
    <row r="88" ht="15.0" customHeight="1">
      <c r="A88" s="188"/>
      <c r="B88" s="189"/>
      <c r="C88" s="189" t="str">
        <f t="shared" si="1"/>
        <v>Perencanaan dan Penganggaran</v>
      </c>
      <c r="D88" s="189" t="s">
        <v>1613</v>
      </c>
      <c r="E88" s="189" t="s">
        <v>1448</v>
      </c>
      <c r="F88" s="189" t="s">
        <v>1623</v>
      </c>
    </row>
    <row r="89" ht="15.0" customHeight="1">
      <c r="A89" s="188"/>
      <c r="B89" s="189"/>
      <c r="C89" s="189" t="str">
        <f t="shared" si="1"/>
        <v>Perencanaan dan Penganggaran</v>
      </c>
      <c r="D89" s="189" t="s">
        <v>1613</v>
      </c>
      <c r="E89" s="189" t="s">
        <v>1448</v>
      </c>
      <c r="F89" s="190" t="s">
        <v>1624</v>
      </c>
    </row>
    <row r="90" ht="15.0" customHeight="1">
      <c r="A90" s="188"/>
      <c r="B90" s="189"/>
      <c r="C90" s="189" t="str">
        <f t="shared" si="1"/>
        <v>Perencanaan dan Penganggaran</v>
      </c>
      <c r="D90" s="189" t="s">
        <v>1613</v>
      </c>
      <c r="E90" s="189" t="s">
        <v>1448</v>
      </c>
      <c r="F90" s="189" t="s">
        <v>1625</v>
      </c>
    </row>
    <row r="91" ht="15.0" customHeight="1">
      <c r="A91" s="188"/>
      <c r="B91" s="189"/>
      <c r="C91" s="189" t="str">
        <f t="shared" si="1"/>
        <v>Perencanaan dan Penganggaran</v>
      </c>
      <c r="D91" s="189" t="s">
        <v>1613</v>
      </c>
      <c r="E91" s="189" t="s">
        <v>1448</v>
      </c>
      <c r="F91" s="189" t="s">
        <v>1626</v>
      </c>
    </row>
    <row r="92" ht="15.0" customHeight="1">
      <c r="A92" s="188"/>
      <c r="B92" s="189"/>
      <c r="C92" s="189" t="str">
        <f t="shared" si="1"/>
        <v>Perencanaan dan Penganggaran</v>
      </c>
      <c r="D92" s="189" t="s">
        <v>1613</v>
      </c>
      <c r="E92" s="189" t="s">
        <v>1448</v>
      </c>
      <c r="F92" s="189" t="s">
        <v>1627</v>
      </c>
    </row>
    <row r="93" ht="15.0" customHeight="1">
      <c r="A93" s="188"/>
      <c r="B93" s="189"/>
      <c r="C93" s="189" t="str">
        <f t="shared" si="1"/>
        <v>Perencanaan dan Penganggaran</v>
      </c>
      <c r="D93" s="189" t="s">
        <v>1613</v>
      </c>
      <c r="E93" s="189" t="s">
        <v>1448</v>
      </c>
      <c r="F93" s="190" t="s">
        <v>1629</v>
      </c>
    </row>
    <row r="94" ht="15.0" customHeight="1">
      <c r="A94" s="188"/>
      <c r="B94" s="189"/>
      <c r="C94" s="189" t="str">
        <f t="shared" si="1"/>
        <v>Perencanaan dan Penganggaran</v>
      </c>
      <c r="D94" s="189" t="s">
        <v>1613</v>
      </c>
      <c r="E94" s="189" t="s">
        <v>1448</v>
      </c>
      <c r="F94" s="189" t="s">
        <v>1630</v>
      </c>
    </row>
    <row r="95" ht="15.0" customHeight="1">
      <c r="A95" s="188"/>
      <c r="B95" s="189"/>
      <c r="C95" s="189" t="str">
        <f t="shared" si="1"/>
        <v>Perencanaan dan Penganggaran</v>
      </c>
      <c r="D95" s="189" t="s">
        <v>1613</v>
      </c>
      <c r="E95" s="189" t="s">
        <v>1448</v>
      </c>
      <c r="F95" s="189" t="s">
        <v>1631</v>
      </c>
    </row>
    <row r="96" ht="15.0" customHeight="1">
      <c r="A96" s="188"/>
      <c r="B96" s="189"/>
      <c r="C96" s="189" t="str">
        <f t="shared" si="1"/>
        <v>Perencanaan dan Penganggaran</v>
      </c>
      <c r="D96" s="189" t="s">
        <v>1613</v>
      </c>
      <c r="E96" s="189" t="s">
        <v>1448</v>
      </c>
      <c r="F96" s="189" t="s">
        <v>1633</v>
      </c>
    </row>
    <row r="97" ht="15.0" customHeight="1">
      <c r="A97" s="188"/>
      <c r="B97" s="189"/>
      <c r="C97" s="189" t="str">
        <f t="shared" si="1"/>
        <v>Perencanaan dan Penganggaran</v>
      </c>
      <c r="D97" s="189" t="s">
        <v>1634</v>
      </c>
      <c r="E97" s="189" t="s">
        <v>1448</v>
      </c>
      <c r="F97" s="190" t="s">
        <v>1634</v>
      </c>
    </row>
    <row r="98" ht="15.0" customHeight="1">
      <c r="A98" s="188"/>
      <c r="B98" s="189"/>
      <c r="C98" s="189" t="str">
        <f t="shared" si="1"/>
        <v>Perencanaan dan Penganggaran</v>
      </c>
      <c r="D98" s="189" t="s">
        <v>1634</v>
      </c>
      <c r="E98" s="189" t="s">
        <v>1448</v>
      </c>
      <c r="F98" s="189" t="s">
        <v>1636</v>
      </c>
    </row>
    <row r="99" ht="15.0" customHeight="1">
      <c r="A99" s="188"/>
      <c r="B99" s="189"/>
      <c r="C99" s="189" t="str">
        <f t="shared" si="1"/>
        <v>Perencanaan dan Penganggaran</v>
      </c>
      <c r="D99" s="189" t="s">
        <v>1634</v>
      </c>
      <c r="E99" s="189" t="s">
        <v>1448</v>
      </c>
      <c r="F99" s="189" t="s">
        <v>1637</v>
      </c>
    </row>
    <row r="100" ht="15.0" customHeight="1">
      <c r="A100" s="188"/>
      <c r="B100" s="189"/>
      <c r="C100" s="189" t="str">
        <f t="shared" si="1"/>
        <v>Perencanaan dan Penganggaran</v>
      </c>
      <c r="D100" s="189" t="s">
        <v>1634</v>
      </c>
      <c r="E100" s="189" t="s">
        <v>1448</v>
      </c>
      <c r="F100" s="189" t="s">
        <v>1639</v>
      </c>
    </row>
    <row r="101" ht="15.0" customHeight="1">
      <c r="A101" s="188"/>
      <c r="B101" s="189"/>
      <c r="C101" s="189" t="str">
        <f t="shared" si="1"/>
        <v>Perencanaan dan Penganggaran</v>
      </c>
      <c r="D101" s="189" t="s">
        <v>1640</v>
      </c>
      <c r="E101" s="189" t="s">
        <v>1448</v>
      </c>
      <c r="F101" s="191" t="s">
        <v>1640</v>
      </c>
    </row>
    <row r="102" ht="15.0" customHeight="1">
      <c r="A102" s="188"/>
      <c r="B102" s="189"/>
      <c r="C102" s="189" t="str">
        <f t="shared" si="1"/>
        <v>Perencanaan dan Penganggaran</v>
      </c>
      <c r="D102" s="189" t="s">
        <v>1640</v>
      </c>
      <c r="E102" s="189" t="s">
        <v>1448</v>
      </c>
      <c r="F102" s="189" t="s">
        <v>1644</v>
      </c>
    </row>
    <row r="103" ht="15.0" customHeight="1">
      <c r="A103" s="188"/>
      <c r="B103" s="189"/>
      <c r="C103" s="189" t="str">
        <f t="shared" si="1"/>
        <v>Perencanaan dan Penganggaran</v>
      </c>
      <c r="D103" s="189" t="s">
        <v>1640</v>
      </c>
      <c r="E103" s="189" t="s">
        <v>1448</v>
      </c>
      <c r="F103" s="189" t="s">
        <v>1645</v>
      </c>
    </row>
    <row r="104" ht="15.0" customHeight="1">
      <c r="A104" s="188"/>
      <c r="B104" s="189"/>
      <c r="C104" s="189" t="str">
        <f t="shared" si="1"/>
        <v>Perencanaan dan Penganggaran</v>
      </c>
      <c r="D104" s="189" t="s">
        <v>1640</v>
      </c>
      <c r="E104" s="189" t="s">
        <v>1448</v>
      </c>
      <c r="F104" s="189" t="s">
        <v>1647</v>
      </c>
    </row>
    <row r="105" ht="15.0" customHeight="1">
      <c r="A105" s="188"/>
      <c r="B105" s="189"/>
      <c r="C105" s="189" t="str">
        <f t="shared" si="1"/>
        <v>Perencanaan dan Penganggaran</v>
      </c>
      <c r="D105" s="189" t="s">
        <v>1640</v>
      </c>
      <c r="E105" s="189" t="s">
        <v>1448</v>
      </c>
      <c r="F105" s="189" t="s">
        <v>1649</v>
      </c>
    </row>
    <row r="106" ht="15.0" customHeight="1">
      <c r="A106" s="188"/>
      <c r="B106" s="189"/>
      <c r="C106" s="189" t="str">
        <f t="shared" si="1"/>
        <v>Perencanaan dan Penganggaran</v>
      </c>
      <c r="D106" s="189" t="s">
        <v>1640</v>
      </c>
      <c r="E106" s="189" t="s">
        <v>1448</v>
      </c>
      <c r="F106" s="189" t="s">
        <v>1650</v>
      </c>
    </row>
    <row r="107" ht="15.0" customHeight="1">
      <c r="A107" s="188"/>
      <c r="B107" s="189"/>
      <c r="C107" s="189" t="str">
        <f t="shared" si="1"/>
        <v>Perencanaan dan Penganggaran</v>
      </c>
      <c r="D107" s="189" t="s">
        <v>1640</v>
      </c>
      <c r="E107" s="189" t="s">
        <v>1448</v>
      </c>
      <c r="F107" s="189" t="s">
        <v>1652</v>
      </c>
    </row>
    <row r="108" ht="15.0" customHeight="1">
      <c r="A108" s="188"/>
      <c r="B108" s="189"/>
      <c r="C108" s="189" t="str">
        <f t="shared" si="1"/>
        <v>Perencanaan dan Penganggaran</v>
      </c>
      <c r="D108" s="189" t="s">
        <v>1640</v>
      </c>
      <c r="E108" s="189" t="s">
        <v>1448</v>
      </c>
      <c r="F108" s="189" t="s">
        <v>1653</v>
      </c>
    </row>
    <row r="109" ht="15.0" customHeight="1">
      <c r="A109" s="188"/>
      <c r="B109" s="189"/>
      <c r="C109" s="189" t="str">
        <f t="shared" si="1"/>
        <v>Perencanaan dan Penganggaran</v>
      </c>
      <c r="D109" s="189" t="s">
        <v>1640</v>
      </c>
      <c r="E109" s="189" t="s">
        <v>1448</v>
      </c>
      <c r="F109" s="189" t="s">
        <v>1655</v>
      </c>
    </row>
    <row r="110" ht="15.0" customHeight="1">
      <c r="A110" s="188"/>
      <c r="B110" s="189"/>
      <c r="C110" s="189" t="str">
        <f t="shared" si="1"/>
        <v>Perencanaan dan Penganggaran</v>
      </c>
      <c r="D110" s="189" t="s">
        <v>1640</v>
      </c>
      <c r="E110" s="189" t="s">
        <v>1448</v>
      </c>
      <c r="F110" s="189" t="s">
        <v>1656</v>
      </c>
    </row>
    <row r="111" ht="15.0" customHeight="1">
      <c r="A111" s="188"/>
      <c r="B111" s="189"/>
      <c r="C111" s="189" t="str">
        <f t="shared" si="1"/>
        <v>Perencanaan dan Penganggaran</v>
      </c>
      <c r="D111" s="189" t="s">
        <v>1657</v>
      </c>
      <c r="E111" s="189" t="s">
        <v>1448</v>
      </c>
      <c r="F111" s="190" t="s">
        <v>1657</v>
      </c>
    </row>
    <row r="112" ht="15.0" customHeight="1">
      <c r="A112" s="188"/>
      <c r="B112" s="189"/>
      <c r="C112" s="189" t="str">
        <f t="shared" si="1"/>
        <v>Perencanaan dan Penganggaran</v>
      </c>
      <c r="D112" s="189" t="s">
        <v>1657</v>
      </c>
      <c r="E112" s="189" t="s">
        <v>1448</v>
      </c>
      <c r="F112" s="189" t="s">
        <v>1659</v>
      </c>
    </row>
    <row r="113" ht="15.0" customHeight="1">
      <c r="A113" s="188"/>
      <c r="B113" s="189"/>
      <c r="C113" s="189" t="str">
        <f t="shared" si="1"/>
        <v>Perencanaan dan Penganggaran</v>
      </c>
      <c r="D113" s="189" t="s">
        <v>1657</v>
      </c>
      <c r="E113" s="189" t="s">
        <v>1448</v>
      </c>
      <c r="F113" s="189" t="s">
        <v>1661</v>
      </c>
    </row>
    <row r="114" ht="15.0" customHeight="1">
      <c r="A114" s="188"/>
      <c r="B114" s="189"/>
      <c r="C114" s="189" t="str">
        <f t="shared" si="1"/>
        <v>Perencanaan dan Penganggaran</v>
      </c>
      <c r="D114" s="189" t="s">
        <v>1662</v>
      </c>
      <c r="E114" s="189" t="s">
        <v>1448</v>
      </c>
      <c r="F114" s="190" t="s">
        <v>1662</v>
      </c>
    </row>
    <row r="115" ht="15.0" customHeight="1">
      <c r="A115" s="188"/>
      <c r="B115" s="189"/>
      <c r="C115" s="189" t="str">
        <f t="shared" si="1"/>
        <v>Perencanaan dan Penganggaran</v>
      </c>
      <c r="D115" s="189" t="s">
        <v>1662</v>
      </c>
      <c r="E115" s="189" t="s">
        <v>1448</v>
      </c>
      <c r="F115" s="189" t="s">
        <v>1664</v>
      </c>
    </row>
    <row r="116" ht="15.0" customHeight="1">
      <c r="A116" s="188"/>
      <c r="B116" s="189"/>
      <c r="C116" s="189" t="str">
        <f t="shared" si="1"/>
        <v>Perencanaan dan Penganggaran</v>
      </c>
      <c r="D116" s="189" t="s">
        <v>1662</v>
      </c>
      <c r="E116" s="189" t="s">
        <v>1448</v>
      </c>
      <c r="F116" s="189" t="s">
        <v>1665</v>
      </c>
    </row>
    <row r="117" ht="15.0" customHeight="1">
      <c r="A117" s="188"/>
      <c r="B117" s="189"/>
      <c r="C117" s="189" t="str">
        <f t="shared" si="1"/>
        <v>Perencanaan dan Penganggaran</v>
      </c>
      <c r="D117" s="189" t="s">
        <v>1662</v>
      </c>
      <c r="E117" s="189" t="s">
        <v>1448</v>
      </c>
      <c r="F117" s="189" t="s">
        <v>1667</v>
      </c>
    </row>
    <row r="118" ht="15.0" customHeight="1">
      <c r="A118" s="188"/>
      <c r="B118" s="189"/>
      <c r="C118" s="189" t="str">
        <f t="shared" si="1"/>
        <v>Perencanaan dan Penganggaran</v>
      </c>
      <c r="D118" s="189" t="s">
        <v>1662</v>
      </c>
      <c r="E118" s="189" t="s">
        <v>1448</v>
      </c>
      <c r="F118" s="189" t="s">
        <v>1668</v>
      </c>
    </row>
    <row r="119" ht="15.0" customHeight="1">
      <c r="A119" s="188"/>
      <c r="B119" s="189"/>
      <c r="C119" s="189" t="str">
        <f t="shared" si="1"/>
        <v>Perencanaan dan Penganggaran</v>
      </c>
      <c r="D119" s="189" t="s">
        <v>1662</v>
      </c>
      <c r="E119" s="189" t="s">
        <v>1448</v>
      </c>
      <c r="F119" s="189" t="s">
        <v>1670</v>
      </c>
    </row>
    <row r="120" ht="15.0" customHeight="1">
      <c r="A120" s="188"/>
      <c r="B120" s="189"/>
      <c r="C120" s="189" t="s">
        <v>1447</v>
      </c>
      <c r="D120" s="189" t="s">
        <v>1173</v>
      </c>
      <c r="E120" s="189" t="s">
        <v>1448</v>
      </c>
      <c r="F120" s="190" t="s">
        <v>1671</v>
      </c>
    </row>
    <row r="121" ht="15.0" customHeight="1">
      <c r="A121" s="188"/>
      <c r="B121" s="189"/>
      <c r="C121" s="189" t="s">
        <v>1447</v>
      </c>
      <c r="D121" s="189" t="s">
        <v>1173</v>
      </c>
      <c r="E121" s="189" t="s">
        <v>1448</v>
      </c>
      <c r="F121" s="190" t="s">
        <v>1673</v>
      </c>
    </row>
    <row r="122" ht="15.0" customHeight="1">
      <c r="A122" s="188"/>
      <c r="B122" s="189"/>
      <c r="C122" s="189" t="s">
        <v>1447</v>
      </c>
      <c r="D122" s="189" t="s">
        <v>1173</v>
      </c>
      <c r="E122" s="189" t="s">
        <v>1448</v>
      </c>
      <c r="F122" s="190" t="s">
        <v>1512</v>
      </c>
    </row>
    <row r="123" ht="15.0" customHeight="1">
      <c r="A123" s="188"/>
      <c r="B123" s="189"/>
      <c r="C123" s="189" t="s">
        <v>1447</v>
      </c>
      <c r="D123" s="189" t="s">
        <v>1173</v>
      </c>
      <c r="E123" s="189" t="s">
        <v>1448</v>
      </c>
      <c r="F123" s="189" t="s">
        <v>1675</v>
      </c>
    </row>
    <row r="124" ht="15.0" customHeight="1">
      <c r="A124" s="188"/>
      <c r="B124" s="189"/>
      <c r="C124" s="189" t="s">
        <v>1447</v>
      </c>
      <c r="D124" s="189" t="s">
        <v>1173</v>
      </c>
      <c r="E124" s="189" t="s">
        <v>1448</v>
      </c>
      <c r="F124" s="189" t="s">
        <v>1677</v>
      </c>
    </row>
    <row r="125" ht="15.0" customHeight="1">
      <c r="A125" s="188"/>
      <c r="B125" s="189"/>
      <c r="C125" s="189" t="s">
        <v>1447</v>
      </c>
      <c r="D125" s="189" t="s">
        <v>1173</v>
      </c>
      <c r="E125" s="189" t="s">
        <v>1448</v>
      </c>
      <c r="F125" s="189" t="s">
        <v>1678</v>
      </c>
    </row>
    <row r="126" ht="15.0" customHeight="1">
      <c r="A126" s="188"/>
      <c r="B126" s="189"/>
      <c r="C126" s="189" t="s">
        <v>1447</v>
      </c>
      <c r="D126" s="189" t="s">
        <v>1173</v>
      </c>
      <c r="E126" s="189" t="s">
        <v>1448</v>
      </c>
      <c r="F126" s="189" t="s">
        <v>1508</v>
      </c>
    </row>
    <row r="127" ht="15.0" customHeight="1">
      <c r="A127" s="188"/>
      <c r="B127" s="189"/>
      <c r="C127" s="189" t="s">
        <v>1447</v>
      </c>
      <c r="D127" s="189" t="s">
        <v>1173</v>
      </c>
      <c r="E127" s="189" t="s">
        <v>1448</v>
      </c>
      <c r="F127" s="189" t="s">
        <v>1509</v>
      </c>
    </row>
    <row r="128" ht="15.0" customHeight="1">
      <c r="A128" s="188"/>
      <c r="B128" s="189"/>
      <c r="C128" s="189" t="s">
        <v>1447</v>
      </c>
      <c r="D128" s="189" t="s">
        <v>1173</v>
      </c>
      <c r="E128" s="189" t="s">
        <v>1448</v>
      </c>
      <c r="F128" s="189" t="s">
        <v>1510</v>
      </c>
    </row>
    <row r="129" ht="15.0" customHeight="1">
      <c r="A129" s="188"/>
      <c r="B129" s="189"/>
      <c r="C129" s="189" t="s">
        <v>1447</v>
      </c>
      <c r="D129" s="189" t="s">
        <v>1173</v>
      </c>
      <c r="E129" s="189" t="s">
        <v>1448</v>
      </c>
      <c r="F129" s="189" t="s">
        <v>1683</v>
      </c>
    </row>
    <row r="130" ht="15.0" customHeight="1">
      <c r="A130" s="188"/>
      <c r="B130" s="189"/>
      <c r="C130" s="189" t="s">
        <v>1447</v>
      </c>
      <c r="D130" s="189" t="s">
        <v>1173</v>
      </c>
      <c r="E130" s="189" t="s">
        <v>1448</v>
      </c>
      <c r="F130" s="189" t="s">
        <v>1685</v>
      </c>
    </row>
    <row r="131" ht="15.0" customHeight="1">
      <c r="A131" s="188"/>
      <c r="B131" s="189"/>
      <c r="C131" s="189" t="s">
        <v>1447</v>
      </c>
      <c r="D131" s="189" t="s">
        <v>1173</v>
      </c>
      <c r="E131" s="189" t="s">
        <v>1448</v>
      </c>
      <c r="F131" s="189" t="s">
        <v>1686</v>
      </c>
    </row>
    <row r="132" ht="15.0" customHeight="1">
      <c r="A132" s="188"/>
      <c r="B132" s="189"/>
      <c r="C132" s="189" t="s">
        <v>1447</v>
      </c>
      <c r="D132" s="189" t="s">
        <v>1173</v>
      </c>
      <c r="E132" s="189" t="s">
        <v>1448</v>
      </c>
      <c r="F132" s="189" t="s">
        <v>1687</v>
      </c>
    </row>
    <row r="133" ht="15.0" customHeight="1">
      <c r="A133" s="188"/>
      <c r="B133" s="189"/>
      <c r="C133" s="189" t="s">
        <v>1447</v>
      </c>
      <c r="D133" s="189" t="s">
        <v>1173</v>
      </c>
      <c r="E133" s="189" t="s">
        <v>1448</v>
      </c>
      <c r="F133" s="189" t="s">
        <v>1689</v>
      </c>
    </row>
    <row r="134" ht="15.0" customHeight="1">
      <c r="A134" s="188"/>
      <c r="B134" s="189"/>
      <c r="C134" s="189" t="s">
        <v>1447</v>
      </c>
      <c r="D134" s="189" t="s">
        <v>1173</v>
      </c>
      <c r="E134" s="189" t="s">
        <v>1448</v>
      </c>
      <c r="F134" s="189" t="s">
        <v>1690</v>
      </c>
    </row>
    <row r="135" ht="15.0" customHeight="1">
      <c r="A135" s="188"/>
      <c r="B135" s="189"/>
      <c r="C135" s="189" t="s">
        <v>1447</v>
      </c>
      <c r="D135" s="189" t="s">
        <v>1173</v>
      </c>
      <c r="E135" s="189" t="s">
        <v>1448</v>
      </c>
      <c r="F135" s="189" t="s">
        <v>1691</v>
      </c>
    </row>
    <row r="136" ht="15.0" customHeight="1">
      <c r="A136" s="188"/>
      <c r="B136" s="189"/>
      <c r="C136" s="189" t="s">
        <v>1447</v>
      </c>
      <c r="D136" s="189" t="s">
        <v>1173</v>
      </c>
      <c r="E136" s="189" t="s">
        <v>1448</v>
      </c>
      <c r="F136" s="189" t="s">
        <v>1694</v>
      </c>
    </row>
    <row r="137" ht="15.0" customHeight="1">
      <c r="A137" s="188"/>
      <c r="B137" s="189"/>
      <c r="C137" s="189" t="s">
        <v>1447</v>
      </c>
      <c r="D137" s="189" t="s">
        <v>1173</v>
      </c>
      <c r="E137" s="189" t="s">
        <v>1448</v>
      </c>
      <c r="F137" s="189" t="s">
        <v>1695</v>
      </c>
    </row>
    <row r="138" ht="15.0" customHeight="1">
      <c r="A138" s="188"/>
      <c r="B138" s="189"/>
      <c r="C138" s="189" t="s">
        <v>1447</v>
      </c>
      <c r="D138" s="189" t="s">
        <v>1696</v>
      </c>
      <c r="E138" s="189" t="s">
        <v>1448</v>
      </c>
      <c r="F138" s="190" t="s">
        <v>1696</v>
      </c>
    </row>
    <row r="139" ht="15.0" customHeight="1">
      <c r="A139" s="188"/>
      <c r="B139" s="189"/>
      <c r="C139" s="189" t="s">
        <v>1447</v>
      </c>
      <c r="D139" s="189" t="s">
        <v>1696</v>
      </c>
      <c r="E139" s="189" t="s">
        <v>1448</v>
      </c>
      <c r="F139" s="189" t="s">
        <v>1698</v>
      </c>
    </row>
    <row r="140" ht="15.0" customHeight="1">
      <c r="A140" s="188"/>
      <c r="B140" s="189"/>
      <c r="C140" s="189" t="s">
        <v>1447</v>
      </c>
      <c r="D140" s="189" t="s">
        <v>1696</v>
      </c>
      <c r="E140" s="189" t="s">
        <v>1448</v>
      </c>
      <c r="F140" s="189" t="s">
        <v>1699</v>
      </c>
    </row>
    <row r="141" ht="15.0" customHeight="1">
      <c r="A141" s="188"/>
      <c r="B141" s="189"/>
      <c r="C141" s="189" t="s">
        <v>1447</v>
      </c>
      <c r="D141" s="189" t="s">
        <v>1696</v>
      </c>
      <c r="E141" s="189" t="s">
        <v>1448</v>
      </c>
      <c r="F141" s="189" t="s">
        <v>1701</v>
      </c>
    </row>
    <row r="142" ht="15.0" customHeight="1">
      <c r="A142" s="188"/>
      <c r="B142" s="189"/>
      <c r="C142" s="189" t="s">
        <v>1447</v>
      </c>
      <c r="D142" s="189" t="s">
        <v>1696</v>
      </c>
      <c r="E142" s="189" t="s">
        <v>1448</v>
      </c>
      <c r="F142" s="189" t="s">
        <v>1702</v>
      </c>
    </row>
    <row r="143" ht="15.0" customHeight="1">
      <c r="A143" s="188"/>
      <c r="B143" s="189"/>
      <c r="C143" s="189" t="s">
        <v>1447</v>
      </c>
      <c r="D143" s="189" t="s">
        <v>1696</v>
      </c>
      <c r="E143" s="189" t="s">
        <v>1448</v>
      </c>
      <c r="F143" s="189" t="s">
        <v>1704</v>
      </c>
    </row>
    <row r="144" ht="15.0" customHeight="1">
      <c r="A144" s="188"/>
      <c r="B144" s="189"/>
      <c r="C144" s="189" t="s">
        <v>1447</v>
      </c>
      <c r="D144" s="189" t="s">
        <v>1696</v>
      </c>
      <c r="E144" s="189" t="s">
        <v>1448</v>
      </c>
      <c r="F144" s="189" t="s">
        <v>1706</v>
      </c>
    </row>
    <row r="145" ht="15.0" customHeight="1">
      <c r="A145" s="188"/>
      <c r="B145" s="189"/>
      <c r="C145" s="189" t="s">
        <v>1447</v>
      </c>
      <c r="D145" s="189" t="s">
        <v>1696</v>
      </c>
      <c r="E145" s="189" t="s">
        <v>1448</v>
      </c>
      <c r="F145" s="189" t="s">
        <v>1707</v>
      </c>
    </row>
    <row r="146" ht="15.0" customHeight="1">
      <c r="A146" s="188"/>
      <c r="B146" s="189"/>
      <c r="C146" s="189" t="s">
        <v>1447</v>
      </c>
      <c r="D146" s="189" t="s">
        <v>1696</v>
      </c>
      <c r="E146" s="189" t="s">
        <v>1448</v>
      </c>
      <c r="F146" s="189" t="s">
        <v>1709</v>
      </c>
    </row>
    <row r="147" ht="15.0" customHeight="1">
      <c r="A147" s="188"/>
      <c r="B147" s="189"/>
      <c r="C147" s="189" t="s">
        <v>1447</v>
      </c>
      <c r="D147" s="189" t="s">
        <v>1696</v>
      </c>
      <c r="E147" s="189" t="s">
        <v>1448</v>
      </c>
      <c r="F147" s="189" t="s">
        <v>1710</v>
      </c>
    </row>
    <row r="148" ht="15.0" customHeight="1">
      <c r="A148" s="188"/>
      <c r="B148" s="189"/>
      <c r="C148" s="189" t="s">
        <v>1447</v>
      </c>
      <c r="D148" s="189" t="s">
        <v>1696</v>
      </c>
      <c r="E148" s="189" t="s">
        <v>1448</v>
      </c>
      <c r="F148" s="189" t="s">
        <v>1712</v>
      </c>
    </row>
    <row r="149" ht="15.0" customHeight="1">
      <c r="A149" s="188"/>
      <c r="B149" s="189"/>
      <c r="C149" s="189" t="s">
        <v>1447</v>
      </c>
      <c r="D149" s="189" t="s">
        <v>1696</v>
      </c>
      <c r="E149" s="189" t="s">
        <v>1448</v>
      </c>
      <c r="F149" s="189" t="s">
        <v>1695</v>
      </c>
    </row>
    <row r="150" ht="15.0" customHeight="1">
      <c r="A150" s="188"/>
      <c r="B150" s="189"/>
      <c r="C150" s="189" t="s">
        <v>1447</v>
      </c>
      <c r="D150" s="189" t="s">
        <v>1714</v>
      </c>
      <c r="E150" s="189" t="s">
        <v>1448</v>
      </c>
      <c r="F150" s="190" t="s">
        <v>1715</v>
      </c>
    </row>
    <row r="151" ht="15.0" customHeight="1">
      <c r="A151" s="188"/>
      <c r="B151" s="189"/>
      <c r="C151" s="189" t="s">
        <v>1447</v>
      </c>
      <c r="D151" s="189" t="s">
        <v>1714</v>
      </c>
      <c r="E151" s="189" t="s">
        <v>1448</v>
      </c>
      <c r="F151" s="189" t="s">
        <v>1716</v>
      </c>
    </row>
    <row r="152" ht="15.0" customHeight="1">
      <c r="A152" s="188"/>
      <c r="B152" s="189"/>
      <c r="C152" s="189" t="s">
        <v>1447</v>
      </c>
      <c r="D152" s="189" t="s">
        <v>1714</v>
      </c>
      <c r="E152" s="189" t="s">
        <v>1448</v>
      </c>
      <c r="F152" s="189" t="s">
        <v>1718</v>
      </c>
    </row>
    <row r="153" ht="15.0" customHeight="1">
      <c r="A153" s="188"/>
      <c r="B153" s="189"/>
      <c r="C153" s="189" t="s">
        <v>1447</v>
      </c>
      <c r="D153" s="189" t="s">
        <v>1714</v>
      </c>
      <c r="E153" s="189" t="s">
        <v>1448</v>
      </c>
      <c r="F153" s="189" t="s">
        <v>1719</v>
      </c>
    </row>
    <row r="154" ht="15.0" customHeight="1">
      <c r="A154" s="188"/>
      <c r="B154" s="189"/>
      <c r="C154" s="189" t="s">
        <v>1447</v>
      </c>
      <c r="D154" s="189" t="s">
        <v>1714</v>
      </c>
      <c r="E154" s="189" t="s">
        <v>1448</v>
      </c>
      <c r="F154" s="189" t="s">
        <v>1721</v>
      </c>
    </row>
    <row r="155" ht="15.0" customHeight="1">
      <c r="A155" s="188"/>
      <c r="B155" s="189"/>
      <c r="C155" s="189" t="s">
        <v>1447</v>
      </c>
      <c r="D155" s="189" t="s">
        <v>1714</v>
      </c>
      <c r="E155" s="189" t="s">
        <v>1448</v>
      </c>
      <c r="F155" s="189" t="s">
        <v>1722</v>
      </c>
    </row>
    <row r="156" ht="15.0" customHeight="1">
      <c r="A156" s="188"/>
      <c r="B156" s="189"/>
      <c r="C156" s="189" t="s">
        <v>1447</v>
      </c>
      <c r="D156" s="189" t="s">
        <v>1714</v>
      </c>
      <c r="E156" s="189" t="s">
        <v>1448</v>
      </c>
      <c r="F156" s="189" t="s">
        <v>1724</v>
      </c>
    </row>
    <row r="157" ht="15.0" customHeight="1">
      <c r="A157" s="188"/>
      <c r="B157" s="189"/>
      <c r="C157" s="189" t="s">
        <v>1447</v>
      </c>
      <c r="D157" s="189" t="s">
        <v>1714</v>
      </c>
      <c r="E157" s="189" t="s">
        <v>1448</v>
      </c>
      <c r="F157" s="189" t="s">
        <v>1725</v>
      </c>
    </row>
    <row r="158" ht="15.0" customHeight="1">
      <c r="A158" s="188"/>
      <c r="B158" s="189"/>
      <c r="C158" s="189" t="s">
        <v>1447</v>
      </c>
      <c r="D158" s="189" t="s">
        <v>1714</v>
      </c>
      <c r="E158" s="189" t="s">
        <v>1448</v>
      </c>
      <c r="F158" s="189" t="s">
        <v>1726</v>
      </c>
    </row>
    <row r="159" ht="15.0" customHeight="1">
      <c r="A159" s="188"/>
      <c r="B159" s="189"/>
      <c r="C159" s="189" t="s">
        <v>1447</v>
      </c>
      <c r="D159" s="189" t="s">
        <v>1714</v>
      </c>
      <c r="E159" s="189" t="s">
        <v>1448</v>
      </c>
      <c r="F159" s="189" t="s">
        <v>1727</v>
      </c>
    </row>
    <row r="160" ht="15.0" customHeight="1">
      <c r="A160" s="188"/>
      <c r="B160" s="189"/>
      <c r="C160" s="189" t="s">
        <v>1447</v>
      </c>
      <c r="D160" s="189" t="s">
        <v>1714</v>
      </c>
      <c r="E160" s="189" t="s">
        <v>1448</v>
      </c>
      <c r="F160" s="189" t="s">
        <v>1695</v>
      </c>
    </row>
    <row r="161" ht="15.0" customHeight="1">
      <c r="A161" s="188"/>
      <c r="B161" s="189"/>
      <c r="C161" s="189" t="s">
        <v>1447</v>
      </c>
      <c r="D161" s="189" t="s">
        <v>1728</v>
      </c>
      <c r="E161" s="189" t="s">
        <v>1448</v>
      </c>
      <c r="F161" s="190" t="s">
        <v>1729</v>
      </c>
    </row>
    <row r="162" ht="15.0" customHeight="1">
      <c r="A162" s="188"/>
      <c r="B162" s="189"/>
      <c r="C162" s="189" t="s">
        <v>1447</v>
      </c>
      <c r="D162" s="189" t="s">
        <v>1728</v>
      </c>
      <c r="E162" s="189" t="s">
        <v>1448</v>
      </c>
      <c r="F162" s="189" t="s">
        <v>1730</v>
      </c>
    </row>
    <row r="163" ht="15.0" customHeight="1">
      <c r="A163" s="188"/>
      <c r="B163" s="189"/>
      <c r="C163" s="189" t="s">
        <v>1447</v>
      </c>
      <c r="D163" s="189" t="s">
        <v>1728</v>
      </c>
      <c r="E163" s="189" t="s">
        <v>1448</v>
      </c>
      <c r="F163" s="189" t="s">
        <v>1731</v>
      </c>
    </row>
    <row r="164" ht="15.0" customHeight="1">
      <c r="A164" s="188"/>
      <c r="B164" s="189"/>
      <c r="C164" s="189" t="s">
        <v>1447</v>
      </c>
      <c r="D164" s="189" t="s">
        <v>1728</v>
      </c>
      <c r="E164" s="189" t="s">
        <v>1448</v>
      </c>
      <c r="F164" s="189" t="s">
        <v>1733</v>
      </c>
    </row>
    <row r="165" ht="15.0" customHeight="1">
      <c r="A165" s="188"/>
      <c r="B165" s="189"/>
      <c r="C165" s="189" t="s">
        <v>1447</v>
      </c>
      <c r="D165" s="189" t="s">
        <v>1728</v>
      </c>
      <c r="E165" s="189" t="s">
        <v>1448</v>
      </c>
      <c r="F165" s="189" t="s">
        <v>1734</v>
      </c>
    </row>
    <row r="166" ht="15.0" customHeight="1">
      <c r="A166" s="188"/>
      <c r="B166" s="189"/>
      <c r="C166" s="189" t="s">
        <v>1447</v>
      </c>
      <c r="D166" s="189" t="s">
        <v>1728</v>
      </c>
      <c r="E166" s="189" t="s">
        <v>1448</v>
      </c>
      <c r="F166" s="189" t="s">
        <v>1736</v>
      </c>
    </row>
    <row r="167" ht="15.0" customHeight="1">
      <c r="A167" s="188"/>
      <c r="B167" s="189"/>
      <c r="C167" s="189" t="s">
        <v>1447</v>
      </c>
      <c r="D167" s="189" t="s">
        <v>1728</v>
      </c>
      <c r="E167" s="189" t="s">
        <v>1448</v>
      </c>
      <c r="F167" s="189" t="s">
        <v>1695</v>
      </c>
    </row>
    <row r="168" ht="15.0" customHeight="1">
      <c r="A168" s="188"/>
      <c r="B168" s="189"/>
      <c r="C168" s="189" t="s">
        <v>1447</v>
      </c>
      <c r="D168" s="189" t="s">
        <v>1728</v>
      </c>
      <c r="E168" s="189" t="s">
        <v>1448</v>
      </c>
      <c r="F168" s="190" t="s">
        <v>1738</v>
      </c>
    </row>
    <row r="169" ht="15.0" customHeight="1">
      <c r="A169" s="188"/>
      <c r="B169" s="189"/>
      <c r="C169" s="189" t="s">
        <v>1447</v>
      </c>
      <c r="D169" s="189" t="s">
        <v>1728</v>
      </c>
      <c r="E169" s="189" t="s">
        <v>1448</v>
      </c>
      <c r="F169" s="189" t="s">
        <v>1730</v>
      </c>
    </row>
    <row r="170" ht="15.0" customHeight="1">
      <c r="A170" s="188"/>
      <c r="B170" s="189"/>
      <c r="C170" s="189" t="s">
        <v>1447</v>
      </c>
      <c r="D170" s="189" t="s">
        <v>1728</v>
      </c>
      <c r="E170" s="189" t="s">
        <v>1448</v>
      </c>
      <c r="F170" s="189" t="s">
        <v>1731</v>
      </c>
    </row>
    <row r="171" ht="15.0" customHeight="1">
      <c r="A171" s="188"/>
      <c r="B171" s="189"/>
      <c r="C171" s="189" t="s">
        <v>1447</v>
      </c>
      <c r="D171" s="189" t="s">
        <v>1728</v>
      </c>
      <c r="E171" s="189" t="s">
        <v>1448</v>
      </c>
      <c r="F171" s="189" t="s">
        <v>1733</v>
      </c>
    </row>
    <row r="172" ht="15.0" customHeight="1">
      <c r="A172" s="188"/>
      <c r="B172" s="189"/>
      <c r="C172" s="189" t="s">
        <v>1447</v>
      </c>
      <c r="D172" s="189" t="s">
        <v>1728</v>
      </c>
      <c r="E172" s="189" t="s">
        <v>1448</v>
      </c>
      <c r="F172" s="189" t="s">
        <v>1734</v>
      </c>
    </row>
    <row r="173" ht="15.0" customHeight="1">
      <c r="A173" s="188"/>
      <c r="B173" s="189"/>
      <c r="C173" s="189" t="s">
        <v>1447</v>
      </c>
      <c r="D173" s="189" t="s">
        <v>1728</v>
      </c>
      <c r="E173" s="189" t="s">
        <v>1448</v>
      </c>
      <c r="F173" s="189" t="s">
        <v>1736</v>
      </c>
    </row>
    <row r="174" ht="15.0" customHeight="1">
      <c r="A174" s="188"/>
      <c r="B174" s="189"/>
      <c r="C174" s="189" t="s">
        <v>1447</v>
      </c>
      <c r="D174" s="189" t="s">
        <v>1728</v>
      </c>
      <c r="E174" s="189" t="s">
        <v>1448</v>
      </c>
      <c r="F174" s="189" t="s">
        <v>1725</v>
      </c>
    </row>
    <row r="175" ht="15.0" customHeight="1">
      <c r="A175" s="188"/>
      <c r="B175" s="189"/>
      <c r="C175" s="189" t="s">
        <v>1447</v>
      </c>
      <c r="D175" s="189" t="s">
        <v>1728</v>
      </c>
      <c r="E175" s="189" t="s">
        <v>1448</v>
      </c>
      <c r="F175" s="189" t="s">
        <v>1695</v>
      </c>
    </row>
    <row r="176" ht="15.0" customHeight="1">
      <c r="A176" s="188"/>
      <c r="B176" s="189"/>
      <c r="C176" s="189" t="s">
        <v>1447</v>
      </c>
      <c r="D176" s="189" t="s">
        <v>1728</v>
      </c>
      <c r="E176" s="189" t="s">
        <v>1448</v>
      </c>
      <c r="F176" s="190" t="s">
        <v>1744</v>
      </c>
    </row>
    <row r="177" ht="15.0" customHeight="1">
      <c r="A177" s="188"/>
      <c r="B177" s="189"/>
      <c r="C177" s="189" t="s">
        <v>1447</v>
      </c>
      <c r="D177" s="189" t="s">
        <v>1728</v>
      </c>
      <c r="E177" s="189" t="s">
        <v>1448</v>
      </c>
      <c r="F177" s="189" t="s">
        <v>1730</v>
      </c>
    </row>
    <row r="178" ht="15.0" customHeight="1">
      <c r="A178" s="188"/>
      <c r="B178" s="189"/>
      <c r="C178" s="189" t="s">
        <v>1447</v>
      </c>
      <c r="D178" s="189" t="s">
        <v>1728</v>
      </c>
      <c r="E178" s="189" t="s">
        <v>1448</v>
      </c>
      <c r="F178" s="189" t="s">
        <v>1731</v>
      </c>
    </row>
    <row r="179" ht="15.0" customHeight="1">
      <c r="A179" s="188"/>
      <c r="B179" s="189"/>
      <c r="C179" s="189" t="s">
        <v>1447</v>
      </c>
      <c r="D179" s="189" t="s">
        <v>1728</v>
      </c>
      <c r="E179" s="189" t="s">
        <v>1448</v>
      </c>
      <c r="F179" s="189" t="s">
        <v>1733</v>
      </c>
    </row>
    <row r="180" ht="15.0" customHeight="1">
      <c r="A180" s="188"/>
      <c r="B180" s="189"/>
      <c r="C180" s="189" t="s">
        <v>1447</v>
      </c>
      <c r="D180" s="189" t="s">
        <v>1728</v>
      </c>
      <c r="E180" s="189" t="s">
        <v>1448</v>
      </c>
      <c r="F180" s="189" t="s">
        <v>1734</v>
      </c>
    </row>
    <row r="181" ht="15.0" customHeight="1">
      <c r="A181" s="188"/>
      <c r="B181" s="189"/>
      <c r="C181" s="189" t="s">
        <v>1447</v>
      </c>
      <c r="D181" s="189" t="s">
        <v>1728</v>
      </c>
      <c r="E181" s="189" t="s">
        <v>1448</v>
      </c>
      <c r="F181" s="189" t="s">
        <v>1736</v>
      </c>
    </row>
    <row r="182" ht="15.0" customHeight="1">
      <c r="A182" s="188"/>
      <c r="B182" s="189"/>
      <c r="C182" s="189" t="s">
        <v>1447</v>
      </c>
      <c r="D182" s="189" t="s">
        <v>1728</v>
      </c>
      <c r="E182" s="189" t="s">
        <v>1448</v>
      </c>
      <c r="F182" s="189" t="s">
        <v>1725</v>
      </c>
    </row>
    <row r="183" ht="15.0" customHeight="1">
      <c r="A183" s="188"/>
      <c r="B183" s="189"/>
      <c r="C183" s="189" t="s">
        <v>1447</v>
      </c>
      <c r="D183" s="189" t="s">
        <v>1728</v>
      </c>
      <c r="E183" s="189" t="s">
        <v>1448</v>
      </c>
      <c r="F183" s="189" t="s">
        <v>1695</v>
      </c>
    </row>
    <row r="184" ht="15.0" customHeight="1">
      <c r="A184" s="188"/>
      <c r="B184" s="189"/>
      <c r="C184" s="189" t="s">
        <v>1447</v>
      </c>
      <c r="D184" s="189" t="s">
        <v>1010</v>
      </c>
      <c r="E184" s="189" t="s">
        <v>1448</v>
      </c>
      <c r="F184" s="190" t="s">
        <v>1750</v>
      </c>
    </row>
    <row r="185" ht="15.0" customHeight="1">
      <c r="A185" s="188"/>
      <c r="B185" s="189"/>
      <c r="C185" s="189" t="s">
        <v>1447</v>
      </c>
      <c r="D185" s="189" t="s">
        <v>1010</v>
      </c>
      <c r="E185" s="189" t="s">
        <v>1448</v>
      </c>
      <c r="F185" s="189" t="s">
        <v>1730</v>
      </c>
    </row>
    <row r="186" ht="15.0" customHeight="1">
      <c r="A186" s="188"/>
      <c r="B186" s="189"/>
      <c r="C186" s="189" t="s">
        <v>1447</v>
      </c>
      <c r="D186" s="189" t="s">
        <v>1010</v>
      </c>
      <c r="E186" s="189" t="s">
        <v>1448</v>
      </c>
      <c r="F186" s="189" t="s">
        <v>1731</v>
      </c>
    </row>
    <row r="187" ht="15.0" customHeight="1">
      <c r="A187" s="188"/>
      <c r="B187" s="189"/>
      <c r="C187" s="189" t="s">
        <v>1447</v>
      </c>
      <c r="D187" s="189" t="s">
        <v>1010</v>
      </c>
      <c r="E187" s="189" t="s">
        <v>1448</v>
      </c>
      <c r="F187" s="189" t="s">
        <v>1733</v>
      </c>
    </row>
    <row r="188" ht="15.0" customHeight="1">
      <c r="A188" s="188"/>
      <c r="B188" s="189"/>
      <c r="C188" s="189" t="s">
        <v>1447</v>
      </c>
      <c r="D188" s="189" t="s">
        <v>1010</v>
      </c>
      <c r="E188" s="189" t="s">
        <v>1448</v>
      </c>
      <c r="F188" s="189" t="s">
        <v>1734</v>
      </c>
    </row>
    <row r="189" ht="15.0" customHeight="1">
      <c r="A189" s="188"/>
      <c r="B189" s="189"/>
      <c r="C189" s="189" t="s">
        <v>1447</v>
      </c>
      <c r="D189" s="189" t="s">
        <v>1010</v>
      </c>
      <c r="E189" s="189" t="s">
        <v>1448</v>
      </c>
      <c r="F189" s="189" t="s">
        <v>1736</v>
      </c>
    </row>
    <row r="190" ht="15.0" customHeight="1">
      <c r="A190" s="188"/>
      <c r="B190" s="189"/>
      <c r="C190" s="189" t="s">
        <v>1447</v>
      </c>
      <c r="D190" s="189" t="s">
        <v>1010</v>
      </c>
      <c r="E190" s="189" t="s">
        <v>1448</v>
      </c>
      <c r="F190" s="189" t="s">
        <v>1725</v>
      </c>
    </row>
    <row r="191" ht="15.0" customHeight="1">
      <c r="A191" s="188"/>
      <c r="B191" s="189"/>
      <c r="C191" s="189" t="s">
        <v>1447</v>
      </c>
      <c r="D191" s="189" t="s">
        <v>1010</v>
      </c>
      <c r="E191" s="189" t="s">
        <v>1448</v>
      </c>
      <c r="F191" s="189" t="s">
        <v>1726</v>
      </c>
    </row>
    <row r="192" ht="15.0" customHeight="1">
      <c r="A192" s="188"/>
      <c r="B192" s="189"/>
      <c r="C192" s="189" t="s">
        <v>1447</v>
      </c>
      <c r="D192" s="189" t="s">
        <v>1010</v>
      </c>
      <c r="E192" s="189" t="s">
        <v>1448</v>
      </c>
      <c r="F192" s="189" t="s">
        <v>1727</v>
      </c>
    </row>
    <row r="193" ht="15.0" customHeight="1">
      <c r="A193" s="188"/>
      <c r="B193" s="189"/>
      <c r="C193" s="189" t="s">
        <v>1447</v>
      </c>
      <c r="D193" s="189" t="s">
        <v>1010</v>
      </c>
      <c r="E193" s="189" t="s">
        <v>1448</v>
      </c>
      <c r="F193" s="189" t="s">
        <v>1695</v>
      </c>
    </row>
    <row r="194" ht="15.0" customHeight="1">
      <c r="A194" s="188"/>
      <c r="B194" s="189"/>
      <c r="C194" s="189" t="s">
        <v>1447</v>
      </c>
      <c r="D194" s="189" t="s">
        <v>1757</v>
      </c>
      <c r="E194" s="189" t="s">
        <v>1448</v>
      </c>
      <c r="F194" s="190" t="s">
        <v>1758</v>
      </c>
    </row>
    <row r="195" ht="15.0" customHeight="1">
      <c r="A195" s="188"/>
      <c r="B195" s="189"/>
      <c r="C195" s="189" t="s">
        <v>1447</v>
      </c>
      <c r="D195" s="189" t="s">
        <v>1757</v>
      </c>
      <c r="E195" s="189" t="s">
        <v>1448</v>
      </c>
      <c r="F195" s="189" t="s">
        <v>1730</v>
      </c>
    </row>
    <row r="196" ht="15.0" customHeight="1">
      <c r="A196" s="188"/>
      <c r="B196" s="189"/>
      <c r="C196" s="189" t="s">
        <v>1447</v>
      </c>
      <c r="D196" s="189" t="s">
        <v>1757</v>
      </c>
      <c r="E196" s="189" t="s">
        <v>1448</v>
      </c>
      <c r="F196" s="189" t="s">
        <v>1731</v>
      </c>
    </row>
    <row r="197" ht="15.0" customHeight="1">
      <c r="A197" s="188"/>
      <c r="B197" s="189"/>
      <c r="C197" s="189" t="s">
        <v>1447</v>
      </c>
      <c r="D197" s="189" t="s">
        <v>1757</v>
      </c>
      <c r="E197" s="189" t="s">
        <v>1448</v>
      </c>
      <c r="F197" s="189" t="s">
        <v>1733</v>
      </c>
    </row>
    <row r="198" ht="15.0" customHeight="1">
      <c r="A198" s="188"/>
      <c r="B198" s="189"/>
      <c r="C198" s="189" t="s">
        <v>1447</v>
      </c>
      <c r="D198" s="189" t="s">
        <v>1757</v>
      </c>
      <c r="E198" s="189" t="s">
        <v>1448</v>
      </c>
      <c r="F198" s="189" t="s">
        <v>1734</v>
      </c>
    </row>
    <row r="199" ht="15.0" customHeight="1">
      <c r="A199" s="188"/>
      <c r="B199" s="189"/>
      <c r="C199" s="189" t="s">
        <v>1447</v>
      </c>
      <c r="D199" s="189" t="s">
        <v>1757</v>
      </c>
      <c r="E199" s="189" t="s">
        <v>1448</v>
      </c>
      <c r="F199" s="189" t="s">
        <v>1736</v>
      </c>
    </row>
    <row r="200" ht="15.0" customHeight="1">
      <c r="A200" s="188"/>
      <c r="B200" s="189"/>
      <c r="C200" s="189" t="s">
        <v>1447</v>
      </c>
      <c r="D200" s="189" t="s">
        <v>1757</v>
      </c>
      <c r="E200" s="189" t="s">
        <v>1448</v>
      </c>
      <c r="F200" s="189" t="s">
        <v>1761</v>
      </c>
    </row>
    <row r="201" ht="15.0" customHeight="1">
      <c r="A201" s="188"/>
      <c r="B201" s="189"/>
      <c r="C201" s="189" t="s">
        <v>1447</v>
      </c>
      <c r="D201" s="189" t="s">
        <v>1757</v>
      </c>
      <c r="E201" s="189" t="s">
        <v>1448</v>
      </c>
      <c r="F201" s="189" t="s">
        <v>1763</v>
      </c>
    </row>
    <row r="202" ht="15.0" customHeight="1">
      <c r="A202" s="188"/>
      <c r="B202" s="189"/>
      <c r="C202" s="189" t="s">
        <v>1447</v>
      </c>
      <c r="D202" s="189" t="s">
        <v>1757</v>
      </c>
      <c r="E202" s="189" t="s">
        <v>1448</v>
      </c>
      <c r="F202" s="189" t="s">
        <v>1764</v>
      </c>
    </row>
    <row r="203" ht="15.0" customHeight="1">
      <c r="A203" s="188"/>
      <c r="B203" s="189"/>
      <c r="C203" s="189" t="s">
        <v>1447</v>
      </c>
      <c r="D203" s="189" t="s">
        <v>1757</v>
      </c>
      <c r="E203" s="189" t="s">
        <v>1448</v>
      </c>
      <c r="F203" s="189" t="s">
        <v>1695</v>
      </c>
    </row>
    <row r="204" ht="15.0" customHeight="1">
      <c r="A204" s="188"/>
      <c r="B204" s="189"/>
      <c r="C204" s="189" t="s">
        <v>1447</v>
      </c>
      <c r="D204" s="189" t="s">
        <v>1766</v>
      </c>
      <c r="E204" s="189" t="s">
        <v>1448</v>
      </c>
      <c r="F204" s="190" t="s">
        <v>1767</v>
      </c>
    </row>
    <row r="205" ht="15.0" customHeight="1">
      <c r="A205" s="188"/>
      <c r="B205" s="189"/>
      <c r="C205" s="189" t="s">
        <v>1447</v>
      </c>
      <c r="D205" s="189" t="s">
        <v>1766</v>
      </c>
      <c r="E205" s="189" t="s">
        <v>1448</v>
      </c>
      <c r="F205" s="189" t="s">
        <v>1730</v>
      </c>
    </row>
    <row r="206" ht="15.0" customHeight="1">
      <c r="A206" s="188"/>
      <c r="B206" s="189"/>
      <c r="C206" s="189" t="s">
        <v>1447</v>
      </c>
      <c r="D206" s="189" t="s">
        <v>1766</v>
      </c>
      <c r="E206" s="189" t="s">
        <v>1448</v>
      </c>
      <c r="F206" s="189" t="s">
        <v>1731</v>
      </c>
    </row>
    <row r="207" ht="15.0" customHeight="1">
      <c r="A207" s="188"/>
      <c r="B207" s="189"/>
      <c r="C207" s="189" t="s">
        <v>1447</v>
      </c>
      <c r="D207" s="189" t="s">
        <v>1766</v>
      </c>
      <c r="E207" s="189" t="s">
        <v>1448</v>
      </c>
      <c r="F207" s="189" t="s">
        <v>1733</v>
      </c>
    </row>
    <row r="208" ht="15.0" customHeight="1">
      <c r="A208" s="188"/>
      <c r="B208" s="189"/>
      <c r="C208" s="189" t="s">
        <v>1447</v>
      </c>
      <c r="D208" s="189" t="s">
        <v>1766</v>
      </c>
      <c r="E208" s="189" t="s">
        <v>1448</v>
      </c>
      <c r="F208" s="189" t="s">
        <v>1734</v>
      </c>
    </row>
    <row r="209" ht="15.0" customHeight="1">
      <c r="A209" s="188"/>
      <c r="B209" s="189"/>
      <c r="C209" s="189" t="s">
        <v>1447</v>
      </c>
      <c r="D209" s="189" t="s">
        <v>1766</v>
      </c>
      <c r="E209" s="189" t="s">
        <v>1448</v>
      </c>
      <c r="F209" s="189" t="s">
        <v>1736</v>
      </c>
    </row>
    <row r="210" ht="15.0" customHeight="1">
      <c r="A210" s="188"/>
      <c r="B210" s="189"/>
      <c r="C210" s="189" t="s">
        <v>1447</v>
      </c>
      <c r="D210" s="189" t="s">
        <v>1766</v>
      </c>
      <c r="E210" s="189" t="s">
        <v>1448</v>
      </c>
      <c r="F210" s="189" t="s">
        <v>1761</v>
      </c>
    </row>
    <row r="211" ht="15.0" customHeight="1">
      <c r="A211" s="188"/>
      <c r="B211" s="189"/>
      <c r="C211" s="189" t="s">
        <v>1447</v>
      </c>
      <c r="D211" s="189" t="s">
        <v>1766</v>
      </c>
      <c r="E211" s="189" t="s">
        <v>1448</v>
      </c>
      <c r="F211" s="189" t="s">
        <v>1763</v>
      </c>
    </row>
    <row r="212" ht="15.0" customHeight="1">
      <c r="A212" s="188"/>
      <c r="B212" s="189"/>
      <c r="C212" s="189" t="s">
        <v>1447</v>
      </c>
      <c r="D212" s="189" t="s">
        <v>1766</v>
      </c>
      <c r="E212" s="189" t="s">
        <v>1448</v>
      </c>
      <c r="F212" s="189" t="s">
        <v>1764</v>
      </c>
    </row>
    <row r="213" ht="15.0" customHeight="1">
      <c r="A213" s="188"/>
      <c r="B213" s="189"/>
      <c r="C213" s="189" t="s">
        <v>1447</v>
      </c>
      <c r="D213" s="189" t="s">
        <v>1766</v>
      </c>
      <c r="E213" s="189" t="s">
        <v>1448</v>
      </c>
      <c r="F213" s="189" t="s">
        <v>1695</v>
      </c>
    </row>
    <row r="214" ht="15.0" customHeight="1">
      <c r="A214" s="188"/>
      <c r="B214" s="189"/>
      <c r="C214" s="189" t="s">
        <v>1447</v>
      </c>
      <c r="D214" s="189" t="s">
        <v>1773</v>
      </c>
      <c r="E214" s="189" t="s">
        <v>1448</v>
      </c>
      <c r="F214" s="190" t="s">
        <v>1774</v>
      </c>
    </row>
    <row r="215" ht="15.0" customHeight="1">
      <c r="A215" s="188"/>
      <c r="B215" s="189"/>
      <c r="C215" s="189" t="s">
        <v>1447</v>
      </c>
      <c r="D215" s="189" t="s">
        <v>1773</v>
      </c>
      <c r="E215" s="189" t="s">
        <v>1448</v>
      </c>
      <c r="F215" s="189" t="s">
        <v>1730</v>
      </c>
    </row>
    <row r="216" ht="15.0" customHeight="1">
      <c r="A216" s="188"/>
      <c r="B216" s="189"/>
      <c r="C216" s="189" t="s">
        <v>1447</v>
      </c>
      <c r="D216" s="189" t="s">
        <v>1773</v>
      </c>
      <c r="E216" s="189" t="s">
        <v>1448</v>
      </c>
      <c r="F216" s="189" t="s">
        <v>1731</v>
      </c>
    </row>
    <row r="217" ht="15.0" customHeight="1">
      <c r="A217" s="188"/>
      <c r="B217" s="189"/>
      <c r="C217" s="189" t="s">
        <v>1447</v>
      </c>
      <c r="D217" s="189" t="s">
        <v>1773</v>
      </c>
      <c r="E217" s="189" t="s">
        <v>1448</v>
      </c>
      <c r="F217" s="189" t="s">
        <v>1733</v>
      </c>
    </row>
    <row r="218" ht="15.0" customHeight="1">
      <c r="A218" s="188"/>
      <c r="B218" s="189"/>
      <c r="C218" s="189" t="s">
        <v>1447</v>
      </c>
      <c r="D218" s="189" t="s">
        <v>1773</v>
      </c>
      <c r="E218" s="189" t="s">
        <v>1448</v>
      </c>
      <c r="F218" s="189" t="s">
        <v>1734</v>
      </c>
    </row>
    <row r="219" ht="15.0" customHeight="1">
      <c r="A219" s="188"/>
      <c r="B219" s="189"/>
      <c r="C219" s="189" t="s">
        <v>1447</v>
      </c>
      <c r="D219" s="189" t="s">
        <v>1773</v>
      </c>
      <c r="E219" s="189" t="s">
        <v>1448</v>
      </c>
      <c r="F219" s="189" t="s">
        <v>1736</v>
      </c>
    </row>
    <row r="220" ht="15.0" customHeight="1">
      <c r="A220" s="188"/>
      <c r="B220" s="189"/>
      <c r="C220" s="189" t="s">
        <v>1447</v>
      </c>
      <c r="D220" s="189" t="s">
        <v>1773</v>
      </c>
      <c r="E220" s="189" t="s">
        <v>1448</v>
      </c>
      <c r="F220" s="189" t="s">
        <v>1761</v>
      </c>
    </row>
    <row r="221" ht="15.0" customHeight="1">
      <c r="A221" s="188"/>
      <c r="B221" s="189"/>
      <c r="C221" s="189" t="s">
        <v>1447</v>
      </c>
      <c r="D221" s="189" t="s">
        <v>1773</v>
      </c>
      <c r="E221" s="189" t="s">
        <v>1448</v>
      </c>
      <c r="F221" s="189" t="s">
        <v>1763</v>
      </c>
    </row>
    <row r="222" ht="15.0" customHeight="1">
      <c r="A222" s="188"/>
      <c r="B222" s="189"/>
      <c r="C222" s="189" t="s">
        <v>1447</v>
      </c>
      <c r="D222" s="189" t="s">
        <v>1773</v>
      </c>
      <c r="E222" s="189" t="s">
        <v>1448</v>
      </c>
      <c r="F222" s="189" t="s">
        <v>1764</v>
      </c>
    </row>
    <row r="223" ht="15.0" customHeight="1">
      <c r="A223" s="188"/>
      <c r="B223" s="189"/>
      <c r="C223" s="189" t="s">
        <v>1447</v>
      </c>
      <c r="D223" s="189" t="s">
        <v>1773</v>
      </c>
      <c r="E223" s="189" t="s">
        <v>1448</v>
      </c>
      <c r="F223" s="189" t="s">
        <v>1695</v>
      </c>
    </row>
    <row r="224" ht="15.0" customHeight="1">
      <c r="A224" s="188"/>
      <c r="B224" s="189"/>
      <c r="C224" s="189" t="s">
        <v>1447</v>
      </c>
      <c r="D224" s="189" t="s">
        <v>1780</v>
      </c>
      <c r="E224" s="189" t="s">
        <v>1448</v>
      </c>
      <c r="F224" s="190" t="s">
        <v>1781</v>
      </c>
    </row>
    <row r="225" ht="15.0" customHeight="1">
      <c r="A225" s="188"/>
      <c r="B225" s="189"/>
      <c r="C225" s="189" t="s">
        <v>1447</v>
      </c>
      <c r="D225" s="189" t="s">
        <v>1780</v>
      </c>
      <c r="E225" s="189" t="s">
        <v>1448</v>
      </c>
      <c r="F225" s="189" t="s">
        <v>1730</v>
      </c>
    </row>
    <row r="226" ht="15.0" customHeight="1">
      <c r="A226" s="188"/>
      <c r="B226" s="189"/>
      <c r="C226" s="189" t="s">
        <v>1447</v>
      </c>
      <c r="D226" s="189" t="s">
        <v>1780</v>
      </c>
      <c r="E226" s="189" t="s">
        <v>1448</v>
      </c>
      <c r="F226" s="189" t="s">
        <v>1731</v>
      </c>
    </row>
    <row r="227" ht="15.0" customHeight="1">
      <c r="A227" s="188"/>
      <c r="B227" s="189"/>
      <c r="C227" s="189" t="s">
        <v>1447</v>
      </c>
      <c r="D227" s="189" t="s">
        <v>1780</v>
      </c>
      <c r="E227" s="189" t="s">
        <v>1448</v>
      </c>
      <c r="F227" s="189" t="s">
        <v>1733</v>
      </c>
    </row>
    <row r="228" ht="15.0" customHeight="1">
      <c r="A228" s="188"/>
      <c r="B228" s="189"/>
      <c r="C228" s="189" t="s">
        <v>1447</v>
      </c>
      <c r="D228" s="189" t="s">
        <v>1780</v>
      </c>
      <c r="E228" s="189" t="s">
        <v>1448</v>
      </c>
      <c r="F228" s="189" t="s">
        <v>1734</v>
      </c>
    </row>
    <row r="229" ht="15.0" customHeight="1">
      <c r="A229" s="188"/>
      <c r="B229" s="189"/>
      <c r="C229" s="189" t="s">
        <v>1447</v>
      </c>
      <c r="D229" s="189" t="s">
        <v>1780</v>
      </c>
      <c r="E229" s="189" t="s">
        <v>1448</v>
      </c>
      <c r="F229" s="189" t="s">
        <v>1736</v>
      </c>
    </row>
    <row r="230" ht="15.0" customHeight="1">
      <c r="A230" s="188"/>
      <c r="B230" s="189"/>
      <c r="C230" s="189" t="s">
        <v>1447</v>
      </c>
      <c r="D230" s="189" t="s">
        <v>1780</v>
      </c>
      <c r="E230" s="189" t="s">
        <v>1448</v>
      </c>
      <c r="F230" s="189" t="s">
        <v>1761</v>
      </c>
    </row>
    <row r="231" ht="15.0" customHeight="1">
      <c r="A231" s="188"/>
      <c r="B231" s="189"/>
      <c r="C231" s="189" t="s">
        <v>1447</v>
      </c>
      <c r="D231" s="189" t="s">
        <v>1780</v>
      </c>
      <c r="E231" s="189" t="s">
        <v>1448</v>
      </c>
      <c r="F231" s="189" t="s">
        <v>1763</v>
      </c>
    </row>
    <row r="232" ht="15.0" customHeight="1">
      <c r="A232" s="188"/>
      <c r="B232" s="189"/>
      <c r="C232" s="189" t="s">
        <v>1447</v>
      </c>
      <c r="D232" s="189" t="s">
        <v>1780</v>
      </c>
      <c r="E232" s="189" t="s">
        <v>1448</v>
      </c>
      <c r="F232" s="189" t="s">
        <v>1764</v>
      </c>
    </row>
    <row r="233" ht="15.0" customHeight="1">
      <c r="A233" s="188"/>
      <c r="B233" s="189"/>
      <c r="C233" s="189" t="s">
        <v>1447</v>
      </c>
      <c r="D233" s="189" t="s">
        <v>1780</v>
      </c>
      <c r="E233" s="189" t="s">
        <v>1448</v>
      </c>
      <c r="F233" s="189" t="s">
        <v>1695</v>
      </c>
    </row>
    <row r="234" ht="15.0" customHeight="1">
      <c r="A234" s="188"/>
      <c r="B234" s="189"/>
      <c r="C234" s="189" t="s">
        <v>1447</v>
      </c>
      <c r="D234" s="189" t="s">
        <v>1447</v>
      </c>
      <c r="E234" s="189" t="s">
        <v>1448</v>
      </c>
      <c r="F234" s="190" t="s">
        <v>842</v>
      </c>
    </row>
    <row r="235" ht="15.0" customHeight="1">
      <c r="A235" s="188"/>
      <c r="B235" s="189"/>
      <c r="C235" s="189" t="s">
        <v>1447</v>
      </c>
      <c r="D235" s="189" t="s">
        <v>1447</v>
      </c>
      <c r="E235" s="189" t="s">
        <v>1448</v>
      </c>
      <c r="F235" s="189" t="s">
        <v>1787</v>
      </c>
    </row>
    <row r="236" ht="15.0" customHeight="1">
      <c r="A236" s="188"/>
      <c r="B236" s="189"/>
      <c r="C236" s="189" t="s">
        <v>1447</v>
      </c>
      <c r="D236" s="189" t="s">
        <v>1447</v>
      </c>
      <c r="E236" s="189" t="s">
        <v>1448</v>
      </c>
      <c r="F236" s="189" t="s">
        <v>1488</v>
      </c>
    </row>
    <row r="237" ht="15.0" customHeight="1">
      <c r="A237" s="188"/>
      <c r="B237" s="189"/>
      <c r="C237" s="189" t="s">
        <v>1447</v>
      </c>
      <c r="D237" s="189" t="s">
        <v>795</v>
      </c>
      <c r="E237" s="189" t="s">
        <v>1448</v>
      </c>
      <c r="F237" s="190" t="s">
        <v>1063</v>
      </c>
    </row>
    <row r="238" ht="15.0" customHeight="1">
      <c r="A238" s="188"/>
      <c r="B238" s="189"/>
      <c r="C238" s="189" t="s">
        <v>1447</v>
      </c>
      <c r="D238" s="189" t="s">
        <v>1063</v>
      </c>
      <c r="E238" s="189" t="s">
        <v>1448</v>
      </c>
      <c r="F238" s="189" t="s">
        <v>1489</v>
      </c>
    </row>
    <row r="239" ht="15.0" customHeight="1">
      <c r="A239" s="188"/>
      <c r="B239" s="189"/>
      <c r="C239" s="189" t="s">
        <v>1447</v>
      </c>
      <c r="D239" s="189" t="s">
        <v>1063</v>
      </c>
      <c r="E239" s="189" t="s">
        <v>1448</v>
      </c>
      <c r="F239" s="189" t="s">
        <v>1490</v>
      </c>
    </row>
    <row r="240" ht="15.0" customHeight="1">
      <c r="A240" s="188"/>
      <c r="B240" s="189"/>
      <c r="C240" s="189" t="s">
        <v>1447</v>
      </c>
      <c r="D240" s="189" t="s">
        <v>1063</v>
      </c>
      <c r="E240" s="189" t="s">
        <v>1448</v>
      </c>
      <c r="F240" s="189" t="s">
        <v>1491</v>
      </c>
    </row>
    <row r="241" ht="15.0" customHeight="1">
      <c r="A241" s="188"/>
      <c r="B241" s="189"/>
      <c r="C241" s="189" t="s">
        <v>1447</v>
      </c>
      <c r="D241" s="189" t="s">
        <v>1063</v>
      </c>
      <c r="E241" s="189" t="s">
        <v>1448</v>
      </c>
      <c r="F241" s="189" t="s">
        <v>1492</v>
      </c>
    </row>
    <row r="242" ht="15.0" customHeight="1">
      <c r="A242" s="188"/>
      <c r="B242" s="189"/>
      <c r="C242" s="189" t="s">
        <v>1447</v>
      </c>
      <c r="D242" s="189" t="s">
        <v>1063</v>
      </c>
      <c r="E242" s="189" t="s">
        <v>1448</v>
      </c>
      <c r="F242" s="189" t="s">
        <v>1695</v>
      </c>
    </row>
    <row r="243" ht="15.0" customHeight="1">
      <c r="A243" s="188"/>
      <c r="B243" s="189"/>
      <c r="C243" s="189" t="s">
        <v>1447</v>
      </c>
      <c r="D243" s="189" t="s">
        <v>1063</v>
      </c>
      <c r="E243" s="189" t="s">
        <v>1448</v>
      </c>
      <c r="F243" s="190" t="s">
        <v>702</v>
      </c>
    </row>
    <row r="244" ht="15.0" customHeight="1">
      <c r="A244" s="188"/>
      <c r="B244" s="189"/>
      <c r="C244" s="189" t="s">
        <v>1447</v>
      </c>
      <c r="D244" s="189" t="s">
        <v>1063</v>
      </c>
      <c r="E244" s="189" t="s">
        <v>1448</v>
      </c>
      <c r="F244" s="189" t="s">
        <v>1730</v>
      </c>
    </row>
    <row r="245" ht="15.0" customHeight="1">
      <c r="A245" s="188"/>
      <c r="B245" s="189"/>
      <c r="C245" s="189" t="s">
        <v>1447</v>
      </c>
      <c r="D245" s="189" t="s">
        <v>1063</v>
      </c>
      <c r="E245" s="189" t="s">
        <v>1448</v>
      </c>
      <c r="F245" s="189" t="s">
        <v>1731</v>
      </c>
    </row>
    <row r="246" ht="15.0" customHeight="1">
      <c r="A246" s="188"/>
      <c r="B246" s="189"/>
      <c r="C246" s="189" t="s">
        <v>1447</v>
      </c>
      <c r="D246" s="189" t="s">
        <v>1063</v>
      </c>
      <c r="E246" s="189" t="s">
        <v>1448</v>
      </c>
      <c r="F246" s="189" t="s">
        <v>1792</v>
      </c>
    </row>
    <row r="247" ht="15.0" customHeight="1">
      <c r="A247" s="188"/>
      <c r="B247" s="189"/>
      <c r="C247" s="189" t="s">
        <v>1447</v>
      </c>
      <c r="D247" s="189" t="s">
        <v>1063</v>
      </c>
      <c r="E247" s="189" t="s">
        <v>1448</v>
      </c>
      <c r="F247" s="189" t="s">
        <v>1734</v>
      </c>
    </row>
    <row r="248" ht="15.0" customHeight="1">
      <c r="A248" s="188"/>
      <c r="B248" s="189"/>
      <c r="C248" s="189" t="s">
        <v>1447</v>
      </c>
      <c r="D248" s="189" t="s">
        <v>1063</v>
      </c>
      <c r="E248" s="189" t="s">
        <v>1448</v>
      </c>
      <c r="F248" s="189" t="s">
        <v>1736</v>
      </c>
    </row>
    <row r="249" ht="15.0" customHeight="1">
      <c r="A249" s="188"/>
      <c r="B249" s="189"/>
      <c r="C249" s="189" t="s">
        <v>1447</v>
      </c>
      <c r="D249" s="189" t="s">
        <v>1063</v>
      </c>
      <c r="E249" s="189" t="s">
        <v>1448</v>
      </c>
      <c r="F249" s="189" t="s">
        <v>1795</v>
      </c>
    </row>
    <row r="250" ht="15.0" customHeight="1">
      <c r="A250" s="188"/>
      <c r="B250" s="189"/>
      <c r="C250" s="189" t="s">
        <v>1447</v>
      </c>
      <c r="D250" s="189" t="s">
        <v>1063</v>
      </c>
      <c r="E250" s="189" t="s">
        <v>1448</v>
      </c>
      <c r="F250" s="189" t="s">
        <v>1695</v>
      </c>
    </row>
    <row r="251" ht="15.0" customHeight="1">
      <c r="A251" s="188"/>
      <c r="B251" s="189"/>
      <c r="C251" s="189" t="s">
        <v>1796</v>
      </c>
      <c r="D251" s="189" t="s">
        <v>716</v>
      </c>
      <c r="E251" s="189" t="s">
        <v>1798</v>
      </c>
      <c r="F251" s="189" t="s">
        <v>1799</v>
      </c>
    </row>
    <row r="252" ht="15.0" customHeight="1">
      <c r="A252" s="188"/>
      <c r="B252" s="189"/>
      <c r="C252" s="189" t="s">
        <v>1796</v>
      </c>
      <c r="D252" s="189" t="s">
        <v>716</v>
      </c>
      <c r="E252" s="189" t="s">
        <v>1798</v>
      </c>
      <c r="F252" s="192" t="s">
        <v>1800</v>
      </c>
    </row>
    <row r="253" ht="15.0" customHeight="1">
      <c r="A253" s="188"/>
      <c r="B253" s="189"/>
      <c r="C253" s="189" t="s">
        <v>1796</v>
      </c>
      <c r="D253" s="189" t="s">
        <v>716</v>
      </c>
      <c r="E253" s="189" t="s">
        <v>1798</v>
      </c>
      <c r="F253" s="192" t="s">
        <v>1729</v>
      </c>
    </row>
    <row r="254" ht="15.0" customHeight="1">
      <c r="A254" s="188"/>
      <c r="B254" s="189"/>
      <c r="C254" s="189" t="s">
        <v>1796</v>
      </c>
      <c r="D254" s="189" t="s">
        <v>716</v>
      </c>
      <c r="E254" s="189" t="s">
        <v>1798</v>
      </c>
      <c r="F254" s="189" t="s">
        <v>1730</v>
      </c>
    </row>
    <row r="255" ht="15.0" customHeight="1">
      <c r="A255" s="188"/>
      <c r="B255" s="189"/>
      <c r="C255" s="189" t="s">
        <v>1796</v>
      </c>
      <c r="D255" s="189" t="s">
        <v>716</v>
      </c>
      <c r="E255" s="189" t="s">
        <v>1798</v>
      </c>
      <c r="F255" s="189" t="s">
        <v>1731</v>
      </c>
    </row>
    <row r="256" ht="15.0" customHeight="1">
      <c r="A256" s="188"/>
      <c r="B256" s="189"/>
      <c r="C256" s="189" t="s">
        <v>1796</v>
      </c>
      <c r="D256" s="189" t="s">
        <v>716</v>
      </c>
      <c r="E256" s="189" t="s">
        <v>1798</v>
      </c>
      <c r="F256" s="189" t="s">
        <v>1733</v>
      </c>
    </row>
    <row r="257" ht="15.0" customHeight="1">
      <c r="A257" s="188"/>
      <c r="B257" s="189"/>
      <c r="C257" s="189" t="s">
        <v>1796</v>
      </c>
      <c r="D257" s="189" t="s">
        <v>716</v>
      </c>
      <c r="E257" s="189" t="s">
        <v>1798</v>
      </c>
      <c r="F257" s="189" t="s">
        <v>1734</v>
      </c>
    </row>
    <row r="258" ht="15.0" customHeight="1">
      <c r="A258" s="188"/>
      <c r="B258" s="189"/>
      <c r="C258" s="189" t="s">
        <v>1796</v>
      </c>
      <c r="D258" s="189" t="s">
        <v>716</v>
      </c>
      <c r="E258" s="189" t="s">
        <v>1798</v>
      </c>
      <c r="F258" s="189" t="s">
        <v>1736</v>
      </c>
    </row>
    <row r="259" ht="15.0" customHeight="1">
      <c r="A259" s="188"/>
      <c r="B259" s="189"/>
      <c r="C259" s="189" t="s">
        <v>1796</v>
      </c>
      <c r="D259" s="189" t="s">
        <v>716</v>
      </c>
      <c r="E259" s="189" t="s">
        <v>1798</v>
      </c>
      <c r="F259" s="189" t="s">
        <v>1725</v>
      </c>
    </row>
    <row r="260" ht="15.0" customHeight="1">
      <c r="A260" s="188"/>
      <c r="B260" s="189"/>
      <c r="C260" s="189" t="s">
        <v>1796</v>
      </c>
      <c r="D260" s="189" t="s">
        <v>716</v>
      </c>
      <c r="E260" s="189" t="s">
        <v>1798</v>
      </c>
      <c r="F260" s="189" t="s">
        <v>1802</v>
      </c>
    </row>
    <row r="261" ht="15.0" customHeight="1">
      <c r="A261" s="188"/>
      <c r="B261" s="189"/>
      <c r="C261" s="189" t="s">
        <v>1796</v>
      </c>
      <c r="D261" s="189" t="s">
        <v>716</v>
      </c>
      <c r="E261" s="189" t="s">
        <v>1798</v>
      </c>
      <c r="F261" s="189" t="s">
        <v>1804</v>
      </c>
    </row>
    <row r="262" ht="15.0" customHeight="1">
      <c r="A262" s="188"/>
      <c r="B262" s="189"/>
      <c r="C262" s="189" t="s">
        <v>1796</v>
      </c>
      <c r="D262" s="189" t="s">
        <v>716</v>
      </c>
      <c r="E262" s="189" t="s">
        <v>1798</v>
      </c>
      <c r="F262" s="189" t="s">
        <v>1805</v>
      </c>
    </row>
    <row r="263" ht="15.0" customHeight="1">
      <c r="A263" s="188"/>
      <c r="B263" s="189"/>
      <c r="C263" s="189" t="s">
        <v>1796</v>
      </c>
      <c r="D263" s="189" t="s">
        <v>716</v>
      </c>
      <c r="E263" s="189" t="s">
        <v>1798</v>
      </c>
      <c r="F263" s="189" t="s">
        <v>1807</v>
      </c>
    </row>
    <row r="264" ht="15.0" customHeight="1">
      <c r="A264" s="188"/>
      <c r="B264" s="189"/>
      <c r="C264" s="189" t="s">
        <v>1796</v>
      </c>
      <c r="D264" s="189" t="s">
        <v>716</v>
      </c>
      <c r="E264" s="189" t="s">
        <v>1798</v>
      </c>
      <c r="F264" s="189" t="s">
        <v>1808</v>
      </c>
    </row>
    <row r="265" ht="15.0" customHeight="1">
      <c r="A265" s="188"/>
      <c r="B265" s="189"/>
      <c r="C265" s="189" t="s">
        <v>1796</v>
      </c>
      <c r="D265" s="189" t="s">
        <v>716</v>
      </c>
      <c r="E265" s="189" t="s">
        <v>1798</v>
      </c>
      <c r="F265" s="189" t="s">
        <v>1810</v>
      </c>
    </row>
    <row r="266" ht="15.0" customHeight="1">
      <c r="A266" s="188"/>
      <c r="B266" s="189"/>
      <c r="C266" s="189" t="s">
        <v>1796</v>
      </c>
      <c r="D266" s="189" t="s">
        <v>716</v>
      </c>
      <c r="E266" s="189" t="s">
        <v>1798</v>
      </c>
      <c r="F266" s="189" t="s">
        <v>1812</v>
      </c>
    </row>
    <row r="267" ht="15.0" customHeight="1">
      <c r="A267" s="188"/>
      <c r="B267" s="189"/>
      <c r="C267" s="189" t="s">
        <v>1796</v>
      </c>
      <c r="D267" s="189" t="s">
        <v>716</v>
      </c>
      <c r="E267" s="189" t="s">
        <v>1798</v>
      </c>
      <c r="F267" s="189" t="s">
        <v>1815</v>
      </c>
    </row>
    <row r="268" ht="15.0" customHeight="1">
      <c r="A268" s="188"/>
      <c r="B268" s="189"/>
      <c r="C268" s="189" t="s">
        <v>1816</v>
      </c>
      <c r="D268" s="189" t="s">
        <v>1817</v>
      </c>
      <c r="E268" s="189" t="s">
        <v>1818</v>
      </c>
      <c r="F268" s="192" t="s">
        <v>1819</v>
      </c>
    </row>
    <row r="269" ht="15.0" customHeight="1">
      <c r="A269" s="188"/>
      <c r="B269" s="189"/>
      <c r="C269" s="189" t="s">
        <v>1816</v>
      </c>
      <c r="D269" s="189" t="s">
        <v>1817</v>
      </c>
      <c r="E269" s="189" t="s">
        <v>1818</v>
      </c>
      <c r="F269" s="192" t="s">
        <v>1822</v>
      </c>
    </row>
    <row r="270" ht="15.0" customHeight="1">
      <c r="A270" s="188"/>
      <c r="B270" s="189"/>
      <c r="C270" s="189" t="s">
        <v>1816</v>
      </c>
      <c r="D270" s="189" t="s">
        <v>1817</v>
      </c>
      <c r="E270" s="189" t="s">
        <v>1818</v>
      </c>
      <c r="F270" s="192" t="s">
        <v>1824</v>
      </c>
    </row>
    <row r="271" ht="15.0" customHeight="1">
      <c r="A271" s="188"/>
      <c r="B271" s="189"/>
      <c r="C271" s="189" t="s">
        <v>1816</v>
      </c>
      <c r="D271" s="189" t="s">
        <v>1817</v>
      </c>
      <c r="E271" s="189" t="s">
        <v>1818</v>
      </c>
      <c r="F271" s="192" t="s">
        <v>1825</v>
      </c>
    </row>
    <row r="272" ht="15.0" customHeight="1">
      <c r="A272" s="188"/>
      <c r="B272" s="189"/>
      <c r="C272" s="189" t="s">
        <v>1816</v>
      </c>
      <c r="D272" s="189" t="s">
        <v>722</v>
      </c>
      <c r="E272" s="189" t="s">
        <v>1818</v>
      </c>
      <c r="F272" s="192" t="s">
        <v>1827</v>
      </c>
    </row>
    <row r="273" ht="15.0" customHeight="1">
      <c r="A273" s="188"/>
      <c r="B273" s="189"/>
      <c r="C273" s="189" t="s">
        <v>1816</v>
      </c>
      <c r="D273" s="189" t="s">
        <v>722</v>
      </c>
      <c r="E273" s="189" t="s">
        <v>1818</v>
      </c>
      <c r="F273" s="192" t="s">
        <v>1829</v>
      </c>
    </row>
    <row r="274" ht="15.0" customHeight="1">
      <c r="A274" s="188"/>
      <c r="B274" s="189"/>
      <c r="C274" s="189" t="s">
        <v>1816</v>
      </c>
      <c r="D274" s="189" t="s">
        <v>722</v>
      </c>
      <c r="E274" s="189" t="s">
        <v>1818</v>
      </c>
      <c r="F274" s="192" t="s">
        <v>1830</v>
      </c>
    </row>
    <row r="275" ht="15.0" customHeight="1">
      <c r="A275" s="188"/>
      <c r="B275" s="189"/>
      <c r="C275" s="189" t="s">
        <v>1816</v>
      </c>
      <c r="D275" s="189" t="s">
        <v>722</v>
      </c>
      <c r="E275" s="189" t="s">
        <v>1818</v>
      </c>
      <c r="F275" s="192" t="s">
        <v>1832</v>
      </c>
    </row>
    <row r="276" ht="15.0" customHeight="1">
      <c r="A276" s="188"/>
      <c r="B276" s="189"/>
      <c r="C276" s="189" t="s">
        <v>1816</v>
      </c>
      <c r="D276" s="189" t="s">
        <v>719</v>
      </c>
      <c r="E276" s="189" t="s">
        <v>1818</v>
      </c>
      <c r="F276" s="192" t="s">
        <v>1833</v>
      </c>
    </row>
    <row r="277" ht="15.0" customHeight="1">
      <c r="A277" s="188"/>
      <c r="B277" s="189"/>
      <c r="C277" s="189" t="s">
        <v>1816</v>
      </c>
      <c r="D277" s="189" t="s">
        <v>719</v>
      </c>
      <c r="E277" s="189" t="s">
        <v>1818</v>
      </c>
      <c r="F277" s="192" t="s">
        <v>1835</v>
      </c>
    </row>
    <row r="278" ht="15.0" customHeight="1">
      <c r="A278" s="188"/>
      <c r="B278" s="189"/>
      <c r="C278" s="189" t="s">
        <v>1816</v>
      </c>
      <c r="D278" s="189" t="s">
        <v>719</v>
      </c>
      <c r="E278" s="189" t="s">
        <v>1818</v>
      </c>
      <c r="F278" s="192" t="s">
        <v>1836</v>
      </c>
    </row>
    <row r="279" ht="15.0" customHeight="1">
      <c r="A279" s="188"/>
      <c r="B279" s="189"/>
      <c r="C279" s="189" t="s">
        <v>1816</v>
      </c>
      <c r="D279" s="189" t="s">
        <v>719</v>
      </c>
      <c r="E279" s="189" t="s">
        <v>1818</v>
      </c>
      <c r="F279" s="192" t="s">
        <v>1838</v>
      </c>
    </row>
    <row r="280" ht="15.0" customHeight="1">
      <c r="A280" s="188"/>
      <c r="B280" s="189"/>
      <c r="C280" s="189" t="s">
        <v>1816</v>
      </c>
      <c r="D280" s="189" t="s">
        <v>719</v>
      </c>
      <c r="E280" s="189" t="s">
        <v>1818</v>
      </c>
      <c r="F280" s="192" t="s">
        <v>1839</v>
      </c>
    </row>
    <row r="281" ht="15.0" customHeight="1">
      <c r="A281" s="188"/>
      <c r="B281" s="189"/>
      <c r="C281" s="189" t="s">
        <v>1816</v>
      </c>
      <c r="D281" s="189" t="s">
        <v>743</v>
      </c>
      <c r="E281" s="189" t="s">
        <v>1818</v>
      </c>
      <c r="F281" s="192" t="s">
        <v>1840</v>
      </c>
    </row>
    <row r="282" ht="15.0" customHeight="1">
      <c r="A282" s="188"/>
      <c r="B282" s="189"/>
      <c r="C282" s="189" t="s">
        <v>1816</v>
      </c>
      <c r="D282" s="189" t="s">
        <v>743</v>
      </c>
      <c r="E282" s="189" t="s">
        <v>1818</v>
      </c>
      <c r="F282" s="192" t="s">
        <v>1841</v>
      </c>
    </row>
    <row r="283" ht="15.0" customHeight="1">
      <c r="A283" s="188"/>
      <c r="B283" s="189"/>
      <c r="C283" s="189" t="s">
        <v>1816</v>
      </c>
      <c r="D283" s="189" t="s">
        <v>743</v>
      </c>
      <c r="E283" s="189" t="s">
        <v>1818</v>
      </c>
      <c r="F283" s="192" t="s">
        <v>1842</v>
      </c>
    </row>
    <row r="284" ht="15.0" customHeight="1">
      <c r="A284" s="188"/>
      <c r="B284" s="189"/>
      <c r="C284" s="189" t="s">
        <v>1816</v>
      </c>
      <c r="D284" s="189" t="s">
        <v>743</v>
      </c>
      <c r="E284" s="189" t="s">
        <v>1818</v>
      </c>
      <c r="F284" s="192" t="s">
        <v>1843</v>
      </c>
    </row>
    <row r="285" ht="15.0" customHeight="1">
      <c r="A285" s="188"/>
      <c r="B285" s="189"/>
      <c r="C285" s="189" t="s">
        <v>1816</v>
      </c>
      <c r="D285" s="189" t="s">
        <v>742</v>
      </c>
      <c r="E285" s="189" t="s">
        <v>1818</v>
      </c>
      <c r="F285" s="192" t="s">
        <v>1844</v>
      </c>
    </row>
    <row r="286" ht="15.0" customHeight="1">
      <c r="A286" s="188"/>
      <c r="B286" s="189"/>
      <c r="C286" s="189" t="s">
        <v>1816</v>
      </c>
      <c r="D286" s="189" t="s">
        <v>742</v>
      </c>
      <c r="E286" s="189" t="s">
        <v>1818</v>
      </c>
      <c r="F286" s="192" t="s">
        <v>1845</v>
      </c>
    </row>
    <row r="287" ht="15.0" customHeight="1">
      <c r="A287" s="188"/>
      <c r="B287" s="189"/>
      <c r="C287" s="189" t="s">
        <v>1816</v>
      </c>
      <c r="D287" s="189" t="s">
        <v>742</v>
      </c>
      <c r="E287" s="189" t="s">
        <v>1818</v>
      </c>
      <c r="F287" s="192" t="s">
        <v>1842</v>
      </c>
    </row>
    <row r="288" ht="15.0" customHeight="1">
      <c r="A288" s="188"/>
      <c r="B288" s="189"/>
      <c r="C288" s="189" t="s">
        <v>1816</v>
      </c>
      <c r="D288" s="189" t="s">
        <v>742</v>
      </c>
      <c r="E288" s="189" t="s">
        <v>1818</v>
      </c>
      <c r="F288" s="192" t="s">
        <v>1846</v>
      </c>
    </row>
    <row r="289" ht="15.0" customHeight="1">
      <c r="A289" s="188"/>
      <c r="B289" s="189"/>
      <c r="C289" s="189" t="s">
        <v>1816</v>
      </c>
      <c r="D289" s="189" t="s">
        <v>742</v>
      </c>
      <c r="E289" s="189" t="s">
        <v>1818</v>
      </c>
      <c r="F289" s="192" t="s">
        <v>1847</v>
      </c>
    </row>
    <row r="290" ht="15.0" customHeight="1">
      <c r="A290" s="188"/>
      <c r="B290" s="189"/>
      <c r="C290" s="189" t="s">
        <v>1816</v>
      </c>
      <c r="D290" s="189" t="s">
        <v>740</v>
      </c>
      <c r="E290" s="189" t="s">
        <v>1818</v>
      </c>
      <c r="F290" s="189" t="s">
        <v>1849</v>
      </c>
    </row>
    <row r="291" ht="15.0" customHeight="1">
      <c r="A291" s="188"/>
      <c r="B291" s="189"/>
      <c r="C291" s="189" t="s">
        <v>1816</v>
      </c>
      <c r="D291" s="189" t="s">
        <v>740</v>
      </c>
      <c r="E291" s="189" t="s">
        <v>1818</v>
      </c>
      <c r="F291" s="189" t="s">
        <v>1850</v>
      </c>
    </row>
    <row r="292" ht="15.0" customHeight="1">
      <c r="A292" s="188"/>
      <c r="B292" s="189"/>
      <c r="C292" s="189" t="s">
        <v>1816</v>
      </c>
      <c r="D292" s="189" t="s">
        <v>740</v>
      </c>
      <c r="E292" s="189" t="s">
        <v>1818</v>
      </c>
      <c r="F292" s="189" t="s">
        <v>1851</v>
      </c>
    </row>
    <row r="293" ht="15.0" customHeight="1">
      <c r="A293" s="188"/>
      <c r="B293" s="189"/>
      <c r="C293" s="189" t="s">
        <v>1816</v>
      </c>
      <c r="D293" s="189" t="s">
        <v>737</v>
      </c>
      <c r="E293" s="189" t="s">
        <v>1818</v>
      </c>
      <c r="F293" s="189" t="s">
        <v>1853</v>
      </c>
    </row>
    <row r="294" ht="15.0" customHeight="1">
      <c r="A294" s="188"/>
      <c r="B294" s="189"/>
      <c r="C294" s="189" t="s">
        <v>1816</v>
      </c>
      <c r="D294" s="189" t="s">
        <v>737</v>
      </c>
      <c r="E294" s="189" t="s">
        <v>1818</v>
      </c>
      <c r="F294" s="189" t="s">
        <v>1854</v>
      </c>
    </row>
    <row r="295" ht="15.0" customHeight="1">
      <c r="A295" s="188"/>
      <c r="B295" s="189"/>
      <c r="C295" s="189" t="s">
        <v>1816</v>
      </c>
      <c r="D295" s="189" t="s">
        <v>737</v>
      </c>
      <c r="E295" s="189" t="s">
        <v>1818</v>
      </c>
      <c r="F295" s="189" t="s">
        <v>1856</v>
      </c>
    </row>
    <row r="296" ht="15.0" customHeight="1">
      <c r="A296" s="188"/>
      <c r="B296" s="189"/>
      <c r="C296" s="189" t="s">
        <v>1816</v>
      </c>
      <c r="D296" s="189" t="s">
        <v>737</v>
      </c>
      <c r="E296" s="189" t="s">
        <v>1818</v>
      </c>
      <c r="F296" s="189" t="s">
        <v>1858</v>
      </c>
    </row>
    <row r="297" ht="15.0" customHeight="1">
      <c r="A297" s="188"/>
      <c r="B297" s="189"/>
      <c r="C297" s="189" t="s">
        <v>1816</v>
      </c>
      <c r="D297" s="189" t="s">
        <v>737</v>
      </c>
      <c r="E297" s="189" t="s">
        <v>1818</v>
      </c>
      <c r="F297" s="189" t="s">
        <v>1859</v>
      </c>
    </row>
    <row r="298" ht="15.0" customHeight="1">
      <c r="A298" s="188"/>
      <c r="B298" s="189"/>
      <c r="C298" s="189" t="s">
        <v>1816</v>
      </c>
      <c r="D298" s="189" t="s">
        <v>734</v>
      </c>
      <c r="E298" s="189" t="s">
        <v>1818</v>
      </c>
      <c r="F298" s="189" t="s">
        <v>1861</v>
      </c>
    </row>
    <row r="299" ht="15.0" customHeight="1">
      <c r="A299" s="188"/>
      <c r="B299" s="189"/>
      <c r="C299" s="189" t="s">
        <v>1816</v>
      </c>
      <c r="D299" s="189" t="s">
        <v>734</v>
      </c>
      <c r="E299" s="189" t="s">
        <v>1818</v>
      </c>
      <c r="F299" s="189" t="s">
        <v>1862</v>
      </c>
    </row>
    <row r="300" ht="15.0" customHeight="1">
      <c r="A300" s="188"/>
      <c r="B300" s="189"/>
      <c r="C300" s="189" t="s">
        <v>1816</v>
      </c>
      <c r="D300" s="189" t="s">
        <v>734</v>
      </c>
      <c r="E300" s="189" t="s">
        <v>1818</v>
      </c>
      <c r="F300" s="192" t="s">
        <v>1864</v>
      </c>
    </row>
    <row r="301" ht="15.0" customHeight="1">
      <c r="A301" s="188"/>
      <c r="B301" s="189"/>
      <c r="C301" s="189" t="s">
        <v>1816</v>
      </c>
      <c r="D301" s="189" t="s">
        <v>734</v>
      </c>
      <c r="E301" s="189" t="s">
        <v>1818</v>
      </c>
      <c r="F301" s="189" t="s">
        <v>1866</v>
      </c>
    </row>
    <row r="302" ht="15.0" customHeight="1">
      <c r="A302" s="188"/>
      <c r="B302" s="189"/>
      <c r="C302" s="189" t="s">
        <v>1816</v>
      </c>
      <c r="D302" s="189" t="s">
        <v>1867</v>
      </c>
      <c r="E302" s="189" t="s">
        <v>1818</v>
      </c>
      <c r="F302" s="192" t="s">
        <v>1868</v>
      </c>
    </row>
    <row r="303" ht="15.0" customHeight="1">
      <c r="A303" s="188"/>
      <c r="B303" s="189"/>
      <c r="C303" s="189" t="s">
        <v>1816</v>
      </c>
      <c r="D303" s="189" t="s">
        <v>1867</v>
      </c>
      <c r="E303" s="189" t="s">
        <v>1818</v>
      </c>
      <c r="F303" s="192" t="s">
        <v>1870</v>
      </c>
    </row>
    <row r="304" ht="15.0" customHeight="1">
      <c r="A304" s="188"/>
      <c r="B304" s="189"/>
      <c r="C304" s="189" t="s">
        <v>1816</v>
      </c>
      <c r="D304" s="189" t="s">
        <v>1867</v>
      </c>
      <c r="E304" s="189" t="s">
        <v>1818</v>
      </c>
      <c r="F304" s="192" t="s">
        <v>1872</v>
      </c>
    </row>
    <row r="305" ht="15.0" customHeight="1">
      <c r="A305" s="188"/>
      <c r="B305" s="189"/>
      <c r="C305" s="189" t="s">
        <v>1816</v>
      </c>
      <c r="D305" s="189" t="s">
        <v>1867</v>
      </c>
      <c r="E305" s="189" t="s">
        <v>1818</v>
      </c>
      <c r="F305" s="192" t="s">
        <v>1874</v>
      </c>
    </row>
    <row r="306" ht="15.0" customHeight="1">
      <c r="A306" s="188"/>
      <c r="B306" s="189"/>
      <c r="C306" s="189" t="s">
        <v>1816</v>
      </c>
      <c r="D306" s="189" t="s">
        <v>744</v>
      </c>
      <c r="E306" s="189" t="s">
        <v>1818</v>
      </c>
      <c r="F306" s="192" t="s">
        <v>1875</v>
      </c>
    </row>
    <row r="307" ht="15.0" customHeight="1">
      <c r="A307" s="188"/>
      <c r="B307" s="189"/>
      <c r="C307" s="189" t="s">
        <v>1816</v>
      </c>
      <c r="D307" s="189" t="s">
        <v>744</v>
      </c>
      <c r="E307" s="189" t="s">
        <v>1818</v>
      </c>
      <c r="F307" s="192" t="s">
        <v>1877</v>
      </c>
    </row>
    <row r="308" ht="15.0" customHeight="1">
      <c r="A308" s="188"/>
      <c r="B308" s="189"/>
      <c r="C308" s="189" t="s">
        <v>1816</v>
      </c>
      <c r="D308" s="189" t="s">
        <v>729</v>
      </c>
      <c r="E308" s="189" t="s">
        <v>1818</v>
      </c>
      <c r="F308" s="192" t="s">
        <v>1879</v>
      </c>
    </row>
    <row r="309" ht="15.0" customHeight="1">
      <c r="A309" s="188"/>
      <c r="B309" s="189"/>
      <c r="C309" s="189" t="s">
        <v>1816</v>
      </c>
      <c r="D309" s="189" t="s">
        <v>729</v>
      </c>
      <c r="E309" s="189" t="s">
        <v>1818</v>
      </c>
      <c r="F309" s="192" t="s">
        <v>1880</v>
      </c>
    </row>
    <row r="310" ht="15.0" customHeight="1">
      <c r="A310" s="188"/>
      <c r="B310" s="189"/>
      <c r="C310" s="189" t="s">
        <v>1816</v>
      </c>
      <c r="D310" s="189" t="s">
        <v>729</v>
      </c>
      <c r="E310" s="189" t="s">
        <v>1818</v>
      </c>
      <c r="F310" s="192" t="s">
        <v>1882</v>
      </c>
    </row>
    <row r="311" ht="15.0" customHeight="1">
      <c r="A311" s="188"/>
      <c r="B311" s="189"/>
      <c r="C311" s="189" t="s">
        <v>1816</v>
      </c>
      <c r="D311" s="189" t="s">
        <v>729</v>
      </c>
      <c r="E311" s="189" t="s">
        <v>1818</v>
      </c>
      <c r="F311" s="192" t="s">
        <v>1884</v>
      </c>
    </row>
    <row r="312" ht="15.0" customHeight="1">
      <c r="A312" s="188"/>
      <c r="B312" s="189"/>
      <c r="C312" s="189" t="s">
        <v>1816</v>
      </c>
      <c r="D312" s="189" t="s">
        <v>729</v>
      </c>
      <c r="E312" s="189" t="s">
        <v>1818</v>
      </c>
      <c r="F312" s="192" t="s">
        <v>1885</v>
      </c>
    </row>
    <row r="313" ht="15.0" customHeight="1">
      <c r="A313" s="188"/>
      <c r="B313" s="189"/>
      <c r="C313" s="189" t="s">
        <v>1816</v>
      </c>
      <c r="D313" s="189" t="s">
        <v>726</v>
      </c>
      <c r="E313" s="189" t="s">
        <v>1818</v>
      </c>
      <c r="F313" s="192" t="s">
        <v>1887</v>
      </c>
    </row>
    <row r="314" ht="15.0" customHeight="1">
      <c r="A314" s="188"/>
      <c r="B314" s="189"/>
      <c r="C314" s="189" t="s">
        <v>1816</v>
      </c>
      <c r="D314" s="189" t="s">
        <v>726</v>
      </c>
      <c r="E314" s="189" t="s">
        <v>1818</v>
      </c>
      <c r="F314" s="192" t="s">
        <v>1889</v>
      </c>
    </row>
    <row r="315" ht="15.0" customHeight="1">
      <c r="A315" s="188"/>
      <c r="B315" s="189"/>
      <c r="C315" s="189" t="s">
        <v>1816</v>
      </c>
      <c r="D315" s="189" t="s">
        <v>726</v>
      </c>
      <c r="E315" s="189" t="s">
        <v>1818</v>
      </c>
      <c r="F315" s="192" t="s">
        <v>1890</v>
      </c>
    </row>
    <row r="316" ht="15.0" customHeight="1">
      <c r="A316" s="188"/>
      <c r="B316" s="189"/>
      <c r="C316" s="189" t="s">
        <v>1816</v>
      </c>
      <c r="D316" s="189" t="s">
        <v>730</v>
      </c>
      <c r="E316" s="189" t="s">
        <v>1818</v>
      </c>
      <c r="F316" s="189" t="s">
        <v>1892</v>
      </c>
    </row>
    <row r="317" ht="15.0" customHeight="1">
      <c r="A317" s="188"/>
      <c r="B317" s="189"/>
      <c r="C317" s="189" t="s">
        <v>1816</v>
      </c>
      <c r="D317" s="189" t="s">
        <v>730</v>
      </c>
      <c r="E317" s="189" t="s">
        <v>1818</v>
      </c>
      <c r="F317" s="192" t="s">
        <v>1894</v>
      </c>
    </row>
    <row r="318" ht="15.0" customHeight="1">
      <c r="A318" s="188"/>
      <c r="B318" s="189"/>
      <c r="C318" s="189" t="s">
        <v>1816</v>
      </c>
      <c r="D318" s="189" t="s">
        <v>730</v>
      </c>
      <c r="E318" s="189" t="s">
        <v>1818</v>
      </c>
      <c r="F318" s="192" t="s">
        <v>1895</v>
      </c>
    </row>
    <row r="319" ht="15.0" customHeight="1">
      <c r="A319" s="188"/>
      <c r="B319" s="189"/>
      <c r="C319" s="189" t="s">
        <v>1816</v>
      </c>
      <c r="D319" s="189" t="s">
        <v>730</v>
      </c>
      <c r="E319" s="189" t="s">
        <v>1818</v>
      </c>
      <c r="F319" s="189" t="s">
        <v>1897</v>
      </c>
    </row>
    <row r="320" ht="15.0" customHeight="1">
      <c r="A320" s="188"/>
      <c r="B320" s="189"/>
      <c r="C320" s="189" t="s">
        <v>1816</v>
      </c>
      <c r="D320" s="189" t="s">
        <v>730</v>
      </c>
      <c r="E320" s="189" t="s">
        <v>1818</v>
      </c>
      <c r="F320" s="189" t="s">
        <v>1899</v>
      </c>
    </row>
    <row r="321" ht="15.0" customHeight="1">
      <c r="A321" s="188"/>
      <c r="B321" s="189"/>
      <c r="C321" s="189" t="s">
        <v>1816</v>
      </c>
      <c r="D321" s="189" t="s">
        <v>730</v>
      </c>
      <c r="E321" s="189" t="s">
        <v>1818</v>
      </c>
      <c r="F321" s="189" t="s">
        <v>1901</v>
      </c>
    </row>
    <row r="322" ht="15.0" customHeight="1">
      <c r="A322" s="188"/>
      <c r="B322" s="189"/>
      <c r="C322" s="189" t="s">
        <v>1816</v>
      </c>
      <c r="D322" s="189" t="s">
        <v>732</v>
      </c>
      <c r="E322" s="189" t="s">
        <v>1818</v>
      </c>
      <c r="F322" s="189" t="s">
        <v>1902</v>
      </c>
    </row>
    <row r="323" ht="15.0" customHeight="1">
      <c r="A323" s="188"/>
      <c r="B323" s="189"/>
      <c r="C323" s="189" t="s">
        <v>1816</v>
      </c>
      <c r="D323" s="189" t="s">
        <v>732</v>
      </c>
      <c r="E323" s="189" t="s">
        <v>1818</v>
      </c>
      <c r="F323" s="189" t="s">
        <v>1904</v>
      </c>
    </row>
    <row r="324" ht="15.0" customHeight="1">
      <c r="A324" s="188"/>
      <c r="B324" s="189"/>
      <c r="C324" s="189" t="s">
        <v>1816</v>
      </c>
      <c r="D324" s="189" t="s">
        <v>732</v>
      </c>
      <c r="E324" s="189" t="s">
        <v>1818</v>
      </c>
      <c r="F324" s="189" t="s">
        <v>1906</v>
      </c>
    </row>
    <row r="325" ht="15.0" customHeight="1">
      <c r="A325" s="188"/>
      <c r="B325" s="189"/>
      <c r="C325" s="189" t="s">
        <v>1816</v>
      </c>
      <c r="D325" s="189" t="s">
        <v>732</v>
      </c>
      <c r="E325" s="189" t="s">
        <v>1818</v>
      </c>
      <c r="F325" s="189" t="s">
        <v>1908</v>
      </c>
    </row>
    <row r="326" ht="15.0" customHeight="1">
      <c r="A326" s="188"/>
      <c r="B326" s="189"/>
      <c r="C326" s="189" t="s">
        <v>1816</v>
      </c>
      <c r="D326" s="189" t="s">
        <v>732</v>
      </c>
      <c r="E326" s="189" t="s">
        <v>1818</v>
      </c>
      <c r="F326" s="189" t="s">
        <v>1909</v>
      </c>
    </row>
    <row r="327" ht="15.0" customHeight="1">
      <c r="A327" s="188"/>
      <c r="B327" s="189"/>
      <c r="C327" s="189" t="s">
        <v>1816</v>
      </c>
      <c r="D327" s="189" t="s">
        <v>741</v>
      </c>
      <c r="E327" s="189" t="s">
        <v>1818</v>
      </c>
      <c r="F327" s="192" t="s">
        <v>1911</v>
      </c>
    </row>
    <row r="328" ht="15.0" customHeight="1">
      <c r="A328" s="188"/>
      <c r="B328" s="189"/>
      <c r="C328" s="189" t="s">
        <v>1816</v>
      </c>
      <c r="D328" s="189" t="s">
        <v>741</v>
      </c>
      <c r="E328" s="189" t="s">
        <v>1818</v>
      </c>
      <c r="F328" s="192" t="s">
        <v>1913</v>
      </c>
    </row>
    <row r="329" ht="15.0" customHeight="1">
      <c r="A329" s="188"/>
      <c r="B329" s="189"/>
      <c r="C329" s="189" t="s">
        <v>1816</v>
      </c>
      <c r="D329" s="189" t="s">
        <v>741</v>
      </c>
      <c r="E329" s="189" t="s">
        <v>1818</v>
      </c>
      <c r="F329" s="192" t="s">
        <v>1914</v>
      </c>
    </row>
    <row r="330" ht="15.0" customHeight="1">
      <c r="A330" s="188"/>
      <c r="B330" s="189"/>
      <c r="C330" s="189" t="s">
        <v>1816</v>
      </c>
      <c r="D330" s="189" t="s">
        <v>741</v>
      </c>
      <c r="E330" s="189" t="s">
        <v>1818</v>
      </c>
      <c r="F330" s="192" t="s">
        <v>1916</v>
      </c>
    </row>
    <row r="331" ht="15.0" customHeight="1">
      <c r="A331" s="188"/>
      <c r="B331" s="189"/>
      <c r="C331" s="189" t="s">
        <v>1816</v>
      </c>
      <c r="D331" s="189" t="s">
        <v>741</v>
      </c>
      <c r="E331" s="189" t="s">
        <v>1818</v>
      </c>
      <c r="F331" s="189" t="s">
        <v>1917</v>
      </c>
    </row>
    <row r="332" ht="15.0" customHeight="1">
      <c r="A332" s="188"/>
      <c r="B332" s="189"/>
      <c r="C332" s="189" t="s">
        <v>1816</v>
      </c>
      <c r="D332" s="189" t="s">
        <v>741</v>
      </c>
      <c r="E332" s="189" t="s">
        <v>1818</v>
      </c>
      <c r="F332" s="192" t="s">
        <v>1919</v>
      </c>
    </row>
    <row r="333" ht="15.0" customHeight="1">
      <c r="A333" s="188"/>
      <c r="B333" s="189"/>
      <c r="C333" s="189" t="s">
        <v>1920</v>
      </c>
      <c r="D333" s="189" t="s">
        <v>766</v>
      </c>
      <c r="E333" s="189" t="s">
        <v>1921</v>
      </c>
      <c r="F333" s="192" t="s">
        <v>1922</v>
      </c>
    </row>
    <row r="334" ht="15.0" customHeight="1">
      <c r="A334" s="188"/>
      <c r="B334" s="189"/>
      <c r="C334" s="189" t="s">
        <v>1920</v>
      </c>
      <c r="D334" s="189" t="s">
        <v>766</v>
      </c>
      <c r="E334" s="189" t="s">
        <v>1921</v>
      </c>
      <c r="F334" s="192" t="s">
        <v>1924</v>
      </c>
    </row>
    <row r="335" ht="15.0" customHeight="1">
      <c r="A335" s="188"/>
      <c r="B335" s="189"/>
      <c r="C335" s="189" t="s">
        <v>1920</v>
      </c>
      <c r="D335" s="189" t="s">
        <v>766</v>
      </c>
      <c r="E335" s="189" t="s">
        <v>1921</v>
      </c>
      <c r="F335" s="192" t="s">
        <v>1926</v>
      </c>
    </row>
    <row r="336" ht="15.0" customHeight="1">
      <c r="A336" s="188"/>
      <c r="B336" s="189"/>
      <c r="C336" s="189" t="s">
        <v>1920</v>
      </c>
      <c r="D336" s="189" t="s">
        <v>766</v>
      </c>
      <c r="E336" s="189" t="s">
        <v>1921</v>
      </c>
      <c r="F336" s="192" t="s">
        <v>1927</v>
      </c>
    </row>
    <row r="337" ht="15.0" customHeight="1">
      <c r="A337" s="188"/>
      <c r="B337" s="189"/>
      <c r="C337" s="189" t="s">
        <v>1920</v>
      </c>
      <c r="D337" s="189" t="s">
        <v>766</v>
      </c>
      <c r="E337" s="189" t="s">
        <v>1921</v>
      </c>
      <c r="F337" s="192" t="s">
        <v>1928</v>
      </c>
    </row>
    <row r="338" ht="15.0" customHeight="1">
      <c r="A338" s="188"/>
      <c r="B338" s="189"/>
      <c r="C338" s="189" t="s">
        <v>1920</v>
      </c>
      <c r="D338" s="189" t="s">
        <v>766</v>
      </c>
      <c r="E338" s="189" t="s">
        <v>1921</v>
      </c>
      <c r="F338" s="192" t="s">
        <v>1930</v>
      </c>
    </row>
    <row r="339" ht="15.0" customHeight="1">
      <c r="A339" s="188"/>
      <c r="B339" s="189"/>
      <c r="C339" s="189" t="s">
        <v>1920</v>
      </c>
      <c r="D339" s="189" t="s">
        <v>766</v>
      </c>
      <c r="E339" s="189" t="s">
        <v>1921</v>
      </c>
      <c r="F339" s="192" t="s">
        <v>1931</v>
      </c>
    </row>
    <row r="340" ht="15.0" customHeight="1">
      <c r="A340" s="188"/>
      <c r="B340" s="189"/>
      <c r="C340" s="189" t="s">
        <v>1920</v>
      </c>
      <c r="D340" s="189" t="s">
        <v>766</v>
      </c>
      <c r="E340" s="189" t="s">
        <v>1921</v>
      </c>
      <c r="F340" s="192" t="s">
        <v>1933</v>
      </c>
    </row>
    <row r="341" ht="15.0" customHeight="1">
      <c r="A341" s="188"/>
      <c r="B341" s="189"/>
      <c r="C341" s="189" t="s">
        <v>1920</v>
      </c>
      <c r="D341" s="189" t="s">
        <v>766</v>
      </c>
      <c r="E341" s="189" t="s">
        <v>1921</v>
      </c>
      <c r="F341" s="192" t="s">
        <v>1934</v>
      </c>
    </row>
    <row r="342" ht="15.0" customHeight="1">
      <c r="A342" s="188"/>
      <c r="B342" s="189"/>
      <c r="C342" s="189" t="s">
        <v>1920</v>
      </c>
      <c r="D342" s="189" t="s">
        <v>766</v>
      </c>
      <c r="E342" s="189" t="s">
        <v>1921</v>
      </c>
      <c r="F342" s="192" t="s">
        <v>1928</v>
      </c>
    </row>
    <row r="343" ht="15.0" customHeight="1">
      <c r="A343" s="188"/>
      <c r="B343" s="189"/>
      <c r="C343" s="189" t="s">
        <v>1920</v>
      </c>
      <c r="D343" s="189" t="s">
        <v>764</v>
      </c>
      <c r="E343" s="189" t="s">
        <v>1921</v>
      </c>
      <c r="F343" s="192" t="s">
        <v>1936</v>
      </c>
    </row>
    <row r="344" ht="15.0" customHeight="1">
      <c r="A344" s="188"/>
      <c r="B344" s="189"/>
      <c r="C344" s="189" t="s">
        <v>1920</v>
      </c>
      <c r="D344" s="189" t="s">
        <v>764</v>
      </c>
      <c r="E344" s="189" t="s">
        <v>1921</v>
      </c>
      <c r="F344" s="192" t="s">
        <v>1938</v>
      </c>
    </row>
    <row r="345" ht="15.0" customHeight="1">
      <c r="A345" s="188"/>
      <c r="B345" s="189"/>
      <c r="C345" s="189" t="s">
        <v>1920</v>
      </c>
      <c r="D345" s="189" t="s">
        <v>764</v>
      </c>
      <c r="E345" s="189" t="s">
        <v>1921</v>
      </c>
      <c r="F345" s="192" t="s">
        <v>1939</v>
      </c>
    </row>
    <row r="346" ht="15.0" customHeight="1">
      <c r="A346" s="188"/>
      <c r="B346" s="189"/>
      <c r="C346" s="189" t="s">
        <v>1920</v>
      </c>
      <c r="D346" s="189" t="s">
        <v>764</v>
      </c>
      <c r="E346" s="189" t="s">
        <v>1921</v>
      </c>
      <c r="F346" s="192" t="s">
        <v>1941</v>
      </c>
    </row>
    <row r="347" ht="15.0" customHeight="1">
      <c r="A347" s="188"/>
      <c r="B347" s="189"/>
      <c r="C347" s="189" t="s">
        <v>1920</v>
      </c>
      <c r="D347" s="189" t="s">
        <v>764</v>
      </c>
      <c r="E347" s="189" t="s">
        <v>1921</v>
      </c>
      <c r="F347" s="192" t="s">
        <v>1942</v>
      </c>
    </row>
    <row r="348" ht="15.0" customHeight="1">
      <c r="A348" s="188"/>
      <c r="B348" s="189"/>
      <c r="C348" s="189" t="s">
        <v>1920</v>
      </c>
      <c r="D348" s="189" t="s">
        <v>747</v>
      </c>
      <c r="E348" s="189" t="s">
        <v>1921</v>
      </c>
      <c r="F348" s="192" t="s">
        <v>1943</v>
      </c>
    </row>
    <row r="349" ht="15.0" customHeight="1">
      <c r="A349" s="188"/>
      <c r="B349" s="189"/>
      <c r="C349" s="189" t="s">
        <v>1920</v>
      </c>
      <c r="D349" s="189" t="s">
        <v>747</v>
      </c>
      <c r="E349" s="189" t="s">
        <v>1921</v>
      </c>
      <c r="F349" s="192" t="s">
        <v>1945</v>
      </c>
    </row>
    <row r="350" ht="15.0" customHeight="1">
      <c r="A350" s="188"/>
      <c r="B350" s="189"/>
      <c r="C350" s="189" t="s">
        <v>1920</v>
      </c>
      <c r="D350" s="189" t="s">
        <v>760</v>
      </c>
      <c r="E350" s="189" t="s">
        <v>1921</v>
      </c>
      <c r="F350" s="192" t="s">
        <v>1948</v>
      </c>
    </row>
    <row r="351" ht="15.0" customHeight="1">
      <c r="A351" s="188"/>
      <c r="B351" s="189"/>
      <c r="C351" s="189" t="s">
        <v>1920</v>
      </c>
      <c r="D351" s="189" t="s">
        <v>760</v>
      </c>
      <c r="E351" s="189" t="s">
        <v>1921</v>
      </c>
      <c r="F351" s="192" t="s">
        <v>1949</v>
      </c>
    </row>
    <row r="352" ht="15.0" customHeight="1">
      <c r="A352" s="188"/>
      <c r="B352" s="189"/>
      <c r="C352" s="189" t="s">
        <v>1920</v>
      </c>
      <c r="D352" s="189" t="s">
        <v>760</v>
      </c>
      <c r="E352" s="189" t="s">
        <v>1921</v>
      </c>
      <c r="F352" s="192" t="s">
        <v>1950</v>
      </c>
    </row>
    <row r="353" ht="15.0" customHeight="1">
      <c r="A353" s="188"/>
      <c r="B353" s="189"/>
      <c r="C353" s="189" t="s">
        <v>1920</v>
      </c>
      <c r="D353" s="189" t="s">
        <v>760</v>
      </c>
      <c r="E353" s="189" t="s">
        <v>1921</v>
      </c>
      <c r="F353" s="192" t="s">
        <v>1951</v>
      </c>
    </row>
    <row r="354" ht="15.0" customHeight="1">
      <c r="A354" s="188"/>
      <c r="B354" s="189"/>
      <c r="C354" s="189" t="s">
        <v>1920</v>
      </c>
      <c r="D354" s="189" t="s">
        <v>763</v>
      </c>
      <c r="E354" s="189" t="s">
        <v>1921</v>
      </c>
      <c r="F354" s="192" t="s">
        <v>1952</v>
      </c>
    </row>
    <row r="355" ht="15.0" customHeight="1">
      <c r="A355" s="188"/>
      <c r="B355" s="189"/>
      <c r="C355" s="189" t="s">
        <v>1920</v>
      </c>
      <c r="D355" s="189" t="s">
        <v>763</v>
      </c>
      <c r="E355" s="189" t="s">
        <v>1921</v>
      </c>
      <c r="F355" s="192" t="s">
        <v>1953</v>
      </c>
    </row>
    <row r="356" ht="15.0" customHeight="1">
      <c r="A356" s="188"/>
      <c r="B356" s="189"/>
      <c r="C356" s="189" t="s">
        <v>1920</v>
      </c>
      <c r="D356" s="189" t="s">
        <v>763</v>
      </c>
      <c r="E356" s="189" t="s">
        <v>1921</v>
      </c>
      <c r="F356" s="192" t="s">
        <v>1954</v>
      </c>
    </row>
    <row r="357" ht="15.0" customHeight="1">
      <c r="A357" s="188"/>
      <c r="B357" s="189"/>
      <c r="C357" s="189" t="s">
        <v>1920</v>
      </c>
      <c r="D357" s="189" t="s">
        <v>784</v>
      </c>
      <c r="E357" s="189" t="s">
        <v>1921</v>
      </c>
      <c r="F357" s="192" t="s">
        <v>1955</v>
      </c>
    </row>
    <row r="358" ht="15.0" customHeight="1">
      <c r="A358" s="188"/>
      <c r="B358" s="189"/>
      <c r="C358" s="189" t="s">
        <v>1920</v>
      </c>
      <c r="D358" s="189" t="s">
        <v>784</v>
      </c>
      <c r="E358" s="189" t="s">
        <v>1921</v>
      </c>
      <c r="F358" s="192" t="s">
        <v>1956</v>
      </c>
    </row>
    <row r="359" ht="15.0" customHeight="1">
      <c r="A359" s="188"/>
      <c r="B359" s="189"/>
      <c r="C359" s="189" t="s">
        <v>1920</v>
      </c>
      <c r="D359" s="189" t="s">
        <v>784</v>
      </c>
      <c r="E359" s="189" t="s">
        <v>1921</v>
      </c>
      <c r="F359" s="192" t="s">
        <v>1957</v>
      </c>
    </row>
    <row r="360" ht="15.0" customHeight="1">
      <c r="A360" s="188"/>
      <c r="B360" s="189"/>
      <c r="C360" s="189" t="s">
        <v>1920</v>
      </c>
      <c r="D360" s="189" t="s">
        <v>784</v>
      </c>
      <c r="E360" s="189" t="s">
        <v>1921</v>
      </c>
      <c r="F360" s="192" t="s">
        <v>1959</v>
      </c>
    </row>
    <row r="361" ht="15.0" customHeight="1">
      <c r="A361" s="188"/>
      <c r="B361" s="189"/>
      <c r="C361" s="189" t="s">
        <v>1920</v>
      </c>
      <c r="D361" s="189" t="s">
        <v>784</v>
      </c>
      <c r="E361" s="189" t="s">
        <v>1921</v>
      </c>
      <c r="F361" s="192" t="s">
        <v>1961</v>
      </c>
    </row>
    <row r="362" ht="15.0" customHeight="1">
      <c r="A362" s="188"/>
      <c r="B362" s="189"/>
      <c r="C362" s="189" t="s">
        <v>1920</v>
      </c>
      <c r="D362" s="189" t="s">
        <v>784</v>
      </c>
      <c r="E362" s="189" t="s">
        <v>1921</v>
      </c>
      <c r="F362" s="192" t="s">
        <v>1963</v>
      </c>
    </row>
    <row r="363" ht="15.0" customHeight="1">
      <c r="A363" s="188"/>
      <c r="B363" s="189"/>
      <c r="C363" s="189" t="s">
        <v>1920</v>
      </c>
      <c r="D363" s="189" t="s">
        <v>779</v>
      </c>
      <c r="E363" s="189" t="s">
        <v>1921</v>
      </c>
      <c r="F363" s="192" t="s">
        <v>1955</v>
      </c>
    </row>
    <row r="364" ht="15.0" customHeight="1">
      <c r="A364" s="188"/>
      <c r="B364" s="189"/>
      <c r="C364" s="189" t="s">
        <v>1920</v>
      </c>
      <c r="D364" s="189" t="s">
        <v>779</v>
      </c>
      <c r="E364" s="189" t="s">
        <v>1921</v>
      </c>
      <c r="F364" s="192" t="s">
        <v>1956</v>
      </c>
    </row>
    <row r="365" ht="15.0" customHeight="1">
      <c r="A365" s="188"/>
      <c r="B365" s="189"/>
      <c r="C365" s="189" t="s">
        <v>1920</v>
      </c>
      <c r="D365" s="189" t="s">
        <v>779</v>
      </c>
      <c r="E365" s="189" t="s">
        <v>1921</v>
      </c>
      <c r="F365" s="192" t="s">
        <v>1957</v>
      </c>
    </row>
    <row r="366" ht="15.0" customHeight="1">
      <c r="A366" s="188"/>
      <c r="B366" s="189"/>
      <c r="C366" s="189" t="s">
        <v>1920</v>
      </c>
      <c r="D366" s="189" t="s">
        <v>779</v>
      </c>
      <c r="E366" s="189" t="s">
        <v>1921</v>
      </c>
      <c r="F366" s="192" t="s">
        <v>1961</v>
      </c>
    </row>
    <row r="367" ht="15.0" customHeight="1">
      <c r="A367" s="188"/>
      <c r="B367" s="189"/>
      <c r="C367" s="189" t="s">
        <v>1920</v>
      </c>
      <c r="D367" s="189" t="s">
        <v>779</v>
      </c>
      <c r="E367" s="189" t="s">
        <v>1921</v>
      </c>
      <c r="F367" s="192" t="s">
        <v>1963</v>
      </c>
    </row>
    <row r="368" ht="15.0" customHeight="1">
      <c r="A368" s="188"/>
      <c r="B368" s="189"/>
      <c r="C368" s="189" t="s">
        <v>1920</v>
      </c>
      <c r="D368" s="189" t="s">
        <v>779</v>
      </c>
      <c r="E368" s="189" t="s">
        <v>1921</v>
      </c>
      <c r="F368" s="192" t="s">
        <v>1966</v>
      </c>
    </row>
    <row r="369" ht="15.0" customHeight="1">
      <c r="A369" s="188"/>
      <c r="B369" s="189"/>
      <c r="C369" s="189" t="s">
        <v>1920</v>
      </c>
      <c r="D369" s="189" t="s">
        <v>1967</v>
      </c>
      <c r="E369" s="189" t="s">
        <v>1921</v>
      </c>
      <c r="F369" s="192" t="s">
        <v>1968</v>
      </c>
    </row>
    <row r="370" ht="15.0" customHeight="1">
      <c r="A370" s="188"/>
      <c r="B370" s="189"/>
      <c r="C370" s="189" t="s">
        <v>1920</v>
      </c>
      <c r="D370" s="189" t="s">
        <v>1967</v>
      </c>
      <c r="E370" s="189" t="s">
        <v>1921</v>
      </c>
      <c r="F370" s="192" t="s">
        <v>1970</v>
      </c>
    </row>
    <row r="371" ht="15.0" customHeight="1">
      <c r="A371" s="188"/>
      <c r="B371" s="189"/>
      <c r="C371" s="189" t="s">
        <v>1920</v>
      </c>
      <c r="D371" s="189" t="s">
        <v>1967</v>
      </c>
      <c r="E371" s="189" t="s">
        <v>1921</v>
      </c>
      <c r="F371" s="192" t="s">
        <v>1971</v>
      </c>
    </row>
    <row r="372" ht="15.0" customHeight="1">
      <c r="A372" s="188"/>
      <c r="B372" s="189"/>
      <c r="C372" s="189" t="s">
        <v>1920</v>
      </c>
      <c r="D372" s="189" t="s">
        <v>1967</v>
      </c>
      <c r="E372" s="189" t="s">
        <v>1921</v>
      </c>
      <c r="F372" s="192" t="s">
        <v>1972</v>
      </c>
    </row>
    <row r="373" ht="15.0" customHeight="1">
      <c r="A373" s="188"/>
      <c r="B373" s="189"/>
      <c r="C373" s="189" t="s">
        <v>1920</v>
      </c>
      <c r="D373" s="189" t="s">
        <v>1967</v>
      </c>
      <c r="E373" s="189" t="s">
        <v>1921</v>
      </c>
      <c r="F373" s="192" t="s">
        <v>1928</v>
      </c>
    </row>
    <row r="374" ht="15.0" customHeight="1">
      <c r="A374" s="188"/>
      <c r="B374" s="189"/>
      <c r="C374" s="189" t="s">
        <v>1920</v>
      </c>
      <c r="D374" s="189" t="s">
        <v>782</v>
      </c>
      <c r="E374" s="189" t="s">
        <v>1921</v>
      </c>
      <c r="F374" s="192" t="s">
        <v>1955</v>
      </c>
    </row>
    <row r="375" ht="15.0" customHeight="1">
      <c r="A375" s="188"/>
      <c r="B375" s="189"/>
      <c r="C375" s="189" t="s">
        <v>1920</v>
      </c>
      <c r="D375" s="189" t="s">
        <v>782</v>
      </c>
      <c r="E375" s="189" t="s">
        <v>1921</v>
      </c>
      <c r="F375" s="192" t="s">
        <v>1956</v>
      </c>
    </row>
    <row r="376" ht="15.0" customHeight="1">
      <c r="A376" s="188"/>
      <c r="B376" s="189"/>
      <c r="C376" s="189" t="s">
        <v>1920</v>
      </c>
      <c r="D376" s="189" t="s">
        <v>782</v>
      </c>
      <c r="E376" s="189" t="s">
        <v>1921</v>
      </c>
      <c r="F376" s="192" t="s">
        <v>1957</v>
      </c>
    </row>
    <row r="377" ht="15.0" customHeight="1">
      <c r="A377" s="188"/>
      <c r="B377" s="189"/>
      <c r="C377" s="189" t="s">
        <v>1920</v>
      </c>
      <c r="D377" s="189" t="s">
        <v>782</v>
      </c>
      <c r="E377" s="189" t="s">
        <v>1921</v>
      </c>
      <c r="F377" s="192" t="s">
        <v>1961</v>
      </c>
    </row>
    <row r="378" ht="15.0" customHeight="1">
      <c r="A378" s="188"/>
      <c r="B378" s="189"/>
      <c r="C378" s="189" t="s">
        <v>1920</v>
      </c>
      <c r="D378" s="189" t="s">
        <v>782</v>
      </c>
      <c r="E378" s="189" t="s">
        <v>1921</v>
      </c>
      <c r="F378" s="192" t="s">
        <v>1963</v>
      </c>
    </row>
    <row r="379" ht="15.0" customHeight="1">
      <c r="A379" s="188"/>
      <c r="B379" s="189"/>
      <c r="C379" s="189" t="s">
        <v>1920</v>
      </c>
      <c r="D379" s="189" t="s">
        <v>782</v>
      </c>
      <c r="E379" s="189" t="s">
        <v>1921</v>
      </c>
      <c r="F379" s="192" t="s">
        <v>1966</v>
      </c>
    </row>
    <row r="380" ht="15.0" customHeight="1">
      <c r="A380" s="188"/>
      <c r="B380" s="189"/>
      <c r="C380" s="189" t="s">
        <v>1920</v>
      </c>
      <c r="D380" s="189" t="s">
        <v>756</v>
      </c>
      <c r="E380" s="189" t="s">
        <v>1921</v>
      </c>
      <c r="F380" s="192" t="s">
        <v>1977</v>
      </c>
    </row>
    <row r="381" ht="15.0" customHeight="1">
      <c r="A381" s="188"/>
      <c r="B381" s="189"/>
      <c r="C381" s="189" t="s">
        <v>1920</v>
      </c>
      <c r="D381" s="189" t="s">
        <v>756</v>
      </c>
      <c r="E381" s="189" t="s">
        <v>1921</v>
      </c>
      <c r="F381" s="192" t="s">
        <v>1978</v>
      </c>
    </row>
    <row r="382" ht="15.0" customHeight="1">
      <c r="A382" s="188"/>
      <c r="B382" s="189"/>
      <c r="C382" s="189" t="s">
        <v>1920</v>
      </c>
      <c r="D382" s="189" t="s">
        <v>756</v>
      </c>
      <c r="E382" s="189" t="s">
        <v>1921</v>
      </c>
      <c r="F382" s="192" t="s">
        <v>1979</v>
      </c>
    </row>
    <row r="383" ht="15.0" customHeight="1">
      <c r="A383" s="188"/>
      <c r="B383" s="189"/>
      <c r="C383" s="189" t="s">
        <v>1920</v>
      </c>
      <c r="D383" s="189" t="s">
        <v>756</v>
      </c>
      <c r="E383" s="189" t="s">
        <v>1921</v>
      </c>
      <c r="F383" s="192" t="s">
        <v>1981</v>
      </c>
    </row>
    <row r="384" ht="15.0" customHeight="1">
      <c r="A384" s="188"/>
      <c r="B384" s="189"/>
      <c r="C384" s="189" t="s">
        <v>1920</v>
      </c>
      <c r="D384" s="189" t="s">
        <v>756</v>
      </c>
      <c r="E384" s="189" t="s">
        <v>1921</v>
      </c>
      <c r="F384" s="192" t="s">
        <v>1983</v>
      </c>
    </row>
    <row r="385" ht="15.0" customHeight="1">
      <c r="A385" s="188"/>
      <c r="B385" s="189"/>
      <c r="C385" s="189" t="s">
        <v>1920</v>
      </c>
      <c r="D385" s="189" t="s">
        <v>756</v>
      </c>
      <c r="E385" s="189" t="s">
        <v>1921</v>
      </c>
      <c r="F385" s="192" t="s">
        <v>1984</v>
      </c>
    </row>
    <row r="386" ht="15.0" customHeight="1">
      <c r="A386" s="188"/>
      <c r="B386" s="189"/>
      <c r="C386" s="189" t="s">
        <v>1920</v>
      </c>
      <c r="D386" s="189" t="s">
        <v>756</v>
      </c>
      <c r="E386" s="189" t="s">
        <v>1921</v>
      </c>
      <c r="F386" s="192" t="s">
        <v>1985</v>
      </c>
    </row>
    <row r="387" ht="15.0" customHeight="1">
      <c r="A387" s="188"/>
      <c r="B387" s="189"/>
      <c r="C387" s="189" t="s">
        <v>1920</v>
      </c>
      <c r="D387" s="189" t="s">
        <v>756</v>
      </c>
      <c r="E387" s="189" t="s">
        <v>1921</v>
      </c>
      <c r="F387" s="192" t="s">
        <v>1963</v>
      </c>
    </row>
    <row r="388" ht="15.0" customHeight="1">
      <c r="A388" s="188"/>
      <c r="B388" s="189"/>
      <c r="C388" s="189" t="s">
        <v>1920</v>
      </c>
      <c r="D388" s="189" t="s">
        <v>757</v>
      </c>
      <c r="E388" s="189" t="s">
        <v>1921</v>
      </c>
      <c r="F388" s="192" t="s">
        <v>1986</v>
      </c>
    </row>
    <row r="389" ht="15.0" customHeight="1">
      <c r="A389" s="188"/>
      <c r="B389" s="189"/>
      <c r="C389" s="189" t="s">
        <v>1920</v>
      </c>
      <c r="D389" s="189" t="s">
        <v>757</v>
      </c>
      <c r="E389" s="189" t="s">
        <v>1921</v>
      </c>
      <c r="F389" s="192" t="s">
        <v>1988</v>
      </c>
    </row>
    <row r="390" ht="15.0" customHeight="1">
      <c r="A390" s="188"/>
      <c r="B390" s="189"/>
      <c r="C390" s="189" t="s">
        <v>1920</v>
      </c>
      <c r="D390" s="189" t="s">
        <v>757</v>
      </c>
      <c r="E390" s="189" t="s">
        <v>1921</v>
      </c>
      <c r="F390" s="192" t="s">
        <v>1989</v>
      </c>
    </row>
    <row r="391" ht="15.0" customHeight="1">
      <c r="A391" s="188"/>
      <c r="B391" s="189"/>
      <c r="C391" s="189" t="s">
        <v>1920</v>
      </c>
      <c r="D391" s="189" t="s">
        <v>757</v>
      </c>
      <c r="E391" s="189" t="s">
        <v>1921</v>
      </c>
      <c r="F391" s="192" t="s">
        <v>1985</v>
      </c>
    </row>
    <row r="392" ht="15.0" customHeight="1">
      <c r="A392" s="188"/>
      <c r="B392" s="189"/>
      <c r="C392" s="189" t="s">
        <v>1920</v>
      </c>
      <c r="D392" s="189" t="s">
        <v>757</v>
      </c>
      <c r="E392" s="189" t="s">
        <v>1921</v>
      </c>
      <c r="F392" s="192" t="s">
        <v>1963</v>
      </c>
    </row>
    <row r="393" ht="15.0" customHeight="1">
      <c r="A393" s="188"/>
      <c r="B393" s="189"/>
      <c r="C393" s="189" t="s">
        <v>1920</v>
      </c>
      <c r="D393" s="189" t="s">
        <v>1992</v>
      </c>
      <c r="E393" s="189" t="s">
        <v>1921</v>
      </c>
      <c r="F393" s="192" t="s">
        <v>1993</v>
      </c>
    </row>
    <row r="394" ht="15.0" customHeight="1">
      <c r="A394" s="188"/>
      <c r="B394" s="189"/>
      <c r="C394" s="189" t="s">
        <v>1920</v>
      </c>
      <c r="D394" s="189" t="s">
        <v>1992</v>
      </c>
      <c r="E394" s="189" t="s">
        <v>1921</v>
      </c>
      <c r="F394" s="192" t="s">
        <v>1994</v>
      </c>
    </row>
    <row r="395" ht="15.0" customHeight="1">
      <c r="A395" s="188"/>
      <c r="B395" s="189"/>
      <c r="C395" s="189" t="s">
        <v>1920</v>
      </c>
      <c r="D395" s="189" t="s">
        <v>1992</v>
      </c>
      <c r="E395" s="189" t="s">
        <v>1921</v>
      </c>
      <c r="F395" s="192" t="s">
        <v>1996</v>
      </c>
    </row>
    <row r="396" ht="15.0" customHeight="1">
      <c r="A396" s="188"/>
      <c r="B396" s="189"/>
      <c r="C396" s="189" t="s">
        <v>1920</v>
      </c>
      <c r="D396" s="189" t="s">
        <v>1992</v>
      </c>
      <c r="E396" s="189" t="s">
        <v>1921</v>
      </c>
      <c r="F396" s="192" t="s">
        <v>1997</v>
      </c>
    </row>
    <row r="397" ht="15.0" customHeight="1">
      <c r="A397" s="188"/>
      <c r="B397" s="189"/>
      <c r="C397" s="189" t="s">
        <v>1920</v>
      </c>
      <c r="D397" s="189" t="s">
        <v>1992</v>
      </c>
      <c r="E397" s="189" t="s">
        <v>1921</v>
      </c>
      <c r="F397" s="192" t="s">
        <v>1998</v>
      </c>
    </row>
    <row r="398" ht="15.0" customHeight="1">
      <c r="A398" s="188"/>
      <c r="B398" s="189"/>
      <c r="C398" s="189" t="s">
        <v>1920</v>
      </c>
      <c r="D398" s="189" t="s">
        <v>1992</v>
      </c>
      <c r="E398" s="189" t="s">
        <v>1921</v>
      </c>
      <c r="F398" s="192" t="s">
        <v>1999</v>
      </c>
    </row>
    <row r="399" ht="15.0" customHeight="1">
      <c r="A399" s="188"/>
      <c r="B399" s="189"/>
      <c r="C399" s="189" t="s">
        <v>1920</v>
      </c>
      <c r="D399" s="189" t="s">
        <v>1992</v>
      </c>
      <c r="E399" s="189" t="s">
        <v>1921</v>
      </c>
      <c r="F399" s="192" t="s">
        <v>1985</v>
      </c>
    </row>
    <row r="400" ht="15.0" customHeight="1">
      <c r="A400" s="188"/>
      <c r="B400" s="189"/>
      <c r="C400" s="189" t="s">
        <v>1920</v>
      </c>
      <c r="D400" s="189" t="s">
        <v>1992</v>
      </c>
      <c r="E400" s="189" t="s">
        <v>1921</v>
      </c>
      <c r="F400" s="192" t="s">
        <v>1963</v>
      </c>
    </row>
    <row r="401" ht="15.0" customHeight="1">
      <c r="A401" s="188"/>
      <c r="B401" s="189"/>
      <c r="C401" s="189" t="s">
        <v>1920</v>
      </c>
      <c r="D401" s="189" t="s">
        <v>758</v>
      </c>
      <c r="E401" s="189" t="s">
        <v>1921</v>
      </c>
      <c r="F401" s="192" t="s">
        <v>2001</v>
      </c>
    </row>
    <row r="402" ht="15.0" customHeight="1">
      <c r="A402" s="188"/>
      <c r="B402" s="189"/>
      <c r="C402" s="189" t="s">
        <v>1920</v>
      </c>
      <c r="D402" s="189" t="s">
        <v>758</v>
      </c>
      <c r="E402" s="189" t="s">
        <v>1921</v>
      </c>
      <c r="F402" s="192" t="s">
        <v>2002</v>
      </c>
    </row>
    <row r="403" ht="15.0" customHeight="1">
      <c r="A403" s="188"/>
      <c r="B403" s="189"/>
      <c r="C403" s="189" t="s">
        <v>1920</v>
      </c>
      <c r="D403" s="189" t="s">
        <v>758</v>
      </c>
      <c r="E403" s="189" t="s">
        <v>1921</v>
      </c>
      <c r="F403" s="192" t="s">
        <v>2003</v>
      </c>
    </row>
    <row r="404" ht="15.0" customHeight="1">
      <c r="A404" s="188"/>
      <c r="B404" s="189"/>
      <c r="C404" s="189" t="s">
        <v>1920</v>
      </c>
      <c r="D404" s="189" t="s">
        <v>758</v>
      </c>
      <c r="E404" s="189" t="s">
        <v>1921</v>
      </c>
      <c r="F404" s="192" t="s">
        <v>2005</v>
      </c>
    </row>
    <row r="405" ht="15.0" customHeight="1">
      <c r="A405" s="188"/>
      <c r="B405" s="189"/>
      <c r="C405" s="189" t="s">
        <v>1920</v>
      </c>
      <c r="D405" s="189" t="s">
        <v>758</v>
      </c>
      <c r="E405" s="189" t="s">
        <v>1921</v>
      </c>
      <c r="F405" s="192" t="s">
        <v>1998</v>
      </c>
    </row>
    <row r="406" ht="15.0" customHeight="1">
      <c r="A406" s="188"/>
      <c r="B406" s="189"/>
      <c r="C406" s="189" t="s">
        <v>1920</v>
      </c>
      <c r="D406" s="189" t="s">
        <v>758</v>
      </c>
      <c r="E406" s="189" t="s">
        <v>1921</v>
      </c>
      <c r="F406" s="192" t="s">
        <v>2007</v>
      </c>
    </row>
    <row r="407" ht="15.0" customHeight="1">
      <c r="A407" s="188"/>
      <c r="B407" s="189"/>
      <c r="C407" s="189" t="s">
        <v>1920</v>
      </c>
      <c r="D407" s="189" t="s">
        <v>758</v>
      </c>
      <c r="E407" s="189" t="s">
        <v>1921</v>
      </c>
      <c r="F407" s="192" t="s">
        <v>1985</v>
      </c>
    </row>
    <row r="408" ht="15.0" customHeight="1">
      <c r="A408" s="188"/>
      <c r="B408" s="189"/>
      <c r="C408" s="189" t="s">
        <v>1920</v>
      </c>
      <c r="D408" s="189" t="s">
        <v>758</v>
      </c>
      <c r="E408" s="189" t="s">
        <v>1921</v>
      </c>
      <c r="F408" s="192" t="s">
        <v>1963</v>
      </c>
    </row>
    <row r="409" ht="15.0" customHeight="1">
      <c r="A409" s="188"/>
      <c r="B409" s="189"/>
      <c r="C409" s="189" t="s">
        <v>1920</v>
      </c>
      <c r="D409" s="189" t="s">
        <v>778</v>
      </c>
      <c r="E409" s="189" t="s">
        <v>1921</v>
      </c>
      <c r="F409" s="192" t="s">
        <v>2009</v>
      </c>
    </row>
    <row r="410" ht="15.0" customHeight="1">
      <c r="A410" s="188"/>
      <c r="B410" s="189"/>
      <c r="C410" s="189" t="s">
        <v>1920</v>
      </c>
      <c r="D410" s="189" t="s">
        <v>778</v>
      </c>
      <c r="E410" s="189" t="s">
        <v>1921</v>
      </c>
      <c r="F410" s="192" t="s">
        <v>2010</v>
      </c>
    </row>
    <row r="411" ht="15.0" customHeight="1">
      <c r="A411" s="188"/>
      <c r="B411" s="189"/>
      <c r="C411" s="189" t="s">
        <v>1920</v>
      </c>
      <c r="D411" s="189" t="s">
        <v>778</v>
      </c>
      <c r="E411" s="189" t="s">
        <v>1921</v>
      </c>
      <c r="F411" s="192" t="s">
        <v>2012</v>
      </c>
    </row>
    <row r="412" ht="15.0" customHeight="1">
      <c r="A412" s="188"/>
      <c r="B412" s="189"/>
      <c r="C412" s="189" t="s">
        <v>1920</v>
      </c>
      <c r="D412" s="189" t="s">
        <v>778</v>
      </c>
      <c r="E412" s="189" t="s">
        <v>1921</v>
      </c>
      <c r="F412" s="192" t="s">
        <v>2013</v>
      </c>
    </row>
    <row r="413" ht="15.0" customHeight="1">
      <c r="A413" s="188"/>
      <c r="B413" s="189"/>
      <c r="C413" s="189" t="s">
        <v>1920</v>
      </c>
      <c r="D413" s="189" t="s">
        <v>769</v>
      </c>
      <c r="E413" s="189" t="s">
        <v>1921</v>
      </c>
      <c r="F413" s="192" t="s">
        <v>2016</v>
      </c>
    </row>
    <row r="414" ht="15.0" customHeight="1">
      <c r="A414" s="188"/>
      <c r="B414" s="189"/>
      <c r="C414" s="189" t="s">
        <v>1920</v>
      </c>
      <c r="D414" s="189" t="s">
        <v>769</v>
      </c>
      <c r="E414" s="189" t="s">
        <v>1921</v>
      </c>
      <c r="F414" s="192" t="s">
        <v>2017</v>
      </c>
    </row>
    <row r="415" ht="15.0" customHeight="1">
      <c r="A415" s="188"/>
      <c r="B415" s="189"/>
      <c r="C415" s="189" t="s">
        <v>1920</v>
      </c>
      <c r="D415" s="189" t="s">
        <v>769</v>
      </c>
      <c r="E415" s="189" t="s">
        <v>1921</v>
      </c>
      <c r="F415" s="192" t="s">
        <v>2018</v>
      </c>
    </row>
    <row r="416" ht="15.0" customHeight="1">
      <c r="A416" s="188"/>
      <c r="B416" s="189"/>
      <c r="C416" s="189" t="s">
        <v>1920</v>
      </c>
      <c r="D416" s="189" t="s">
        <v>769</v>
      </c>
      <c r="E416" s="189" t="s">
        <v>1921</v>
      </c>
      <c r="F416" s="192" t="s">
        <v>2020</v>
      </c>
    </row>
    <row r="417" ht="15.0" customHeight="1">
      <c r="A417" s="188"/>
      <c r="B417" s="189"/>
      <c r="C417" s="189" t="s">
        <v>1920</v>
      </c>
      <c r="D417" s="189" t="s">
        <v>769</v>
      </c>
      <c r="E417" s="189" t="s">
        <v>1921</v>
      </c>
      <c r="F417" s="192" t="s">
        <v>2021</v>
      </c>
    </row>
    <row r="418" ht="15.0" customHeight="1">
      <c r="A418" s="188"/>
      <c r="B418" s="189"/>
      <c r="C418" s="189" t="s">
        <v>1920</v>
      </c>
      <c r="D418" s="189" t="s">
        <v>751</v>
      </c>
      <c r="E418" s="189" t="s">
        <v>1921</v>
      </c>
      <c r="F418" s="192" t="s">
        <v>2023</v>
      </c>
    </row>
    <row r="419" ht="15.0" customHeight="1">
      <c r="A419" s="188"/>
      <c r="B419" s="189"/>
      <c r="C419" s="189" t="s">
        <v>1920</v>
      </c>
      <c r="D419" s="189" t="s">
        <v>751</v>
      </c>
      <c r="E419" s="189" t="s">
        <v>1921</v>
      </c>
      <c r="F419" s="192" t="s">
        <v>2024</v>
      </c>
    </row>
    <row r="420" ht="15.0" customHeight="1">
      <c r="A420" s="188"/>
      <c r="B420" s="189"/>
      <c r="C420" s="189" t="s">
        <v>1920</v>
      </c>
      <c r="D420" s="189" t="s">
        <v>749</v>
      </c>
      <c r="E420" s="189" t="s">
        <v>1921</v>
      </c>
      <c r="F420" s="192" t="s">
        <v>2023</v>
      </c>
    </row>
    <row r="421" ht="15.0" customHeight="1">
      <c r="A421" s="188"/>
      <c r="B421" s="189"/>
      <c r="C421" s="189" t="s">
        <v>1920</v>
      </c>
      <c r="D421" s="189" t="s">
        <v>749</v>
      </c>
      <c r="E421" s="189" t="s">
        <v>1921</v>
      </c>
      <c r="F421" s="192" t="s">
        <v>2026</v>
      </c>
    </row>
    <row r="422" ht="15.0" customHeight="1">
      <c r="A422" s="188"/>
      <c r="B422" s="189"/>
      <c r="C422" s="189" t="s">
        <v>1920</v>
      </c>
      <c r="D422" s="189" t="s">
        <v>749</v>
      </c>
      <c r="E422" s="189" t="s">
        <v>1921</v>
      </c>
      <c r="F422" s="192" t="s">
        <v>2028</v>
      </c>
    </row>
    <row r="423" ht="15.0" customHeight="1">
      <c r="A423" s="188"/>
      <c r="B423" s="189"/>
      <c r="C423" s="189" t="s">
        <v>1920</v>
      </c>
      <c r="D423" s="189" t="s">
        <v>749</v>
      </c>
      <c r="E423" s="189" t="s">
        <v>1921</v>
      </c>
      <c r="F423" s="192" t="s">
        <v>1963</v>
      </c>
    </row>
    <row r="424" ht="15.0" customHeight="1">
      <c r="A424" s="188"/>
      <c r="B424" s="189"/>
      <c r="C424" s="189" t="s">
        <v>1920</v>
      </c>
      <c r="D424" s="189" t="s">
        <v>749</v>
      </c>
      <c r="E424" s="189" t="s">
        <v>1921</v>
      </c>
      <c r="F424" s="192" t="s">
        <v>2030</v>
      </c>
    </row>
    <row r="425" ht="15.0" customHeight="1">
      <c r="A425" s="188"/>
      <c r="B425" s="189"/>
      <c r="C425" s="189" t="s">
        <v>1920</v>
      </c>
      <c r="D425" s="189" t="s">
        <v>753</v>
      </c>
      <c r="E425" s="189" t="s">
        <v>1921</v>
      </c>
      <c r="F425" s="192" t="s">
        <v>2032</v>
      </c>
    </row>
    <row r="426" ht="15.0" customHeight="1">
      <c r="A426" s="188"/>
      <c r="B426" s="189"/>
      <c r="C426" s="189" t="s">
        <v>1920</v>
      </c>
      <c r="D426" s="189" t="s">
        <v>753</v>
      </c>
      <c r="E426" s="189" t="s">
        <v>1921</v>
      </c>
      <c r="F426" s="192" t="s">
        <v>2033</v>
      </c>
    </row>
    <row r="427" ht="15.0" customHeight="1">
      <c r="A427" s="188"/>
      <c r="B427" s="189"/>
      <c r="C427" s="189" t="s">
        <v>1920</v>
      </c>
      <c r="D427" s="189" t="s">
        <v>753</v>
      </c>
      <c r="E427" s="189" t="s">
        <v>1921</v>
      </c>
      <c r="F427" s="192" t="s">
        <v>2035</v>
      </c>
    </row>
    <row r="428" ht="15.0" customHeight="1">
      <c r="A428" s="188"/>
      <c r="B428" s="189"/>
      <c r="C428" s="189" t="s">
        <v>1920</v>
      </c>
      <c r="D428" s="189" t="s">
        <v>749</v>
      </c>
      <c r="E428" s="189" t="s">
        <v>1921</v>
      </c>
      <c r="F428" s="192" t="s">
        <v>2036</v>
      </c>
    </row>
    <row r="429" ht="15.0" customHeight="1">
      <c r="A429" s="188"/>
      <c r="B429" s="189"/>
      <c r="C429" s="189" t="s">
        <v>1920</v>
      </c>
      <c r="D429" s="189" t="s">
        <v>750</v>
      </c>
      <c r="E429" s="189" t="s">
        <v>1921</v>
      </c>
      <c r="F429" s="192" t="s">
        <v>2038</v>
      </c>
    </row>
    <row r="430" ht="15.0" customHeight="1">
      <c r="A430" s="188"/>
      <c r="B430" s="189"/>
      <c r="C430" s="189" t="s">
        <v>1920</v>
      </c>
      <c r="D430" s="189" t="s">
        <v>750</v>
      </c>
      <c r="E430" s="189" t="s">
        <v>1921</v>
      </c>
      <c r="F430" s="192" t="s">
        <v>2039</v>
      </c>
    </row>
    <row r="431" ht="15.0" customHeight="1">
      <c r="A431" s="188"/>
      <c r="B431" s="189"/>
      <c r="C431" s="189" t="s">
        <v>1920</v>
      </c>
      <c r="D431" s="189" t="s">
        <v>750</v>
      </c>
      <c r="E431" s="189" t="s">
        <v>1921</v>
      </c>
      <c r="F431" s="192" t="s">
        <v>2028</v>
      </c>
    </row>
    <row r="432" ht="15.0" customHeight="1">
      <c r="A432" s="188"/>
      <c r="B432" s="189"/>
      <c r="C432" s="189" t="s">
        <v>1920</v>
      </c>
      <c r="D432" s="189" t="s">
        <v>750</v>
      </c>
      <c r="E432" s="189" t="s">
        <v>1921</v>
      </c>
      <c r="F432" s="192" t="s">
        <v>1963</v>
      </c>
    </row>
    <row r="433" ht="15.0" customHeight="1">
      <c r="A433" s="188"/>
      <c r="B433" s="189"/>
      <c r="C433" s="189" t="s">
        <v>1920</v>
      </c>
      <c r="D433" s="189" t="s">
        <v>752</v>
      </c>
      <c r="E433" s="189" t="s">
        <v>1921</v>
      </c>
      <c r="F433" s="192" t="s">
        <v>2041</v>
      </c>
    </row>
    <row r="434" ht="15.0" customHeight="1">
      <c r="A434" s="188"/>
      <c r="B434" s="189"/>
      <c r="C434" s="189" t="s">
        <v>1920</v>
      </c>
      <c r="D434" s="189" t="s">
        <v>752</v>
      </c>
      <c r="E434" s="189" t="s">
        <v>1921</v>
      </c>
      <c r="F434" s="192" t="s">
        <v>2042</v>
      </c>
    </row>
    <row r="435" ht="15.0" customHeight="1">
      <c r="A435" s="188"/>
      <c r="B435" s="189"/>
      <c r="C435" s="189" t="s">
        <v>1920</v>
      </c>
      <c r="D435" s="189" t="s">
        <v>752</v>
      </c>
      <c r="E435" s="189" t="s">
        <v>1921</v>
      </c>
      <c r="F435" s="192" t="s">
        <v>2043</v>
      </c>
    </row>
    <row r="436" ht="15.0" customHeight="1">
      <c r="A436" s="188"/>
      <c r="B436" s="189"/>
      <c r="C436" s="189" t="s">
        <v>1920</v>
      </c>
      <c r="D436" s="189" t="s">
        <v>2044</v>
      </c>
      <c r="E436" s="189" t="s">
        <v>1921</v>
      </c>
      <c r="F436" s="192" t="s">
        <v>2045</v>
      </c>
    </row>
    <row r="437" ht="15.0" customHeight="1">
      <c r="A437" s="188"/>
      <c r="B437" s="189"/>
      <c r="C437" s="189" t="s">
        <v>1920</v>
      </c>
      <c r="D437" s="189" t="s">
        <v>2044</v>
      </c>
      <c r="E437" s="189" t="s">
        <v>1921</v>
      </c>
      <c r="F437" s="192" t="s">
        <v>2046</v>
      </c>
    </row>
    <row r="438" ht="15.0" customHeight="1">
      <c r="A438" s="188"/>
      <c r="B438" s="189"/>
      <c r="C438" s="189" t="s">
        <v>1920</v>
      </c>
      <c r="D438" s="189" t="s">
        <v>2044</v>
      </c>
      <c r="E438" s="189" t="s">
        <v>1921</v>
      </c>
      <c r="F438" s="192" t="s">
        <v>2047</v>
      </c>
    </row>
    <row r="439" ht="15.0" customHeight="1">
      <c r="A439" s="188"/>
      <c r="B439" s="189"/>
      <c r="C439" s="189" t="s">
        <v>1920</v>
      </c>
      <c r="D439" s="189" t="s">
        <v>2044</v>
      </c>
      <c r="E439" s="189" t="s">
        <v>1921</v>
      </c>
      <c r="F439" s="192" t="s">
        <v>2048</v>
      </c>
    </row>
    <row r="440" ht="15.0" customHeight="1">
      <c r="A440" s="188"/>
      <c r="B440" s="189"/>
      <c r="C440" s="189" t="s">
        <v>1920</v>
      </c>
      <c r="D440" s="189" t="s">
        <v>2044</v>
      </c>
      <c r="E440" s="189" t="s">
        <v>1921</v>
      </c>
      <c r="F440" s="192" t="s">
        <v>2049</v>
      </c>
    </row>
    <row r="441" ht="15.0" customHeight="1">
      <c r="A441" s="188"/>
      <c r="B441" s="189"/>
      <c r="C441" s="189" t="s">
        <v>1920</v>
      </c>
      <c r="D441" s="189" t="s">
        <v>776</v>
      </c>
      <c r="E441" s="189" t="s">
        <v>1921</v>
      </c>
      <c r="F441" s="192" t="s">
        <v>2050</v>
      </c>
    </row>
    <row r="442" ht="15.0" customHeight="1">
      <c r="A442" s="188"/>
      <c r="B442" s="189"/>
      <c r="C442" s="189" t="s">
        <v>1920</v>
      </c>
      <c r="D442" s="189" t="s">
        <v>776</v>
      </c>
      <c r="E442" s="189" t="s">
        <v>1921</v>
      </c>
      <c r="F442" s="192" t="s">
        <v>2051</v>
      </c>
    </row>
    <row r="443" ht="15.0" customHeight="1">
      <c r="A443" s="188"/>
      <c r="B443" s="189"/>
      <c r="C443" s="189" t="s">
        <v>1920</v>
      </c>
      <c r="D443" s="189" t="s">
        <v>776</v>
      </c>
      <c r="E443" s="189" t="s">
        <v>1921</v>
      </c>
      <c r="F443" s="192" t="s">
        <v>2053</v>
      </c>
    </row>
    <row r="444" ht="15.0" customHeight="1">
      <c r="A444" s="188"/>
      <c r="B444" s="189"/>
      <c r="C444" s="189" t="s">
        <v>1920</v>
      </c>
      <c r="D444" s="189" t="s">
        <v>776</v>
      </c>
      <c r="E444" s="189" t="s">
        <v>1921</v>
      </c>
      <c r="F444" s="192" t="s">
        <v>2054</v>
      </c>
    </row>
    <row r="445" ht="15.0" customHeight="1">
      <c r="A445" s="188"/>
      <c r="B445" s="189"/>
      <c r="C445" s="189" t="s">
        <v>1920</v>
      </c>
      <c r="D445" s="189" t="s">
        <v>776</v>
      </c>
      <c r="E445" s="189" t="s">
        <v>1921</v>
      </c>
      <c r="F445" s="192" t="s">
        <v>2056</v>
      </c>
    </row>
    <row r="446" ht="15.0" customHeight="1">
      <c r="A446" s="188"/>
      <c r="B446" s="189"/>
      <c r="C446" s="189" t="s">
        <v>1920</v>
      </c>
      <c r="D446" s="189" t="s">
        <v>748</v>
      </c>
      <c r="E446" s="189" t="s">
        <v>1921</v>
      </c>
      <c r="F446" s="192" t="s">
        <v>2057</v>
      </c>
    </row>
    <row r="447" ht="15.0" customHeight="1">
      <c r="A447" s="188"/>
      <c r="B447" s="189"/>
      <c r="C447" s="189" t="s">
        <v>1920</v>
      </c>
      <c r="D447" s="189" t="s">
        <v>748</v>
      </c>
      <c r="E447" s="189" t="s">
        <v>1921</v>
      </c>
      <c r="F447" s="192" t="s">
        <v>2059</v>
      </c>
    </row>
    <row r="448" ht="15.0" customHeight="1">
      <c r="A448" s="188"/>
      <c r="B448" s="189"/>
      <c r="C448" s="189" t="s">
        <v>1920</v>
      </c>
      <c r="D448" s="189" t="s">
        <v>748</v>
      </c>
      <c r="E448" s="189" t="s">
        <v>1921</v>
      </c>
      <c r="F448" s="192" t="s">
        <v>2060</v>
      </c>
    </row>
    <row r="449" ht="15.0" customHeight="1">
      <c r="A449" s="188"/>
      <c r="B449" s="189"/>
      <c r="C449" s="189" t="s">
        <v>1920</v>
      </c>
      <c r="D449" s="189" t="s">
        <v>748</v>
      </c>
      <c r="E449" s="189" t="s">
        <v>1921</v>
      </c>
      <c r="F449" s="192" t="s">
        <v>2061</v>
      </c>
    </row>
    <row r="450" ht="15.0" customHeight="1">
      <c r="A450" s="193"/>
      <c r="B450" s="194"/>
      <c r="C450" s="189" t="s">
        <v>1920</v>
      </c>
      <c r="D450" s="194" t="s">
        <v>754</v>
      </c>
      <c r="E450" s="189" t="s">
        <v>1921</v>
      </c>
      <c r="F450" s="195" t="s">
        <v>2063</v>
      </c>
    </row>
    <row r="451" ht="15.0" customHeight="1">
      <c r="A451" s="193"/>
      <c r="B451" s="194"/>
      <c r="C451" s="189" t="s">
        <v>1920</v>
      </c>
      <c r="D451" s="194" t="s">
        <v>754</v>
      </c>
      <c r="E451" s="189" t="s">
        <v>1921</v>
      </c>
      <c r="F451" s="195" t="s">
        <v>2065</v>
      </c>
    </row>
    <row r="452" ht="15.0" customHeight="1">
      <c r="A452" s="193"/>
      <c r="B452" s="194"/>
      <c r="C452" s="189" t="s">
        <v>1920</v>
      </c>
      <c r="D452" s="194" t="s">
        <v>754</v>
      </c>
      <c r="E452" s="189" t="s">
        <v>1921</v>
      </c>
      <c r="F452" s="196" t="s">
        <v>2066</v>
      </c>
    </row>
    <row r="453" ht="15.0" customHeight="1">
      <c r="A453" s="188"/>
      <c r="B453" s="189"/>
      <c r="C453" s="189" t="s">
        <v>1920</v>
      </c>
      <c r="D453" s="189" t="s">
        <v>773</v>
      </c>
      <c r="E453" s="189" t="s">
        <v>1921</v>
      </c>
      <c r="F453" s="189" t="s">
        <v>2068</v>
      </c>
    </row>
    <row r="454" ht="15.0" customHeight="1">
      <c r="A454" s="188"/>
      <c r="B454" s="189"/>
      <c r="C454" s="189" t="s">
        <v>1920</v>
      </c>
      <c r="D454" s="189" t="s">
        <v>773</v>
      </c>
      <c r="E454" s="189" t="s">
        <v>1921</v>
      </c>
      <c r="F454" s="189" t="s">
        <v>2069</v>
      </c>
    </row>
    <row r="455" ht="15.0" customHeight="1">
      <c r="A455" s="188"/>
      <c r="B455" s="189"/>
      <c r="C455" s="189" t="s">
        <v>1920</v>
      </c>
      <c r="D455" s="189" t="s">
        <v>773</v>
      </c>
      <c r="E455" s="189" t="s">
        <v>1921</v>
      </c>
      <c r="F455" s="189" t="s">
        <v>2070</v>
      </c>
    </row>
    <row r="456" ht="15.0" customHeight="1">
      <c r="A456" s="188"/>
      <c r="B456" s="189"/>
      <c r="C456" s="189" t="s">
        <v>1920</v>
      </c>
      <c r="D456" s="189" t="s">
        <v>773</v>
      </c>
      <c r="E456" s="189" t="s">
        <v>1921</v>
      </c>
      <c r="F456" s="189" t="s">
        <v>2071</v>
      </c>
    </row>
    <row r="457" ht="15.0" customHeight="1">
      <c r="A457" s="188"/>
      <c r="B457" s="189"/>
      <c r="C457" s="189" t="s">
        <v>1920</v>
      </c>
      <c r="D457" s="189" t="s">
        <v>773</v>
      </c>
      <c r="E457" s="189" t="s">
        <v>1921</v>
      </c>
      <c r="F457" s="189" t="s">
        <v>2072</v>
      </c>
    </row>
    <row r="458" ht="15.0" customHeight="1">
      <c r="A458" s="188"/>
      <c r="B458" s="189"/>
      <c r="C458" s="189" t="s">
        <v>1920</v>
      </c>
      <c r="D458" s="189" t="s">
        <v>755</v>
      </c>
      <c r="E458" s="189" t="s">
        <v>1921</v>
      </c>
      <c r="F458" s="192" t="s">
        <v>2074</v>
      </c>
    </row>
    <row r="459" ht="15.0" customHeight="1">
      <c r="A459" s="188"/>
      <c r="B459" s="189"/>
      <c r="C459" s="189" t="s">
        <v>1920</v>
      </c>
      <c r="D459" s="189" t="s">
        <v>755</v>
      </c>
      <c r="E459" s="189" t="s">
        <v>1921</v>
      </c>
      <c r="F459" s="192" t="s">
        <v>2075</v>
      </c>
    </row>
    <row r="460" ht="15.0" customHeight="1">
      <c r="A460" s="188"/>
      <c r="B460" s="189"/>
      <c r="C460" s="189" t="s">
        <v>1920</v>
      </c>
      <c r="D460" s="189" t="s">
        <v>755</v>
      </c>
      <c r="E460" s="189" t="s">
        <v>1921</v>
      </c>
      <c r="F460" s="192" t="s">
        <v>2077</v>
      </c>
    </row>
    <row r="461" ht="15.0" customHeight="1">
      <c r="A461" s="188"/>
      <c r="B461" s="189"/>
      <c r="C461" s="189" t="s">
        <v>1920</v>
      </c>
      <c r="D461" s="189" t="s">
        <v>755</v>
      </c>
      <c r="E461" s="189" t="s">
        <v>1921</v>
      </c>
      <c r="F461" s="192" t="s">
        <v>2078</v>
      </c>
    </row>
    <row r="462" ht="15.0" customHeight="1">
      <c r="A462" s="188"/>
      <c r="B462" s="189"/>
      <c r="C462" s="189" t="s">
        <v>2080</v>
      </c>
      <c r="D462" s="189" t="s">
        <v>713</v>
      </c>
      <c r="E462" s="189" t="s">
        <v>2081</v>
      </c>
      <c r="F462" s="190" t="s">
        <v>2082</v>
      </c>
    </row>
    <row r="463" ht="15.0" customHeight="1">
      <c r="A463" s="188"/>
      <c r="B463" s="189"/>
      <c r="C463" s="189" t="s">
        <v>2080</v>
      </c>
      <c r="D463" s="189" t="s">
        <v>713</v>
      </c>
      <c r="E463" s="189" t="s">
        <v>2081</v>
      </c>
      <c r="F463" s="192" t="s">
        <v>2084</v>
      </c>
    </row>
    <row r="464" ht="15.0" customHeight="1">
      <c r="A464" s="188"/>
      <c r="B464" s="189"/>
      <c r="C464" s="189" t="s">
        <v>2080</v>
      </c>
      <c r="D464" s="189" t="s">
        <v>713</v>
      </c>
      <c r="E464" s="189" t="s">
        <v>2081</v>
      </c>
      <c r="F464" s="192" t="s">
        <v>2085</v>
      </c>
    </row>
    <row r="465" ht="15.0" customHeight="1">
      <c r="A465" s="188"/>
      <c r="B465" s="189"/>
      <c r="C465" s="189" t="s">
        <v>2080</v>
      </c>
      <c r="D465" s="189" t="s">
        <v>713</v>
      </c>
      <c r="E465" s="189" t="s">
        <v>2081</v>
      </c>
      <c r="F465" s="192" t="s">
        <v>2086</v>
      </c>
    </row>
    <row r="466" ht="15.0" customHeight="1">
      <c r="A466" s="188"/>
      <c r="B466" s="189"/>
      <c r="C466" s="189" t="s">
        <v>2080</v>
      </c>
      <c r="D466" s="189" t="s">
        <v>713</v>
      </c>
      <c r="E466" s="189" t="s">
        <v>2081</v>
      </c>
      <c r="F466" s="192" t="s">
        <v>2088</v>
      </c>
    </row>
    <row r="467" ht="15.0" customHeight="1">
      <c r="A467" s="188"/>
      <c r="B467" s="189"/>
      <c r="C467" s="189" t="s">
        <v>2080</v>
      </c>
      <c r="D467" s="189" t="s">
        <v>713</v>
      </c>
      <c r="E467" s="189" t="s">
        <v>2081</v>
      </c>
      <c r="F467" s="192" t="s">
        <v>2089</v>
      </c>
    </row>
    <row r="468" ht="15.0" customHeight="1">
      <c r="A468" s="188"/>
      <c r="B468" s="189"/>
      <c r="C468" s="189" t="s">
        <v>2080</v>
      </c>
      <c r="D468" s="189" t="s">
        <v>713</v>
      </c>
      <c r="E468" s="189" t="s">
        <v>2081</v>
      </c>
      <c r="F468" s="192" t="s">
        <v>2091</v>
      </c>
    </row>
    <row r="469" ht="15.0" customHeight="1">
      <c r="A469" s="188"/>
      <c r="B469" s="189"/>
      <c r="C469" s="189" t="s">
        <v>2080</v>
      </c>
      <c r="D469" s="189" t="s">
        <v>713</v>
      </c>
      <c r="E469" s="189" t="s">
        <v>2081</v>
      </c>
      <c r="F469" s="192" t="s">
        <v>2092</v>
      </c>
    </row>
    <row r="470" ht="15.0" customHeight="1">
      <c r="A470" s="188"/>
      <c r="B470" s="189"/>
      <c r="C470" s="189" t="s">
        <v>2080</v>
      </c>
      <c r="D470" s="189" t="s">
        <v>713</v>
      </c>
      <c r="E470" s="189" t="s">
        <v>2081</v>
      </c>
      <c r="F470" s="192" t="s">
        <v>2094</v>
      </c>
    </row>
    <row r="471" ht="15.0" customHeight="1">
      <c r="A471" s="188"/>
      <c r="B471" s="189"/>
      <c r="C471" s="189" t="s">
        <v>2080</v>
      </c>
      <c r="D471" s="189" t="s">
        <v>713</v>
      </c>
      <c r="E471" s="189" t="s">
        <v>2081</v>
      </c>
      <c r="F471" s="190" t="s">
        <v>2095</v>
      </c>
    </row>
    <row r="472" ht="15.0" customHeight="1">
      <c r="A472" s="188"/>
      <c r="B472" s="189"/>
      <c r="C472" s="189" t="s">
        <v>2080</v>
      </c>
      <c r="D472" s="189" t="s">
        <v>713</v>
      </c>
      <c r="E472" s="189" t="s">
        <v>2081</v>
      </c>
      <c r="F472" s="189" t="s">
        <v>2097</v>
      </c>
    </row>
    <row r="473" ht="15.0" customHeight="1">
      <c r="A473" s="188"/>
      <c r="B473" s="189"/>
      <c r="C473" s="189" t="s">
        <v>2080</v>
      </c>
      <c r="D473" s="189" t="s">
        <v>713</v>
      </c>
      <c r="E473" s="189" t="s">
        <v>2081</v>
      </c>
      <c r="F473" s="189" t="s">
        <v>2098</v>
      </c>
    </row>
    <row r="474" ht="15.0" customHeight="1">
      <c r="A474" s="188"/>
      <c r="B474" s="189"/>
      <c r="C474" s="189" t="s">
        <v>2080</v>
      </c>
      <c r="D474" s="189" t="s">
        <v>713</v>
      </c>
      <c r="E474" s="189" t="s">
        <v>2081</v>
      </c>
      <c r="F474" s="189" t="s">
        <v>2100</v>
      </c>
    </row>
    <row r="475" ht="15.0" customHeight="1">
      <c r="A475" s="188"/>
      <c r="B475" s="189"/>
      <c r="C475" s="189" t="s">
        <v>2080</v>
      </c>
      <c r="D475" s="189" t="s">
        <v>713</v>
      </c>
      <c r="E475" s="189" t="s">
        <v>2081</v>
      </c>
      <c r="F475" s="189" t="s">
        <v>2101</v>
      </c>
    </row>
    <row r="476" ht="15.0" customHeight="1">
      <c r="A476" s="188"/>
      <c r="B476" s="189"/>
      <c r="C476" s="189" t="s">
        <v>2080</v>
      </c>
      <c r="D476" s="189" t="s">
        <v>713</v>
      </c>
      <c r="E476" s="189" t="s">
        <v>2081</v>
      </c>
      <c r="F476" s="189" t="s">
        <v>2103</v>
      </c>
    </row>
    <row r="477" ht="15.0" customHeight="1">
      <c r="A477" s="188"/>
      <c r="B477" s="189"/>
      <c r="C477" s="189" t="s">
        <v>2080</v>
      </c>
      <c r="D477" s="189" t="s">
        <v>713</v>
      </c>
      <c r="E477" s="189" t="s">
        <v>2081</v>
      </c>
      <c r="F477" s="189" t="s">
        <v>2104</v>
      </c>
    </row>
    <row r="478" ht="15.0" customHeight="1">
      <c r="A478" s="188"/>
      <c r="B478" s="189"/>
      <c r="C478" s="189" t="s">
        <v>2080</v>
      </c>
      <c r="D478" s="189" t="s">
        <v>713</v>
      </c>
      <c r="E478" s="189" t="s">
        <v>2081</v>
      </c>
      <c r="F478" s="189" t="s">
        <v>2105</v>
      </c>
    </row>
    <row r="479" ht="15.0" customHeight="1">
      <c r="A479" s="188"/>
      <c r="B479" s="189"/>
      <c r="C479" s="189" t="s">
        <v>2080</v>
      </c>
      <c r="D479" s="189" t="s">
        <v>713</v>
      </c>
      <c r="E479" s="189" t="s">
        <v>2081</v>
      </c>
      <c r="F479" s="189" t="s">
        <v>2107</v>
      </c>
    </row>
    <row r="480" ht="15.0" customHeight="1">
      <c r="A480" s="188"/>
      <c r="B480" s="189"/>
      <c r="C480" s="189" t="s">
        <v>2080</v>
      </c>
      <c r="D480" s="189" t="s">
        <v>713</v>
      </c>
      <c r="E480" s="189" t="s">
        <v>2081</v>
      </c>
      <c r="F480" s="189" t="s">
        <v>2108</v>
      </c>
    </row>
    <row r="481" ht="15.0" customHeight="1">
      <c r="A481" s="188"/>
      <c r="B481" s="189"/>
      <c r="C481" s="189" t="s">
        <v>2080</v>
      </c>
      <c r="D481" s="189" t="s">
        <v>713</v>
      </c>
      <c r="E481" s="189" t="s">
        <v>2081</v>
      </c>
      <c r="F481" s="189" t="s">
        <v>2110</v>
      </c>
    </row>
    <row r="482" ht="15.0" customHeight="1">
      <c r="A482" s="188"/>
      <c r="B482" s="189"/>
      <c r="C482" s="189" t="s">
        <v>2080</v>
      </c>
      <c r="D482" s="189" t="s">
        <v>713</v>
      </c>
      <c r="E482" s="189" t="s">
        <v>2081</v>
      </c>
      <c r="F482" s="189" t="s">
        <v>2111</v>
      </c>
    </row>
    <row r="483" ht="15.0" customHeight="1">
      <c r="A483" s="188"/>
      <c r="B483" s="189"/>
      <c r="C483" s="189" t="s">
        <v>2080</v>
      </c>
      <c r="D483" s="189" t="s">
        <v>713</v>
      </c>
      <c r="E483" s="189" t="s">
        <v>2081</v>
      </c>
      <c r="F483" s="189" t="s">
        <v>2113</v>
      </c>
    </row>
    <row r="484" ht="15.0" customHeight="1">
      <c r="A484" s="188"/>
      <c r="B484" s="189"/>
      <c r="C484" s="189" t="s">
        <v>2080</v>
      </c>
      <c r="D484" s="189" t="s">
        <v>713</v>
      </c>
      <c r="E484" s="189" t="s">
        <v>2081</v>
      </c>
      <c r="F484" s="189" t="s">
        <v>2114</v>
      </c>
    </row>
    <row r="485" ht="15.0" customHeight="1">
      <c r="A485" s="188"/>
      <c r="B485" s="189"/>
      <c r="C485" s="189" t="s">
        <v>2080</v>
      </c>
      <c r="D485" s="189" t="s">
        <v>713</v>
      </c>
      <c r="E485" s="189" t="s">
        <v>2081</v>
      </c>
      <c r="F485" s="189" t="s">
        <v>2115</v>
      </c>
    </row>
    <row r="486" ht="15.0" customHeight="1">
      <c r="A486" s="188"/>
      <c r="B486" s="189"/>
      <c r="C486" s="189" t="s">
        <v>2080</v>
      </c>
      <c r="D486" s="189" t="s">
        <v>713</v>
      </c>
      <c r="E486" s="189" t="s">
        <v>2081</v>
      </c>
      <c r="F486" s="190" t="s">
        <v>2117</v>
      </c>
    </row>
    <row r="487" ht="15.0" customHeight="1">
      <c r="A487" s="188"/>
      <c r="B487" s="189"/>
      <c r="C487" s="189" t="s">
        <v>2080</v>
      </c>
      <c r="D487" s="189" t="s">
        <v>713</v>
      </c>
      <c r="E487" s="189" t="s">
        <v>2081</v>
      </c>
      <c r="F487" s="189" t="s">
        <v>2119</v>
      </c>
    </row>
    <row r="488" ht="15.0" customHeight="1">
      <c r="A488" s="188"/>
      <c r="B488" s="189"/>
      <c r="C488" s="189" t="s">
        <v>2080</v>
      </c>
      <c r="D488" s="189" t="s">
        <v>713</v>
      </c>
      <c r="E488" s="189" t="s">
        <v>2081</v>
      </c>
      <c r="F488" s="189" t="s">
        <v>2120</v>
      </c>
    </row>
    <row r="489" ht="15.0" customHeight="1">
      <c r="A489" s="188"/>
      <c r="B489" s="189"/>
      <c r="C489" s="189" t="s">
        <v>2080</v>
      </c>
      <c r="D489" s="189" t="s">
        <v>713</v>
      </c>
      <c r="E489" s="189" t="s">
        <v>2081</v>
      </c>
      <c r="F489" s="189" t="s">
        <v>2123</v>
      </c>
    </row>
    <row r="490" ht="15.0" customHeight="1">
      <c r="A490" s="188"/>
      <c r="B490" s="189"/>
      <c r="C490" s="189" t="s">
        <v>2080</v>
      </c>
      <c r="D490" s="189" t="s">
        <v>713</v>
      </c>
      <c r="E490" s="189" t="s">
        <v>2081</v>
      </c>
      <c r="F490" s="189" t="s">
        <v>2124</v>
      </c>
    </row>
    <row r="491" ht="15.0" customHeight="1">
      <c r="A491" s="188"/>
      <c r="B491" s="189"/>
      <c r="C491" s="189" t="s">
        <v>2080</v>
      </c>
      <c r="D491" s="189" t="s">
        <v>713</v>
      </c>
      <c r="E491" s="189" t="s">
        <v>2081</v>
      </c>
      <c r="F491" s="189" t="s">
        <v>2126</v>
      </c>
    </row>
    <row r="492" ht="15.0" customHeight="1">
      <c r="A492" s="188"/>
      <c r="B492" s="189"/>
      <c r="C492" s="189" t="s">
        <v>2080</v>
      </c>
      <c r="D492" s="189" t="s">
        <v>713</v>
      </c>
      <c r="E492" s="189" t="s">
        <v>2081</v>
      </c>
      <c r="F492" s="190" t="s">
        <v>2127</v>
      </c>
    </row>
    <row r="493" ht="15.0" customHeight="1">
      <c r="A493" s="188"/>
      <c r="B493" s="189"/>
      <c r="C493" s="189" t="s">
        <v>2080</v>
      </c>
      <c r="D493" s="189" t="s">
        <v>713</v>
      </c>
      <c r="E493" s="189" t="s">
        <v>2081</v>
      </c>
      <c r="F493" s="189" t="s">
        <v>2128</v>
      </c>
    </row>
    <row r="494" ht="15.0" customHeight="1">
      <c r="A494" s="188"/>
      <c r="B494" s="189"/>
      <c r="C494" s="189" t="s">
        <v>2080</v>
      </c>
      <c r="D494" s="189" t="s">
        <v>713</v>
      </c>
      <c r="E494" s="189" t="s">
        <v>2081</v>
      </c>
      <c r="F494" s="189" t="s">
        <v>2130</v>
      </c>
    </row>
    <row r="495" ht="15.0" customHeight="1">
      <c r="A495" s="188"/>
      <c r="B495" s="189"/>
      <c r="C495" s="189" t="s">
        <v>2080</v>
      </c>
      <c r="D495" s="189" t="s">
        <v>713</v>
      </c>
      <c r="E495" s="189" t="s">
        <v>2081</v>
      </c>
      <c r="F495" s="189" t="s">
        <v>2131</v>
      </c>
    </row>
    <row r="496" ht="15.0" customHeight="1">
      <c r="A496" s="188"/>
      <c r="B496" s="189"/>
      <c r="C496" s="189" t="s">
        <v>2080</v>
      </c>
      <c r="D496" s="189" t="s">
        <v>713</v>
      </c>
      <c r="E496" s="189" t="s">
        <v>2081</v>
      </c>
      <c r="F496" s="189" t="s">
        <v>2133</v>
      </c>
    </row>
    <row r="497" ht="15.0" customHeight="1">
      <c r="A497" s="188"/>
      <c r="B497" s="189"/>
      <c r="C497" s="189" t="s">
        <v>2080</v>
      </c>
      <c r="D497" s="189" t="s">
        <v>713</v>
      </c>
      <c r="E497" s="189" t="s">
        <v>2081</v>
      </c>
      <c r="F497" s="189" t="s">
        <v>2134</v>
      </c>
    </row>
    <row r="498" ht="15.0" customHeight="1">
      <c r="A498" s="188"/>
      <c r="B498" s="189"/>
      <c r="C498" s="189" t="s">
        <v>2080</v>
      </c>
      <c r="D498" s="189" t="s">
        <v>713</v>
      </c>
      <c r="E498" s="189" t="s">
        <v>2081</v>
      </c>
      <c r="F498" s="189" t="s">
        <v>2115</v>
      </c>
    </row>
    <row r="499" ht="15.0" customHeight="1">
      <c r="A499" s="188"/>
      <c r="B499" s="189"/>
      <c r="C499" s="189" t="s">
        <v>2080</v>
      </c>
      <c r="D499" s="189" t="s">
        <v>713</v>
      </c>
      <c r="E499" s="189" t="s">
        <v>2081</v>
      </c>
      <c r="F499" s="190" t="s">
        <v>2136</v>
      </c>
    </row>
    <row r="500" ht="15.0" customHeight="1">
      <c r="A500" s="188"/>
      <c r="B500" s="189"/>
      <c r="C500" s="189" t="s">
        <v>2080</v>
      </c>
      <c r="D500" s="189" t="s">
        <v>713</v>
      </c>
      <c r="E500" s="189" t="s">
        <v>2081</v>
      </c>
      <c r="F500" s="189" t="s">
        <v>2138</v>
      </c>
    </row>
    <row r="501" ht="15.0" customHeight="1">
      <c r="A501" s="188"/>
      <c r="B501" s="189"/>
      <c r="C501" s="189" t="s">
        <v>2080</v>
      </c>
      <c r="D501" s="189" t="s">
        <v>713</v>
      </c>
      <c r="E501" s="189" t="s">
        <v>2081</v>
      </c>
      <c r="F501" s="189" t="s">
        <v>2139</v>
      </c>
    </row>
    <row r="502" ht="15.0" customHeight="1">
      <c r="A502" s="188"/>
      <c r="B502" s="189"/>
      <c r="C502" s="189" t="s">
        <v>2080</v>
      </c>
      <c r="D502" s="189" t="s">
        <v>713</v>
      </c>
      <c r="E502" s="189" t="s">
        <v>2081</v>
      </c>
      <c r="F502" s="189" t="s">
        <v>2140</v>
      </c>
    </row>
    <row r="503" ht="15.0" customHeight="1">
      <c r="A503" s="188"/>
      <c r="B503" s="189"/>
      <c r="C503" s="189" t="s">
        <v>2080</v>
      </c>
      <c r="D503" s="189" t="s">
        <v>713</v>
      </c>
      <c r="E503" s="189" t="s">
        <v>2081</v>
      </c>
      <c r="F503" s="189" t="s">
        <v>2142</v>
      </c>
    </row>
    <row r="504" ht="15.0" customHeight="1">
      <c r="A504" s="188"/>
      <c r="B504" s="189"/>
      <c r="C504" s="189" t="s">
        <v>2080</v>
      </c>
      <c r="D504" s="189" t="s">
        <v>713</v>
      </c>
      <c r="E504" s="189" t="s">
        <v>2081</v>
      </c>
      <c r="F504" s="189" t="s">
        <v>2115</v>
      </c>
    </row>
    <row r="505" ht="15.0" customHeight="1">
      <c r="A505" s="188"/>
      <c r="B505" s="189"/>
      <c r="C505" s="189" t="s">
        <v>2080</v>
      </c>
      <c r="D505" s="189" t="s">
        <v>713</v>
      </c>
      <c r="E505" s="189" t="s">
        <v>2081</v>
      </c>
      <c r="F505" s="190" t="s">
        <v>2144</v>
      </c>
    </row>
    <row r="506" ht="15.0" customHeight="1">
      <c r="A506" s="188"/>
      <c r="B506" s="189"/>
      <c r="C506" s="189" t="s">
        <v>2080</v>
      </c>
      <c r="D506" s="189" t="s">
        <v>713</v>
      </c>
      <c r="E506" s="189" t="s">
        <v>2081</v>
      </c>
      <c r="F506" s="189" t="s">
        <v>2145</v>
      </c>
    </row>
    <row r="507" ht="15.0" customHeight="1">
      <c r="A507" s="188"/>
      <c r="B507" s="189"/>
      <c r="C507" s="189" t="s">
        <v>2080</v>
      </c>
      <c r="D507" s="189" t="s">
        <v>713</v>
      </c>
      <c r="E507" s="189" t="s">
        <v>2081</v>
      </c>
      <c r="F507" s="189" t="s">
        <v>2147</v>
      </c>
    </row>
    <row r="508" ht="15.0" customHeight="1">
      <c r="A508" s="188"/>
      <c r="B508" s="189"/>
      <c r="C508" s="189" t="s">
        <v>2080</v>
      </c>
      <c r="D508" s="189" t="s">
        <v>713</v>
      </c>
      <c r="E508" s="189" t="s">
        <v>2081</v>
      </c>
      <c r="F508" s="189" t="s">
        <v>2149</v>
      </c>
    </row>
    <row r="509" ht="15.0" customHeight="1">
      <c r="A509" s="188"/>
      <c r="B509" s="189"/>
      <c r="C509" s="189" t="s">
        <v>2080</v>
      </c>
      <c r="D509" s="189" t="s">
        <v>713</v>
      </c>
      <c r="E509" s="189" t="s">
        <v>2081</v>
      </c>
      <c r="F509" s="189" t="s">
        <v>2150</v>
      </c>
    </row>
    <row r="510" ht="15.0" customHeight="1">
      <c r="A510" s="188"/>
      <c r="B510" s="189"/>
      <c r="C510" s="189" t="s">
        <v>2080</v>
      </c>
      <c r="D510" s="189" t="s">
        <v>713</v>
      </c>
      <c r="E510" s="189" t="s">
        <v>2081</v>
      </c>
      <c r="F510" s="189" t="s">
        <v>2151</v>
      </c>
    </row>
    <row r="511" ht="15.0" customHeight="1">
      <c r="A511" s="188"/>
      <c r="B511" s="189"/>
      <c r="C511" s="189" t="s">
        <v>2080</v>
      </c>
      <c r="D511" s="189" t="s">
        <v>713</v>
      </c>
      <c r="E511" s="189" t="s">
        <v>2081</v>
      </c>
      <c r="F511" s="189" t="s">
        <v>2153</v>
      </c>
    </row>
    <row r="512" ht="15.0" customHeight="1">
      <c r="A512" s="188"/>
      <c r="B512" s="189"/>
      <c r="C512" s="189" t="s">
        <v>2080</v>
      </c>
      <c r="D512" s="189" t="s">
        <v>713</v>
      </c>
      <c r="E512" s="189" t="s">
        <v>2081</v>
      </c>
      <c r="F512" s="189" t="s">
        <v>2115</v>
      </c>
    </row>
    <row r="513" ht="15.0" customHeight="1">
      <c r="A513" s="188"/>
      <c r="B513" s="189"/>
      <c r="C513" s="189" t="s">
        <v>2080</v>
      </c>
      <c r="D513" s="189" t="s">
        <v>713</v>
      </c>
      <c r="E513" s="189" t="s">
        <v>2081</v>
      </c>
      <c r="F513" s="189" t="s">
        <v>2155</v>
      </c>
    </row>
    <row r="514" ht="15.0" customHeight="1">
      <c r="A514" s="188"/>
      <c r="B514" s="189"/>
      <c r="C514" s="189" t="s">
        <v>2080</v>
      </c>
      <c r="D514" s="189" t="s">
        <v>713</v>
      </c>
      <c r="E514" s="189" t="s">
        <v>2081</v>
      </c>
      <c r="F514" s="190" t="s">
        <v>2157</v>
      </c>
    </row>
    <row r="515" ht="15.0" customHeight="1">
      <c r="A515" s="188"/>
      <c r="B515" s="189"/>
      <c r="C515" s="189" t="s">
        <v>2080</v>
      </c>
      <c r="D515" s="189" t="s">
        <v>713</v>
      </c>
      <c r="E515" s="189" t="s">
        <v>2081</v>
      </c>
      <c r="F515" s="189" t="s">
        <v>2158</v>
      </c>
    </row>
    <row r="516" ht="15.0" customHeight="1">
      <c r="A516" s="188"/>
      <c r="B516" s="189"/>
      <c r="C516" s="189" t="s">
        <v>2080</v>
      </c>
      <c r="D516" s="189" t="s">
        <v>713</v>
      </c>
      <c r="E516" s="189" t="s">
        <v>2081</v>
      </c>
      <c r="F516" s="189" t="s">
        <v>2160</v>
      </c>
    </row>
    <row r="517" ht="15.0" customHeight="1">
      <c r="A517" s="188"/>
      <c r="B517" s="189"/>
      <c r="C517" s="189" t="s">
        <v>2080</v>
      </c>
      <c r="D517" s="189" t="s">
        <v>713</v>
      </c>
      <c r="E517" s="189" t="s">
        <v>2081</v>
      </c>
      <c r="F517" s="189" t="s">
        <v>2161</v>
      </c>
    </row>
    <row r="518" ht="15.0" customHeight="1">
      <c r="A518" s="188"/>
      <c r="B518" s="189"/>
      <c r="C518" s="189" t="s">
        <v>2080</v>
      </c>
      <c r="D518" s="189" t="s">
        <v>713</v>
      </c>
      <c r="E518" s="189" t="s">
        <v>2081</v>
      </c>
      <c r="F518" s="189" t="s">
        <v>2162</v>
      </c>
    </row>
    <row r="519" ht="15.0" customHeight="1">
      <c r="A519" s="188"/>
      <c r="B519" s="189"/>
      <c r="C519" s="189" t="s">
        <v>2080</v>
      </c>
      <c r="D519" s="189" t="s">
        <v>713</v>
      </c>
      <c r="E519" s="189" t="s">
        <v>2081</v>
      </c>
      <c r="F519" s="189" t="s">
        <v>2163</v>
      </c>
    </row>
    <row r="520" ht="15.0" customHeight="1">
      <c r="A520" s="188"/>
      <c r="B520" s="189"/>
      <c r="C520" s="189" t="s">
        <v>2080</v>
      </c>
      <c r="D520" s="189" t="s">
        <v>713</v>
      </c>
      <c r="E520" s="189" t="s">
        <v>2081</v>
      </c>
      <c r="F520" s="189" t="s">
        <v>2165</v>
      </c>
    </row>
    <row r="521" ht="15.0" customHeight="1">
      <c r="A521" s="188"/>
      <c r="B521" s="189"/>
      <c r="C521" s="189" t="s">
        <v>2080</v>
      </c>
      <c r="D521" s="189" t="s">
        <v>713</v>
      </c>
      <c r="E521" s="189" t="s">
        <v>2081</v>
      </c>
      <c r="F521" s="189" t="s">
        <v>2166</v>
      </c>
    </row>
    <row r="522" ht="15.0" customHeight="1">
      <c r="A522" s="188"/>
      <c r="B522" s="189"/>
      <c r="C522" s="189" t="s">
        <v>2080</v>
      </c>
      <c r="D522" s="189" t="s">
        <v>713</v>
      </c>
      <c r="E522" s="189" t="s">
        <v>2081</v>
      </c>
      <c r="F522" s="189" t="s">
        <v>2168</v>
      </c>
    </row>
    <row r="523" ht="15.0" customHeight="1">
      <c r="A523" s="188"/>
      <c r="B523" s="189"/>
      <c r="C523" s="189" t="s">
        <v>2080</v>
      </c>
      <c r="D523" s="189" t="s">
        <v>713</v>
      </c>
      <c r="E523" s="189" t="s">
        <v>2081</v>
      </c>
      <c r="F523" s="189" t="s">
        <v>2169</v>
      </c>
    </row>
    <row r="524" ht="15.0" customHeight="1">
      <c r="A524" s="188"/>
      <c r="B524" s="189"/>
      <c r="C524" s="189" t="s">
        <v>2080</v>
      </c>
      <c r="D524" s="189" t="s">
        <v>713</v>
      </c>
      <c r="E524" s="189" t="s">
        <v>2081</v>
      </c>
      <c r="F524" s="189" t="s">
        <v>2171</v>
      </c>
    </row>
    <row r="525" ht="15.0" customHeight="1">
      <c r="A525" s="188"/>
      <c r="B525" s="189"/>
      <c r="C525" s="189" t="s">
        <v>2080</v>
      </c>
      <c r="D525" s="189" t="s">
        <v>713</v>
      </c>
      <c r="E525" s="189" t="s">
        <v>2081</v>
      </c>
      <c r="F525" s="189" t="s">
        <v>2172</v>
      </c>
    </row>
    <row r="526" ht="15.0" customHeight="1">
      <c r="A526" s="188"/>
      <c r="B526" s="189"/>
      <c r="C526" s="189" t="s">
        <v>2080</v>
      </c>
      <c r="D526" s="189" t="s">
        <v>713</v>
      </c>
      <c r="E526" s="189" t="s">
        <v>2081</v>
      </c>
      <c r="F526" s="189" t="s">
        <v>2173</v>
      </c>
    </row>
    <row r="527" ht="15.0" customHeight="1">
      <c r="A527" s="188"/>
      <c r="B527" s="189"/>
      <c r="C527" s="189" t="s">
        <v>2080</v>
      </c>
      <c r="D527" s="189" t="s">
        <v>713</v>
      </c>
      <c r="E527" s="189" t="s">
        <v>2081</v>
      </c>
      <c r="F527" s="189" t="s">
        <v>2175</v>
      </c>
    </row>
    <row r="528" ht="15.0" customHeight="1">
      <c r="A528" s="188"/>
      <c r="B528" s="189"/>
      <c r="C528" s="189" t="s">
        <v>2080</v>
      </c>
      <c r="D528" s="189" t="s">
        <v>713</v>
      </c>
      <c r="E528" s="189" t="s">
        <v>2081</v>
      </c>
      <c r="F528" s="190" t="s">
        <v>2176</v>
      </c>
    </row>
    <row r="529" ht="15.0" customHeight="1">
      <c r="A529" s="188"/>
      <c r="B529" s="189"/>
      <c r="C529" s="189" t="s">
        <v>2080</v>
      </c>
      <c r="D529" s="189" t="s">
        <v>713</v>
      </c>
      <c r="E529" s="189" t="s">
        <v>2081</v>
      </c>
      <c r="F529" s="189" t="s">
        <v>2177</v>
      </c>
    </row>
    <row r="530" ht="15.0" customHeight="1">
      <c r="A530" s="188"/>
      <c r="B530" s="189"/>
      <c r="C530" s="189" t="s">
        <v>2080</v>
      </c>
      <c r="D530" s="189" t="s">
        <v>713</v>
      </c>
      <c r="E530" s="189" t="s">
        <v>2081</v>
      </c>
      <c r="F530" s="189" t="s">
        <v>2178</v>
      </c>
    </row>
    <row r="531" ht="15.0" customHeight="1">
      <c r="A531" s="188"/>
      <c r="B531" s="189"/>
      <c r="C531" s="189" t="s">
        <v>2080</v>
      </c>
      <c r="D531" s="189" t="s">
        <v>713</v>
      </c>
      <c r="E531" s="189" t="s">
        <v>2081</v>
      </c>
      <c r="F531" s="189" t="s">
        <v>2180</v>
      </c>
    </row>
    <row r="532" ht="15.0" customHeight="1">
      <c r="A532" s="188"/>
      <c r="B532" s="189"/>
      <c r="C532" s="189" t="s">
        <v>2080</v>
      </c>
      <c r="D532" s="189" t="s">
        <v>713</v>
      </c>
      <c r="E532" s="189" t="s">
        <v>2081</v>
      </c>
      <c r="F532" s="190" t="s">
        <v>2181</v>
      </c>
    </row>
    <row r="533" ht="15.0" customHeight="1">
      <c r="A533" s="188"/>
      <c r="B533" s="189"/>
      <c r="C533" s="189" t="s">
        <v>2080</v>
      </c>
      <c r="D533" s="189" t="s">
        <v>713</v>
      </c>
      <c r="E533" s="189" t="s">
        <v>2081</v>
      </c>
      <c r="F533" s="189" t="s">
        <v>2183</v>
      </c>
    </row>
    <row r="534" ht="15.0" customHeight="1">
      <c r="A534" s="188"/>
      <c r="B534" s="189"/>
      <c r="C534" s="189" t="s">
        <v>2080</v>
      </c>
      <c r="D534" s="189" t="s">
        <v>713</v>
      </c>
      <c r="E534" s="189" t="s">
        <v>2081</v>
      </c>
      <c r="F534" s="189" t="s">
        <v>2184</v>
      </c>
    </row>
    <row r="535" ht="15.0" customHeight="1">
      <c r="A535" s="188"/>
      <c r="B535" s="189"/>
      <c r="C535" s="189" t="s">
        <v>2080</v>
      </c>
      <c r="D535" s="189" t="s">
        <v>713</v>
      </c>
      <c r="E535" s="189" t="s">
        <v>2081</v>
      </c>
      <c r="F535" s="189" t="s">
        <v>2186</v>
      </c>
    </row>
    <row r="536" ht="15.0" customHeight="1">
      <c r="A536" s="188"/>
      <c r="B536" s="189"/>
      <c r="C536" s="189" t="s">
        <v>2187</v>
      </c>
      <c r="D536" s="189" t="s">
        <v>912</v>
      </c>
      <c r="E536" s="189" t="s">
        <v>2081</v>
      </c>
      <c r="F536" s="192" t="s">
        <v>2189</v>
      </c>
    </row>
    <row r="537" ht="15.0" customHeight="1">
      <c r="A537" s="188"/>
      <c r="B537" s="189"/>
      <c r="C537" s="189" t="s">
        <v>2187</v>
      </c>
      <c r="D537" s="189" t="s">
        <v>912</v>
      </c>
      <c r="E537" s="189" t="s">
        <v>2081</v>
      </c>
      <c r="F537" s="192" t="s">
        <v>2190</v>
      </c>
    </row>
    <row r="538" ht="15.0" customHeight="1">
      <c r="A538" s="188"/>
      <c r="B538" s="189"/>
      <c r="C538" s="189" t="s">
        <v>2187</v>
      </c>
      <c r="D538" s="189" t="s">
        <v>921</v>
      </c>
      <c r="E538" s="189" t="s">
        <v>2081</v>
      </c>
      <c r="F538" s="192" t="s">
        <v>2191</v>
      </c>
    </row>
    <row r="539" ht="15.0" customHeight="1">
      <c r="A539" s="188"/>
      <c r="B539" s="189"/>
      <c r="C539" s="189" t="s">
        <v>2187</v>
      </c>
      <c r="D539" s="189" t="s">
        <v>921</v>
      </c>
      <c r="E539" s="189" t="s">
        <v>2081</v>
      </c>
      <c r="F539" s="192" t="s">
        <v>2192</v>
      </c>
    </row>
    <row r="540" ht="15.0" customHeight="1">
      <c r="A540" s="188"/>
      <c r="B540" s="189"/>
      <c r="C540" s="189" t="s">
        <v>2187</v>
      </c>
      <c r="D540" s="189" t="s">
        <v>917</v>
      </c>
      <c r="E540" s="189" t="s">
        <v>2081</v>
      </c>
      <c r="F540" s="192" t="s">
        <v>2193</v>
      </c>
    </row>
    <row r="541" ht="15.0" customHeight="1">
      <c r="A541" s="188"/>
      <c r="B541" s="189"/>
      <c r="C541" s="189" t="s">
        <v>2187</v>
      </c>
      <c r="D541" s="189" t="s">
        <v>917</v>
      </c>
      <c r="E541" s="189" t="s">
        <v>2081</v>
      </c>
      <c r="F541" s="192" t="s">
        <v>2194</v>
      </c>
    </row>
    <row r="542" ht="15.0" customHeight="1">
      <c r="A542" s="188"/>
      <c r="B542" s="189"/>
      <c r="C542" s="189" t="s">
        <v>2187</v>
      </c>
      <c r="D542" s="189" t="s">
        <v>917</v>
      </c>
      <c r="E542" s="189" t="s">
        <v>2081</v>
      </c>
      <c r="F542" s="192" t="s">
        <v>2195</v>
      </c>
    </row>
    <row r="543" ht="15.0" customHeight="1">
      <c r="A543" s="188"/>
      <c r="B543" s="189"/>
      <c r="C543" s="189" t="s">
        <v>2187</v>
      </c>
      <c r="D543" s="189" t="s">
        <v>917</v>
      </c>
      <c r="E543" s="189" t="s">
        <v>2081</v>
      </c>
      <c r="F543" s="192" t="s">
        <v>2197</v>
      </c>
    </row>
    <row r="544" ht="15.0" customHeight="1">
      <c r="A544" s="188"/>
      <c r="B544" s="189"/>
      <c r="C544" s="189" t="s">
        <v>2187</v>
      </c>
      <c r="D544" s="189" t="s">
        <v>878</v>
      </c>
      <c r="E544" s="189" t="s">
        <v>2081</v>
      </c>
      <c r="F544" s="192" t="s">
        <v>2199</v>
      </c>
    </row>
    <row r="545" ht="15.0" customHeight="1">
      <c r="A545" s="188"/>
      <c r="B545" s="189"/>
      <c r="C545" s="189" t="s">
        <v>2187</v>
      </c>
      <c r="D545" s="189" t="s">
        <v>878</v>
      </c>
      <c r="E545" s="189" t="s">
        <v>2081</v>
      </c>
      <c r="F545" s="192" t="s">
        <v>2200</v>
      </c>
    </row>
    <row r="546" ht="15.0" customHeight="1">
      <c r="A546" s="188"/>
      <c r="B546" s="189"/>
      <c r="C546" s="189" t="s">
        <v>2187</v>
      </c>
      <c r="D546" s="189" t="s">
        <v>878</v>
      </c>
      <c r="E546" s="189" t="s">
        <v>2081</v>
      </c>
      <c r="F546" s="192" t="s">
        <v>2202</v>
      </c>
    </row>
    <row r="547" ht="15.0" customHeight="1">
      <c r="A547" s="188"/>
      <c r="B547" s="189"/>
      <c r="C547" s="189" t="s">
        <v>2187</v>
      </c>
      <c r="D547" s="189" t="s">
        <v>928</v>
      </c>
      <c r="E547" s="189" t="s">
        <v>2081</v>
      </c>
      <c r="F547" s="192" t="s">
        <v>2203</v>
      </c>
    </row>
    <row r="548" ht="15.0" customHeight="1">
      <c r="A548" s="188"/>
      <c r="B548" s="189"/>
      <c r="C548" s="189" t="s">
        <v>2187</v>
      </c>
      <c r="D548" s="189" t="s">
        <v>928</v>
      </c>
      <c r="E548" s="189" t="s">
        <v>2081</v>
      </c>
      <c r="F548" s="192" t="s">
        <v>2205</v>
      </c>
    </row>
    <row r="549" ht="15.0" customHeight="1">
      <c r="A549" s="188"/>
      <c r="B549" s="189"/>
      <c r="C549" s="189" t="s">
        <v>2187</v>
      </c>
      <c r="D549" s="189" t="s">
        <v>928</v>
      </c>
      <c r="E549" s="189" t="s">
        <v>2081</v>
      </c>
      <c r="F549" s="192" t="s">
        <v>2206</v>
      </c>
    </row>
    <row r="550" ht="15.0" customHeight="1">
      <c r="A550" s="188"/>
      <c r="B550" s="189"/>
      <c r="C550" s="189" t="s">
        <v>2187</v>
      </c>
      <c r="D550" s="189" t="s">
        <v>928</v>
      </c>
      <c r="E550" s="189" t="s">
        <v>2081</v>
      </c>
      <c r="F550" s="192" t="s">
        <v>2208</v>
      </c>
    </row>
    <row r="551" ht="15.0" customHeight="1">
      <c r="A551" s="188"/>
      <c r="B551" s="189"/>
      <c r="C551" s="189" t="s">
        <v>2187</v>
      </c>
      <c r="D551" s="189" t="s">
        <v>928</v>
      </c>
      <c r="E551" s="189" t="s">
        <v>2081</v>
      </c>
      <c r="F551" s="192" t="s">
        <v>2209</v>
      </c>
    </row>
    <row r="552" ht="15.0" customHeight="1">
      <c r="A552" s="188"/>
      <c r="B552" s="189"/>
      <c r="C552" s="189" t="s">
        <v>2187</v>
      </c>
      <c r="D552" s="189" t="s">
        <v>928</v>
      </c>
      <c r="E552" s="189" t="s">
        <v>2081</v>
      </c>
      <c r="F552" s="192" t="s">
        <v>2213</v>
      </c>
    </row>
    <row r="553" ht="15.0" customHeight="1">
      <c r="A553" s="188"/>
      <c r="B553" s="189"/>
      <c r="C553" s="189" t="s">
        <v>2187</v>
      </c>
      <c r="D553" s="189" t="s">
        <v>928</v>
      </c>
      <c r="E553" s="189" t="s">
        <v>2081</v>
      </c>
      <c r="F553" s="192" t="s">
        <v>2214</v>
      </c>
    </row>
    <row r="554" ht="15.0" customHeight="1">
      <c r="A554" s="188"/>
      <c r="B554" s="189"/>
      <c r="C554" s="189" t="s">
        <v>2187</v>
      </c>
      <c r="D554" s="189" t="s">
        <v>928</v>
      </c>
      <c r="E554" s="189" t="s">
        <v>2081</v>
      </c>
      <c r="F554" s="192" t="s">
        <v>2215</v>
      </c>
    </row>
    <row r="555" ht="15.0" customHeight="1">
      <c r="A555" s="188"/>
      <c r="B555" s="189"/>
      <c r="C555" s="189" t="s">
        <v>2187</v>
      </c>
      <c r="D555" s="189" t="s">
        <v>928</v>
      </c>
      <c r="E555" s="189" t="s">
        <v>2081</v>
      </c>
      <c r="F555" s="192" t="s">
        <v>2217</v>
      </c>
    </row>
    <row r="556" ht="15.0" customHeight="1">
      <c r="A556" s="188"/>
      <c r="B556" s="189"/>
      <c r="C556" s="189" t="s">
        <v>2187</v>
      </c>
      <c r="D556" s="189" t="s">
        <v>931</v>
      </c>
      <c r="E556" s="189" t="s">
        <v>2081</v>
      </c>
      <c r="F556" s="192" t="s">
        <v>2203</v>
      </c>
    </row>
    <row r="557" ht="15.0" customHeight="1">
      <c r="A557" s="188"/>
      <c r="B557" s="189"/>
      <c r="C557" s="189" t="s">
        <v>2187</v>
      </c>
      <c r="D557" s="189" t="s">
        <v>931</v>
      </c>
      <c r="E557" s="189" t="s">
        <v>2081</v>
      </c>
      <c r="F557" s="192" t="s">
        <v>2205</v>
      </c>
    </row>
    <row r="558" ht="15.0" customHeight="1">
      <c r="A558" s="188"/>
      <c r="B558" s="189"/>
      <c r="C558" s="189" t="s">
        <v>2187</v>
      </c>
      <c r="D558" s="189" t="s">
        <v>931</v>
      </c>
      <c r="E558" s="189" t="s">
        <v>2081</v>
      </c>
      <c r="F558" s="192" t="s">
        <v>2206</v>
      </c>
    </row>
    <row r="559" ht="15.0" customHeight="1">
      <c r="A559" s="188"/>
      <c r="B559" s="189"/>
      <c r="C559" s="189" t="s">
        <v>2187</v>
      </c>
      <c r="D559" s="189" t="s">
        <v>931</v>
      </c>
      <c r="E559" s="189" t="s">
        <v>2081</v>
      </c>
      <c r="F559" s="192" t="s">
        <v>2208</v>
      </c>
    </row>
    <row r="560" ht="15.0" customHeight="1">
      <c r="A560" s="188"/>
      <c r="B560" s="189"/>
      <c r="C560" s="189" t="s">
        <v>2187</v>
      </c>
      <c r="D560" s="189" t="s">
        <v>931</v>
      </c>
      <c r="E560" s="189" t="s">
        <v>2081</v>
      </c>
      <c r="F560" s="192" t="s">
        <v>2209</v>
      </c>
    </row>
    <row r="561" ht="15.0" customHeight="1">
      <c r="A561" s="188"/>
      <c r="B561" s="189"/>
      <c r="C561" s="189" t="s">
        <v>2187</v>
      </c>
      <c r="D561" s="189" t="s">
        <v>931</v>
      </c>
      <c r="E561" s="189" t="s">
        <v>2081</v>
      </c>
      <c r="F561" s="192" t="s">
        <v>2213</v>
      </c>
    </row>
    <row r="562" ht="15.0" customHeight="1">
      <c r="A562" s="188"/>
      <c r="B562" s="189"/>
      <c r="C562" s="189" t="s">
        <v>2187</v>
      </c>
      <c r="D562" s="189" t="s">
        <v>931</v>
      </c>
      <c r="E562" s="189" t="s">
        <v>2081</v>
      </c>
      <c r="F562" s="192" t="s">
        <v>2214</v>
      </c>
    </row>
    <row r="563" ht="15.0" customHeight="1">
      <c r="A563" s="188"/>
      <c r="B563" s="189"/>
      <c r="C563" s="189" t="s">
        <v>2187</v>
      </c>
      <c r="D563" s="189" t="s">
        <v>931</v>
      </c>
      <c r="E563" s="189" t="s">
        <v>2081</v>
      </c>
      <c r="F563" s="192" t="s">
        <v>2215</v>
      </c>
    </row>
    <row r="564" ht="15.0" customHeight="1">
      <c r="A564" s="188"/>
      <c r="B564" s="189"/>
      <c r="C564" s="189" t="s">
        <v>2187</v>
      </c>
      <c r="D564" s="189" t="s">
        <v>931</v>
      </c>
      <c r="E564" s="189" t="s">
        <v>2081</v>
      </c>
      <c r="F564" s="192" t="s">
        <v>2217</v>
      </c>
    </row>
    <row r="565" ht="15.0" customHeight="1">
      <c r="A565" s="188"/>
      <c r="B565" s="189"/>
      <c r="C565" s="189" t="s">
        <v>2187</v>
      </c>
      <c r="D565" s="189" t="s">
        <v>900</v>
      </c>
      <c r="E565" s="189" t="s">
        <v>2081</v>
      </c>
      <c r="F565" s="192" t="s">
        <v>2222</v>
      </c>
    </row>
    <row r="566" ht="15.0" customHeight="1">
      <c r="A566" s="188"/>
      <c r="B566" s="189"/>
      <c r="C566" s="189" t="s">
        <v>2187</v>
      </c>
      <c r="D566" s="189" t="s">
        <v>900</v>
      </c>
      <c r="E566" s="189" t="s">
        <v>2081</v>
      </c>
      <c r="F566" s="192" t="s">
        <v>2224</v>
      </c>
    </row>
    <row r="567" ht="15.0" customHeight="1">
      <c r="A567" s="188"/>
      <c r="B567" s="189"/>
      <c r="C567" s="189" t="s">
        <v>2187</v>
      </c>
      <c r="D567" s="189" t="s">
        <v>900</v>
      </c>
      <c r="E567" s="189" t="s">
        <v>2081</v>
      </c>
      <c r="F567" s="192" t="s">
        <v>2225</v>
      </c>
    </row>
    <row r="568" ht="15.0" customHeight="1">
      <c r="A568" s="188"/>
      <c r="B568" s="189"/>
      <c r="C568" s="189" t="s">
        <v>2187</v>
      </c>
      <c r="D568" s="189" t="s">
        <v>2226</v>
      </c>
      <c r="E568" s="189" t="s">
        <v>2081</v>
      </c>
      <c r="F568" s="192" t="s">
        <v>2222</v>
      </c>
    </row>
    <row r="569" ht="15.0" customHeight="1">
      <c r="A569" s="188"/>
      <c r="B569" s="189"/>
      <c r="C569" s="189" t="s">
        <v>2187</v>
      </c>
      <c r="D569" s="189" t="s">
        <v>2226</v>
      </c>
      <c r="E569" s="189" t="s">
        <v>2081</v>
      </c>
      <c r="F569" s="192" t="s">
        <v>2224</v>
      </c>
    </row>
    <row r="570" ht="15.0" customHeight="1">
      <c r="A570" s="188"/>
      <c r="B570" s="189"/>
      <c r="C570" s="189" t="s">
        <v>2187</v>
      </c>
      <c r="D570" s="189" t="s">
        <v>2226</v>
      </c>
      <c r="E570" s="189" t="s">
        <v>2081</v>
      </c>
      <c r="F570" s="192" t="s">
        <v>2228</v>
      </c>
    </row>
    <row r="571" ht="15.0" customHeight="1">
      <c r="A571" s="188"/>
      <c r="B571" s="189"/>
      <c r="C571" s="189" t="s">
        <v>2187</v>
      </c>
      <c r="D571" s="189" t="s">
        <v>856</v>
      </c>
      <c r="E571" s="189" t="s">
        <v>2081</v>
      </c>
      <c r="F571" s="192" t="s">
        <v>2229</v>
      </c>
    </row>
    <row r="572" ht="15.0" customHeight="1">
      <c r="A572" s="188"/>
      <c r="B572" s="189"/>
      <c r="C572" s="189" t="s">
        <v>2187</v>
      </c>
      <c r="D572" s="189" t="s">
        <v>856</v>
      </c>
      <c r="E572" s="189" t="s">
        <v>2081</v>
      </c>
      <c r="F572" s="192" t="s">
        <v>2231</v>
      </c>
    </row>
    <row r="573" ht="15.0" customHeight="1">
      <c r="A573" s="188"/>
      <c r="B573" s="189"/>
      <c r="C573" s="189" t="s">
        <v>2187</v>
      </c>
      <c r="D573" s="189" t="s">
        <v>856</v>
      </c>
      <c r="E573" s="189" t="s">
        <v>2081</v>
      </c>
      <c r="F573" s="192" t="s">
        <v>2232</v>
      </c>
    </row>
    <row r="574" ht="15.0" customHeight="1">
      <c r="A574" s="188"/>
      <c r="B574" s="189"/>
      <c r="C574" s="189" t="s">
        <v>2187</v>
      </c>
      <c r="D574" s="189" t="s">
        <v>856</v>
      </c>
      <c r="E574" s="189" t="s">
        <v>2081</v>
      </c>
      <c r="F574" s="192" t="s">
        <v>2234</v>
      </c>
    </row>
    <row r="575" ht="15.0" customHeight="1">
      <c r="A575" s="188"/>
      <c r="B575" s="189"/>
      <c r="C575" s="189" t="s">
        <v>2187</v>
      </c>
      <c r="D575" s="189" t="s">
        <v>853</v>
      </c>
      <c r="E575" s="189" t="s">
        <v>2081</v>
      </c>
      <c r="F575" s="192" t="s">
        <v>2229</v>
      </c>
    </row>
    <row r="576" ht="15.0" customHeight="1">
      <c r="A576" s="188"/>
      <c r="B576" s="189"/>
      <c r="C576" s="189" t="s">
        <v>2187</v>
      </c>
      <c r="D576" s="189" t="s">
        <v>853</v>
      </c>
      <c r="E576" s="189" t="s">
        <v>2081</v>
      </c>
      <c r="F576" s="192" t="s">
        <v>2231</v>
      </c>
    </row>
    <row r="577" ht="15.0" customHeight="1">
      <c r="A577" s="188"/>
      <c r="B577" s="189"/>
      <c r="C577" s="189" t="s">
        <v>2187</v>
      </c>
      <c r="D577" s="189" t="s">
        <v>853</v>
      </c>
      <c r="E577" s="189" t="s">
        <v>2081</v>
      </c>
      <c r="F577" s="192" t="s">
        <v>2232</v>
      </c>
    </row>
    <row r="578" ht="15.0" customHeight="1">
      <c r="A578" s="188"/>
      <c r="B578" s="189"/>
      <c r="C578" s="189" t="s">
        <v>2187</v>
      </c>
      <c r="D578" s="189" t="s">
        <v>853</v>
      </c>
      <c r="E578" s="189" t="s">
        <v>2081</v>
      </c>
      <c r="F578" s="192" t="s">
        <v>2234</v>
      </c>
    </row>
    <row r="579" ht="15.0" customHeight="1">
      <c r="A579" s="188"/>
      <c r="B579" s="189"/>
      <c r="C579" s="189" t="s">
        <v>2187</v>
      </c>
      <c r="D579" s="189" t="s">
        <v>891</v>
      </c>
      <c r="E579" s="189" t="s">
        <v>2081</v>
      </c>
      <c r="F579" s="192" t="s">
        <v>2237</v>
      </c>
    </row>
    <row r="580" ht="15.0" customHeight="1">
      <c r="A580" s="188"/>
      <c r="B580" s="189"/>
      <c r="C580" s="189" t="s">
        <v>2187</v>
      </c>
      <c r="D580" s="189" t="s">
        <v>891</v>
      </c>
      <c r="E580" s="189" t="s">
        <v>2081</v>
      </c>
      <c r="F580" s="192" t="s">
        <v>2238</v>
      </c>
    </row>
    <row r="581" ht="15.0" customHeight="1">
      <c r="A581" s="188"/>
      <c r="B581" s="189"/>
      <c r="C581" s="189" t="s">
        <v>2187</v>
      </c>
      <c r="D581" s="189" t="s">
        <v>891</v>
      </c>
      <c r="E581" s="189" t="s">
        <v>2081</v>
      </c>
      <c r="F581" s="192" t="s">
        <v>2240</v>
      </c>
    </row>
    <row r="582" ht="15.0" customHeight="1">
      <c r="A582" s="188"/>
      <c r="B582" s="189"/>
      <c r="C582" s="189" t="s">
        <v>2187</v>
      </c>
      <c r="D582" s="189" t="s">
        <v>893</v>
      </c>
      <c r="E582" s="189" t="s">
        <v>2081</v>
      </c>
      <c r="F582" s="192" t="s">
        <v>2237</v>
      </c>
    </row>
    <row r="583" ht="15.0" customHeight="1">
      <c r="A583" s="188"/>
      <c r="B583" s="189"/>
      <c r="C583" s="189" t="s">
        <v>2187</v>
      </c>
      <c r="D583" s="189" t="s">
        <v>893</v>
      </c>
      <c r="E583" s="189" t="s">
        <v>2081</v>
      </c>
      <c r="F583" s="192" t="s">
        <v>2238</v>
      </c>
    </row>
    <row r="584" ht="15.0" customHeight="1">
      <c r="A584" s="188"/>
      <c r="B584" s="189"/>
      <c r="C584" s="189" t="s">
        <v>2187</v>
      </c>
      <c r="D584" s="189" t="s">
        <v>893</v>
      </c>
      <c r="E584" s="189" t="s">
        <v>2081</v>
      </c>
      <c r="F584" s="192" t="s">
        <v>2240</v>
      </c>
    </row>
    <row r="585" ht="15.0" customHeight="1">
      <c r="A585" s="188"/>
      <c r="B585" s="189"/>
      <c r="C585" s="189" t="s">
        <v>2187</v>
      </c>
      <c r="D585" s="189" t="s">
        <v>887</v>
      </c>
      <c r="E585" s="189" t="s">
        <v>2081</v>
      </c>
      <c r="F585" s="192" t="s">
        <v>2242</v>
      </c>
    </row>
    <row r="586" ht="15.0" customHeight="1">
      <c r="A586" s="188"/>
      <c r="B586" s="189"/>
      <c r="C586" s="189" t="s">
        <v>2187</v>
      </c>
      <c r="D586" s="189" t="s">
        <v>887</v>
      </c>
      <c r="E586" s="189" t="s">
        <v>2081</v>
      </c>
      <c r="F586" s="192" t="s">
        <v>2243</v>
      </c>
    </row>
    <row r="587" ht="15.0" customHeight="1">
      <c r="A587" s="188"/>
      <c r="B587" s="189"/>
      <c r="C587" s="189" t="s">
        <v>2187</v>
      </c>
      <c r="D587" s="189" t="s">
        <v>887</v>
      </c>
      <c r="E587" s="189" t="s">
        <v>2081</v>
      </c>
      <c r="F587" s="192" t="s">
        <v>2245</v>
      </c>
    </row>
    <row r="588" ht="15.0" customHeight="1">
      <c r="A588" s="188"/>
      <c r="B588" s="189"/>
      <c r="C588" s="189" t="s">
        <v>2187</v>
      </c>
      <c r="D588" s="189" t="s">
        <v>887</v>
      </c>
      <c r="E588" s="189" t="s">
        <v>2081</v>
      </c>
      <c r="F588" s="192" t="s">
        <v>2246</v>
      </c>
    </row>
    <row r="589" ht="15.0" customHeight="1">
      <c r="A589" s="188"/>
      <c r="B589" s="189"/>
      <c r="C589" s="189" t="s">
        <v>2187</v>
      </c>
      <c r="D589" s="189" t="s">
        <v>887</v>
      </c>
      <c r="E589" s="189" t="s">
        <v>2081</v>
      </c>
      <c r="F589" s="192"/>
    </row>
    <row r="590" ht="15.0" customHeight="1">
      <c r="A590" s="188"/>
      <c r="B590" s="189"/>
      <c r="C590" s="189" t="s">
        <v>2187</v>
      </c>
      <c r="D590" s="189" t="s">
        <v>868</v>
      </c>
      <c r="E590" s="189" t="s">
        <v>2081</v>
      </c>
      <c r="F590" s="192" t="s">
        <v>2248</v>
      </c>
    </row>
    <row r="591" ht="15.0" customHeight="1">
      <c r="A591" s="188"/>
      <c r="B591" s="189"/>
      <c r="C591" s="189" t="s">
        <v>2187</v>
      </c>
      <c r="D591" s="189" t="s">
        <v>868</v>
      </c>
      <c r="E591" s="189" t="s">
        <v>2081</v>
      </c>
      <c r="F591" s="192" t="s">
        <v>2249</v>
      </c>
    </row>
    <row r="592" ht="15.0" customHeight="1">
      <c r="A592" s="188"/>
      <c r="B592" s="189"/>
      <c r="C592" s="189" t="s">
        <v>2187</v>
      </c>
      <c r="D592" s="189" t="s">
        <v>868</v>
      </c>
      <c r="E592" s="189" t="s">
        <v>2081</v>
      </c>
      <c r="F592" s="192" t="s">
        <v>2251</v>
      </c>
    </row>
    <row r="593" ht="15.0" customHeight="1">
      <c r="A593" s="188"/>
      <c r="B593" s="189"/>
      <c r="C593" s="189" t="s">
        <v>2187</v>
      </c>
      <c r="D593" s="189" t="s">
        <v>868</v>
      </c>
      <c r="E593" s="189" t="s">
        <v>2081</v>
      </c>
      <c r="F593" s="192" t="s">
        <v>2252</v>
      </c>
    </row>
    <row r="594" ht="15.0" customHeight="1">
      <c r="A594" s="188"/>
      <c r="B594" s="189"/>
      <c r="C594" s="189" t="s">
        <v>2187</v>
      </c>
      <c r="D594" s="189" t="s">
        <v>868</v>
      </c>
      <c r="E594" s="189" t="s">
        <v>2081</v>
      </c>
      <c r="F594" s="192" t="s">
        <v>2254</v>
      </c>
    </row>
    <row r="595" ht="15.0" customHeight="1">
      <c r="A595" s="188"/>
      <c r="B595" s="189"/>
      <c r="C595" s="189" t="s">
        <v>2187</v>
      </c>
      <c r="D595" s="189" t="s">
        <v>873</v>
      </c>
      <c r="E595" s="189" t="s">
        <v>2081</v>
      </c>
      <c r="F595" s="192" t="s">
        <v>2248</v>
      </c>
    </row>
    <row r="596" ht="15.0" customHeight="1">
      <c r="A596" s="188"/>
      <c r="B596" s="189"/>
      <c r="C596" s="189" t="s">
        <v>2187</v>
      </c>
      <c r="D596" s="189" t="s">
        <v>873</v>
      </c>
      <c r="E596" s="189" t="s">
        <v>2081</v>
      </c>
      <c r="F596" s="192" t="s">
        <v>2249</v>
      </c>
    </row>
    <row r="597" ht="15.0" customHeight="1">
      <c r="A597" s="188"/>
      <c r="B597" s="189"/>
      <c r="C597" s="189" t="s">
        <v>2187</v>
      </c>
      <c r="D597" s="189" t="s">
        <v>873</v>
      </c>
      <c r="E597" s="189" t="s">
        <v>2081</v>
      </c>
      <c r="F597" s="192" t="s">
        <v>2251</v>
      </c>
    </row>
    <row r="598" ht="15.0" customHeight="1">
      <c r="A598" s="188"/>
      <c r="B598" s="189"/>
      <c r="C598" s="189" t="s">
        <v>2187</v>
      </c>
      <c r="D598" s="189" t="s">
        <v>873</v>
      </c>
      <c r="E598" s="189" t="s">
        <v>2081</v>
      </c>
      <c r="F598" s="192" t="s">
        <v>2257</v>
      </c>
    </row>
    <row r="599" ht="15.0" customHeight="1">
      <c r="A599" s="188"/>
      <c r="B599" s="189"/>
      <c r="C599" s="189" t="s">
        <v>2187</v>
      </c>
      <c r="D599" s="189" t="s">
        <v>873</v>
      </c>
      <c r="E599" s="189" t="s">
        <v>2081</v>
      </c>
      <c r="F599" s="192" t="s">
        <v>2258</v>
      </c>
    </row>
    <row r="600" ht="15.0" customHeight="1">
      <c r="A600" s="188"/>
      <c r="B600" s="189"/>
      <c r="C600" s="189" t="s">
        <v>2187</v>
      </c>
      <c r="D600" s="189" t="s">
        <v>2260</v>
      </c>
      <c r="E600" s="189" t="s">
        <v>2081</v>
      </c>
      <c r="F600" s="192" t="s">
        <v>2261</v>
      </c>
    </row>
    <row r="601" ht="15.0" customHeight="1">
      <c r="A601" s="188"/>
      <c r="B601" s="189"/>
      <c r="C601" s="189" t="s">
        <v>2187</v>
      </c>
      <c r="D601" s="189" t="s">
        <v>2260</v>
      </c>
      <c r="E601" s="189" t="s">
        <v>2081</v>
      </c>
      <c r="F601" s="192" t="s">
        <v>2262</v>
      </c>
    </row>
    <row r="602" ht="15.0" customHeight="1">
      <c r="A602" s="188"/>
      <c r="B602" s="189"/>
      <c r="C602" s="189" t="s">
        <v>2187</v>
      </c>
      <c r="D602" s="189" t="s">
        <v>2260</v>
      </c>
      <c r="E602" s="189" t="s">
        <v>2081</v>
      </c>
      <c r="F602" s="192" t="s">
        <v>2264</v>
      </c>
    </row>
    <row r="603" ht="15.0" customHeight="1">
      <c r="A603" s="188"/>
      <c r="B603" s="189"/>
      <c r="C603" s="189" t="s">
        <v>2187</v>
      </c>
      <c r="D603" s="189" t="s">
        <v>2260</v>
      </c>
      <c r="E603" s="189" t="s">
        <v>2081</v>
      </c>
      <c r="F603" s="192" t="s">
        <v>2265</v>
      </c>
    </row>
    <row r="604" ht="15.0" customHeight="1">
      <c r="A604" s="188"/>
      <c r="B604" s="189"/>
      <c r="C604" s="189" t="s">
        <v>2187</v>
      </c>
      <c r="D604" s="189" t="s">
        <v>2260</v>
      </c>
      <c r="E604" s="189" t="s">
        <v>2081</v>
      </c>
      <c r="F604" s="192" t="s">
        <v>2267</v>
      </c>
    </row>
    <row r="605" ht="15.0" customHeight="1">
      <c r="A605" s="188"/>
      <c r="B605" s="189"/>
      <c r="C605" s="189" t="s">
        <v>2187</v>
      </c>
      <c r="D605" s="189" t="s">
        <v>924</v>
      </c>
      <c r="E605" s="189" t="s">
        <v>2081</v>
      </c>
      <c r="F605" s="192" t="s">
        <v>2268</v>
      </c>
    </row>
    <row r="606" ht="15.0" customHeight="1">
      <c r="A606" s="188"/>
      <c r="B606" s="189"/>
      <c r="C606" s="189" t="s">
        <v>2187</v>
      </c>
      <c r="D606" s="189" t="s">
        <v>924</v>
      </c>
      <c r="E606" s="189" t="s">
        <v>2081</v>
      </c>
      <c r="F606" s="192" t="s">
        <v>2270</v>
      </c>
    </row>
    <row r="607" ht="15.0" customHeight="1">
      <c r="A607" s="188"/>
      <c r="B607" s="189"/>
      <c r="C607" s="189" t="s">
        <v>2187</v>
      </c>
      <c r="D607" s="189" t="s">
        <v>924</v>
      </c>
      <c r="E607" s="189" t="s">
        <v>2081</v>
      </c>
      <c r="F607" s="192" t="s">
        <v>2271</v>
      </c>
    </row>
    <row r="608" ht="15.0" customHeight="1">
      <c r="A608" s="188"/>
      <c r="B608" s="189"/>
      <c r="C608" s="189" t="s">
        <v>2187</v>
      </c>
      <c r="D608" s="189" t="s">
        <v>933</v>
      </c>
      <c r="E608" s="189" t="s">
        <v>2081</v>
      </c>
      <c r="F608" s="192" t="s">
        <v>2273</v>
      </c>
    </row>
    <row r="609" ht="15.0" customHeight="1">
      <c r="A609" s="188"/>
      <c r="B609" s="189"/>
      <c r="C609" s="189" t="s">
        <v>2187</v>
      </c>
      <c r="D609" s="189" t="s">
        <v>933</v>
      </c>
      <c r="E609" s="189" t="s">
        <v>2081</v>
      </c>
      <c r="F609" s="192" t="s">
        <v>2274</v>
      </c>
    </row>
    <row r="610" ht="15.0" customHeight="1">
      <c r="A610" s="188"/>
      <c r="B610" s="189"/>
      <c r="C610" s="189" t="s">
        <v>2187</v>
      </c>
      <c r="D610" s="189" t="s">
        <v>933</v>
      </c>
      <c r="E610" s="189" t="s">
        <v>2081</v>
      </c>
      <c r="F610" s="192" t="s">
        <v>2275</v>
      </c>
    </row>
    <row r="611" ht="15.0" customHeight="1">
      <c r="A611" s="188"/>
      <c r="B611" s="189"/>
      <c r="C611" s="189" t="s">
        <v>2187</v>
      </c>
      <c r="D611" s="189" t="s">
        <v>933</v>
      </c>
      <c r="E611" s="189" t="s">
        <v>2081</v>
      </c>
      <c r="F611" s="192" t="s">
        <v>2276</v>
      </c>
    </row>
    <row r="612" ht="15.0" customHeight="1">
      <c r="A612" s="188"/>
      <c r="B612" s="189"/>
      <c r="C612" s="189" t="s">
        <v>2187</v>
      </c>
      <c r="D612" s="189" t="s">
        <v>933</v>
      </c>
      <c r="E612" s="189" t="s">
        <v>2081</v>
      </c>
      <c r="F612" s="192" t="s">
        <v>2278</v>
      </c>
    </row>
    <row r="613" ht="15.0" customHeight="1">
      <c r="A613" s="188"/>
      <c r="B613" s="189"/>
      <c r="C613" s="189" t="s">
        <v>2187</v>
      </c>
      <c r="D613" s="189" t="s">
        <v>847</v>
      </c>
      <c r="E613" s="189" t="s">
        <v>2081</v>
      </c>
      <c r="F613" s="192" t="s">
        <v>2279</v>
      </c>
    </row>
    <row r="614" ht="15.0" customHeight="1">
      <c r="A614" s="188"/>
      <c r="B614" s="189"/>
      <c r="C614" s="189" t="s">
        <v>2187</v>
      </c>
      <c r="D614" s="189" t="s">
        <v>847</v>
      </c>
      <c r="E614" s="189" t="s">
        <v>2081</v>
      </c>
      <c r="F614" s="192" t="s">
        <v>2281</v>
      </c>
    </row>
    <row r="615" ht="15.0" customHeight="1">
      <c r="A615" s="188"/>
      <c r="B615" s="189"/>
      <c r="C615" s="189" t="s">
        <v>2187</v>
      </c>
      <c r="D615" s="189" t="s">
        <v>847</v>
      </c>
      <c r="E615" s="189" t="s">
        <v>2081</v>
      </c>
      <c r="F615" s="192" t="s">
        <v>2282</v>
      </c>
    </row>
    <row r="616" ht="15.0" customHeight="1">
      <c r="A616" s="188"/>
      <c r="B616" s="189"/>
      <c r="C616" s="189" t="s">
        <v>2187</v>
      </c>
      <c r="D616" s="189" t="s">
        <v>847</v>
      </c>
      <c r="E616" s="189" t="s">
        <v>2081</v>
      </c>
      <c r="F616" s="192" t="s">
        <v>2283</v>
      </c>
    </row>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pane ySplit="1.0" topLeftCell="A2" activePane="bottomLeft" state="frozen"/>
      <selection activeCell="B3" sqref="B3" pane="bottomLeft"/>
    </sheetView>
  </sheetViews>
  <sheetFormatPr customHeight="1" defaultColWidth="14.43" defaultRowHeight="15.0"/>
  <cols>
    <col hidden="1" min="1" max="1" width="14.43"/>
    <col customWidth="1" hidden="1" min="2" max="2" width="15.43"/>
    <col customWidth="1" hidden="1" min="3" max="3" width="19.29"/>
    <col customWidth="1" min="4" max="4" width="30.14"/>
    <col customWidth="1" hidden="1" min="5" max="5" width="36.71"/>
    <col customWidth="1" min="6" max="6" width="112.43"/>
  </cols>
  <sheetData>
    <row r="1" ht="31.5" customHeight="1">
      <c r="A1" s="197" t="s">
        <v>1442</v>
      </c>
      <c r="B1" s="197" t="s">
        <v>2292</v>
      </c>
      <c r="C1" s="197" t="s">
        <v>151</v>
      </c>
      <c r="D1" s="197" t="s">
        <v>77</v>
      </c>
      <c r="E1" s="197" t="s">
        <v>1445</v>
      </c>
      <c r="F1" s="197" t="s">
        <v>1446</v>
      </c>
    </row>
    <row r="2" ht="14.25" customHeight="1">
      <c r="C2" s="9" t="s">
        <v>2294</v>
      </c>
      <c r="D2" s="9" t="s">
        <v>2294</v>
      </c>
      <c r="E2" s="9" t="s">
        <v>1448</v>
      </c>
      <c r="F2" s="9" t="s">
        <v>474</v>
      </c>
    </row>
    <row r="3" ht="14.25" customHeight="1">
      <c r="C3" s="9" t="s">
        <v>2294</v>
      </c>
      <c r="D3" s="9" t="s">
        <v>2294</v>
      </c>
      <c r="E3" s="9" t="s">
        <v>1448</v>
      </c>
      <c r="F3" s="9" t="s">
        <v>284</v>
      </c>
      <c r="H3" s="9"/>
    </row>
    <row r="4" ht="14.25" customHeight="1">
      <c r="C4" s="9" t="s">
        <v>2294</v>
      </c>
      <c r="D4" s="9" t="s">
        <v>2294</v>
      </c>
      <c r="E4" s="9" t="s">
        <v>1448</v>
      </c>
      <c r="F4" s="9" t="s">
        <v>493</v>
      </c>
      <c r="H4" s="9"/>
    </row>
    <row r="5" ht="14.25" customHeight="1">
      <c r="C5" s="9" t="s">
        <v>2294</v>
      </c>
      <c r="D5" s="9" t="s">
        <v>2294</v>
      </c>
      <c r="E5" s="9" t="s">
        <v>1448</v>
      </c>
      <c r="F5" s="9" t="s">
        <v>450</v>
      </c>
      <c r="H5" s="9"/>
    </row>
    <row r="6" ht="14.25" customHeight="1">
      <c r="C6" s="9" t="s">
        <v>2294</v>
      </c>
      <c r="D6" s="9" t="s">
        <v>2294</v>
      </c>
      <c r="E6" s="9" t="s">
        <v>1448</v>
      </c>
      <c r="F6" s="9" t="s">
        <v>2296</v>
      </c>
      <c r="H6" s="9"/>
    </row>
    <row r="7" ht="14.25" customHeight="1">
      <c r="C7" s="9" t="s">
        <v>2294</v>
      </c>
      <c r="D7" s="9" t="s">
        <v>2294</v>
      </c>
      <c r="E7" s="9" t="s">
        <v>1448</v>
      </c>
      <c r="F7" s="9" t="s">
        <v>276</v>
      </c>
      <c r="H7" s="9"/>
    </row>
    <row r="8" ht="14.25" customHeight="1">
      <c r="C8" s="9" t="s">
        <v>2294</v>
      </c>
      <c r="D8" s="9" t="s">
        <v>2294</v>
      </c>
      <c r="E8" s="9" t="s">
        <v>1448</v>
      </c>
      <c r="F8" s="9" t="s">
        <v>431</v>
      </c>
      <c r="H8" s="9"/>
    </row>
    <row r="9" ht="14.25" customHeight="1">
      <c r="C9" s="9" t="s">
        <v>2294</v>
      </c>
      <c r="D9" s="9" t="s">
        <v>2294</v>
      </c>
      <c r="E9" s="9" t="s">
        <v>1448</v>
      </c>
      <c r="F9" s="9" t="s">
        <v>1272</v>
      </c>
      <c r="H9" s="9"/>
    </row>
    <row r="10" ht="14.25" customHeight="1">
      <c r="C10" s="9" t="s">
        <v>2294</v>
      </c>
      <c r="D10" s="9" t="s">
        <v>2294</v>
      </c>
      <c r="E10" s="9" t="s">
        <v>1448</v>
      </c>
      <c r="F10" s="9" t="s">
        <v>420</v>
      </c>
      <c r="H10" s="9"/>
    </row>
    <row r="11" ht="14.25" customHeight="1">
      <c r="C11" s="9" t="s">
        <v>2294</v>
      </c>
      <c r="D11" s="9" t="s">
        <v>2294</v>
      </c>
      <c r="E11" s="9" t="s">
        <v>1448</v>
      </c>
      <c r="F11" s="9" t="s">
        <v>482</v>
      </c>
      <c r="H11" s="9"/>
    </row>
    <row r="12" ht="14.25" customHeight="1">
      <c r="C12" s="9" t="s">
        <v>2294</v>
      </c>
      <c r="D12" s="9" t="s">
        <v>2294</v>
      </c>
      <c r="E12" s="9" t="s">
        <v>1448</v>
      </c>
      <c r="F12" s="9" t="s">
        <v>136</v>
      </c>
      <c r="H12" s="9"/>
    </row>
    <row r="13" ht="14.25" customHeight="1">
      <c r="C13" s="9" t="s">
        <v>2294</v>
      </c>
      <c r="D13" s="9" t="s">
        <v>2294</v>
      </c>
      <c r="E13" s="9" t="s">
        <v>1448</v>
      </c>
      <c r="F13" s="9" t="s">
        <v>408</v>
      </c>
      <c r="H13" s="9"/>
    </row>
    <row r="14" ht="14.25" customHeight="1">
      <c r="C14" s="9" t="s">
        <v>2294</v>
      </c>
      <c r="D14" s="9" t="s">
        <v>2294</v>
      </c>
      <c r="E14" s="9" t="s">
        <v>1448</v>
      </c>
      <c r="F14" s="9" t="s">
        <v>2301</v>
      </c>
      <c r="H14" s="9"/>
    </row>
    <row r="15" ht="14.25" customHeight="1">
      <c r="C15" s="9" t="s">
        <v>2294</v>
      </c>
      <c r="D15" s="9" t="s">
        <v>2294</v>
      </c>
      <c r="E15" s="9" t="s">
        <v>1448</v>
      </c>
      <c r="F15" s="9" t="s">
        <v>197</v>
      </c>
      <c r="H15" s="9"/>
    </row>
    <row r="16" ht="14.25" customHeight="1">
      <c r="C16" s="9" t="s">
        <v>2294</v>
      </c>
      <c r="D16" s="9" t="s">
        <v>2294</v>
      </c>
      <c r="E16" s="9" t="s">
        <v>1448</v>
      </c>
      <c r="F16" s="9" t="s">
        <v>172</v>
      </c>
      <c r="H16" s="9"/>
    </row>
    <row r="17" ht="14.25" customHeight="1">
      <c r="C17" s="9" t="s">
        <v>2294</v>
      </c>
      <c r="D17" s="9" t="s">
        <v>2294</v>
      </c>
      <c r="E17" s="9" t="s">
        <v>1448</v>
      </c>
      <c r="F17" s="9" t="s">
        <v>98</v>
      </c>
      <c r="H17" s="9"/>
    </row>
    <row r="18" ht="14.25" customHeight="1">
      <c r="C18" s="9" t="s">
        <v>2294</v>
      </c>
      <c r="D18" s="9" t="s">
        <v>2294</v>
      </c>
      <c r="E18" s="9" t="s">
        <v>1448</v>
      </c>
      <c r="F18" s="9" t="s">
        <v>341</v>
      </c>
      <c r="H18" s="9"/>
    </row>
    <row r="19" ht="14.25" customHeight="1">
      <c r="C19" s="9" t="s">
        <v>2294</v>
      </c>
      <c r="D19" s="9" t="s">
        <v>2294</v>
      </c>
      <c r="E19" s="9" t="s">
        <v>1448</v>
      </c>
      <c r="F19" s="9" t="s">
        <v>367</v>
      </c>
      <c r="H19" s="9"/>
    </row>
    <row r="20" ht="14.25" customHeight="1">
      <c r="C20" s="9" t="s">
        <v>2294</v>
      </c>
      <c r="D20" s="9" t="s">
        <v>2294</v>
      </c>
      <c r="E20" s="9" t="s">
        <v>1448</v>
      </c>
      <c r="F20" s="9" t="s">
        <v>529</v>
      </c>
      <c r="H20" s="9"/>
    </row>
    <row r="21" ht="14.25" customHeight="1">
      <c r="C21" s="9" t="s">
        <v>2294</v>
      </c>
      <c r="D21" s="9" t="s">
        <v>2294</v>
      </c>
      <c r="E21" s="9" t="s">
        <v>1448</v>
      </c>
      <c r="F21" s="9" t="s">
        <v>282</v>
      </c>
      <c r="H21" s="9"/>
    </row>
    <row r="22" ht="14.25" customHeight="1">
      <c r="C22" s="9" t="s">
        <v>2294</v>
      </c>
      <c r="D22" s="9" t="s">
        <v>2294</v>
      </c>
      <c r="E22" s="9" t="s">
        <v>1448</v>
      </c>
      <c r="F22" s="9" t="s">
        <v>321</v>
      </c>
      <c r="H22" s="9"/>
    </row>
    <row r="23" ht="14.25" customHeight="1">
      <c r="C23" s="9" t="s">
        <v>2294</v>
      </c>
      <c r="D23" s="9" t="s">
        <v>2294</v>
      </c>
      <c r="E23" s="9" t="s">
        <v>1448</v>
      </c>
      <c r="F23" s="9" t="s">
        <v>272</v>
      </c>
      <c r="H23" s="9"/>
    </row>
    <row r="24" ht="14.25" customHeight="1">
      <c r="C24" s="9" t="s">
        <v>2294</v>
      </c>
      <c r="D24" s="9" t="s">
        <v>2294</v>
      </c>
      <c r="E24" s="9" t="s">
        <v>1448</v>
      </c>
      <c r="F24" s="9" t="s">
        <v>517</v>
      </c>
      <c r="H24" s="9"/>
    </row>
    <row r="25" ht="14.25" customHeight="1">
      <c r="C25" s="9" t="s">
        <v>2294</v>
      </c>
      <c r="D25" s="9" t="s">
        <v>2294</v>
      </c>
      <c r="E25" s="9" t="s">
        <v>1448</v>
      </c>
      <c r="F25" s="9" t="s">
        <v>2309</v>
      </c>
      <c r="H25" s="9"/>
    </row>
    <row r="26" ht="14.25" customHeight="1">
      <c r="C26" s="9" t="s">
        <v>2294</v>
      </c>
      <c r="D26" s="9" t="s">
        <v>2294</v>
      </c>
      <c r="E26" s="9" t="s">
        <v>1448</v>
      </c>
      <c r="F26" s="9" t="s">
        <v>507</v>
      </c>
      <c r="H26" s="9"/>
    </row>
    <row r="27" ht="14.25" customHeight="1">
      <c r="C27" s="9" t="s">
        <v>2294</v>
      </c>
      <c r="D27" s="9" t="s">
        <v>2294</v>
      </c>
      <c r="E27" s="9" t="s">
        <v>1448</v>
      </c>
      <c r="F27" s="9" t="s">
        <v>336</v>
      </c>
      <c r="H27" s="9"/>
    </row>
    <row r="28" ht="14.25" customHeight="1">
      <c r="C28" s="9" t="s">
        <v>2294</v>
      </c>
      <c r="D28" s="9" t="s">
        <v>2294</v>
      </c>
      <c r="E28" s="9" t="s">
        <v>1448</v>
      </c>
      <c r="F28" s="9" t="s">
        <v>235</v>
      </c>
      <c r="H28" s="9"/>
    </row>
    <row r="29" ht="14.25" customHeight="1">
      <c r="C29" s="9" t="s">
        <v>2294</v>
      </c>
      <c r="D29" s="9" t="s">
        <v>2294</v>
      </c>
      <c r="E29" s="9" t="s">
        <v>1448</v>
      </c>
      <c r="F29" s="9" t="s">
        <v>327</v>
      </c>
      <c r="H29" s="9"/>
    </row>
    <row r="30" ht="14.25" customHeight="1">
      <c r="C30" s="9" t="s">
        <v>2294</v>
      </c>
      <c r="D30" s="9" t="s">
        <v>2294</v>
      </c>
      <c r="E30" s="9" t="s">
        <v>1448</v>
      </c>
      <c r="F30" s="9" t="s">
        <v>264</v>
      </c>
      <c r="H30" s="9"/>
    </row>
    <row r="31" ht="14.25" customHeight="1">
      <c r="C31" s="9" t="s">
        <v>1541</v>
      </c>
      <c r="D31" s="9" t="s">
        <v>708</v>
      </c>
      <c r="E31" s="9" t="s">
        <v>1448</v>
      </c>
      <c r="F31" s="9" t="s">
        <v>1713</v>
      </c>
      <c r="H31" s="9"/>
    </row>
    <row r="32" ht="14.25" customHeight="1">
      <c r="C32" s="9" t="s">
        <v>1541</v>
      </c>
      <c r="D32" s="9" t="s">
        <v>708</v>
      </c>
      <c r="E32" s="9" t="s">
        <v>1448</v>
      </c>
      <c r="F32" s="9" t="s">
        <v>1717</v>
      </c>
      <c r="H32" s="9"/>
    </row>
    <row r="33" ht="14.25" customHeight="1">
      <c r="C33" s="9" t="s">
        <v>1541</v>
      </c>
      <c r="D33" s="9" t="s">
        <v>708</v>
      </c>
      <c r="E33" s="9" t="s">
        <v>1448</v>
      </c>
      <c r="F33" s="9" t="s">
        <v>1708</v>
      </c>
      <c r="H33" s="9"/>
    </row>
    <row r="34" ht="14.25" customHeight="1">
      <c r="C34" s="9" t="s">
        <v>1541</v>
      </c>
      <c r="D34" s="9" t="s">
        <v>708</v>
      </c>
      <c r="E34" s="9" t="s">
        <v>1448</v>
      </c>
      <c r="F34" s="9" t="s">
        <v>1711</v>
      </c>
      <c r="H34" s="9"/>
    </row>
    <row r="35" ht="14.25" customHeight="1">
      <c r="C35" s="9" t="s">
        <v>1541</v>
      </c>
      <c r="D35" s="9" t="s">
        <v>708</v>
      </c>
      <c r="E35" s="9" t="s">
        <v>1448</v>
      </c>
      <c r="F35" s="9" t="s">
        <v>1705</v>
      </c>
      <c r="H35" s="9"/>
    </row>
    <row r="36" ht="14.25" customHeight="1">
      <c r="C36" s="9" t="s">
        <v>1541</v>
      </c>
      <c r="D36" s="9" t="s">
        <v>1751</v>
      </c>
      <c r="E36" s="9" t="s">
        <v>1448</v>
      </c>
      <c r="F36" s="9" t="s">
        <v>1759</v>
      </c>
      <c r="H36" s="9"/>
    </row>
    <row r="37" ht="14.25" customHeight="1">
      <c r="C37" s="9" t="s">
        <v>1541</v>
      </c>
      <c r="D37" s="9" t="s">
        <v>1751</v>
      </c>
      <c r="E37" s="9" t="s">
        <v>1448</v>
      </c>
      <c r="F37" s="9" t="s">
        <v>1756</v>
      </c>
      <c r="H37" s="9"/>
    </row>
    <row r="38" ht="14.25" customHeight="1">
      <c r="C38" s="9" t="s">
        <v>1541</v>
      </c>
      <c r="D38" s="9" t="s">
        <v>1751</v>
      </c>
      <c r="E38" s="9" t="s">
        <v>1448</v>
      </c>
      <c r="F38" s="9" t="s">
        <v>2315</v>
      </c>
      <c r="H38" s="9"/>
    </row>
    <row r="39" ht="14.25" customHeight="1">
      <c r="C39" s="9" t="s">
        <v>1541</v>
      </c>
      <c r="D39" s="9" t="s">
        <v>1751</v>
      </c>
      <c r="E39" s="9" t="s">
        <v>1448</v>
      </c>
      <c r="F39" s="9" t="s">
        <v>2317</v>
      </c>
      <c r="H39" s="9"/>
    </row>
    <row r="40" ht="14.25" customHeight="1">
      <c r="C40" s="9" t="s">
        <v>1541</v>
      </c>
      <c r="D40" s="9" t="s">
        <v>1751</v>
      </c>
      <c r="E40" s="9" t="s">
        <v>1448</v>
      </c>
      <c r="F40" s="9" t="s">
        <v>1755</v>
      </c>
      <c r="H40" s="9"/>
    </row>
    <row r="41" ht="14.25" customHeight="1">
      <c r="C41" s="9" t="s">
        <v>1541</v>
      </c>
      <c r="D41" s="9" t="s">
        <v>1751</v>
      </c>
      <c r="E41" s="9" t="s">
        <v>1448</v>
      </c>
      <c r="F41" s="9" t="s">
        <v>1754</v>
      </c>
      <c r="H41" s="9"/>
    </row>
    <row r="42" ht="14.25" customHeight="1">
      <c r="C42" s="9" t="s">
        <v>1541</v>
      </c>
      <c r="D42" s="9" t="s">
        <v>1751</v>
      </c>
      <c r="E42" s="9" t="s">
        <v>1448</v>
      </c>
      <c r="F42" s="9" t="s">
        <v>1762</v>
      </c>
      <c r="H42" s="9"/>
    </row>
    <row r="43" ht="14.25" customHeight="1">
      <c r="C43" s="9" t="s">
        <v>1541</v>
      </c>
      <c r="D43" s="9" t="s">
        <v>1751</v>
      </c>
      <c r="E43" s="9" t="s">
        <v>1448</v>
      </c>
      <c r="F43" s="9" t="s">
        <v>2320</v>
      </c>
      <c r="H43" s="9"/>
    </row>
    <row r="44" ht="14.25" customHeight="1">
      <c r="C44" s="9" t="s">
        <v>1541</v>
      </c>
      <c r="D44" s="9" t="s">
        <v>1751</v>
      </c>
      <c r="E44" s="9" t="s">
        <v>1448</v>
      </c>
      <c r="F44" s="9" t="s">
        <v>1765</v>
      </c>
      <c r="H44" s="9"/>
    </row>
    <row r="45" ht="14.25" customHeight="1">
      <c r="C45" s="9" t="s">
        <v>1541</v>
      </c>
      <c r="D45" s="9" t="s">
        <v>1751</v>
      </c>
      <c r="E45" s="9" t="s">
        <v>1448</v>
      </c>
      <c r="F45" s="9" t="s">
        <v>1752</v>
      </c>
      <c r="H45" s="9"/>
    </row>
    <row r="46" ht="14.25" customHeight="1">
      <c r="C46" s="9" t="s">
        <v>1541</v>
      </c>
      <c r="D46" s="9" t="s">
        <v>1751</v>
      </c>
      <c r="E46" s="9" t="s">
        <v>1448</v>
      </c>
      <c r="F46" s="9" t="s">
        <v>2321</v>
      </c>
      <c r="H46" s="9"/>
    </row>
    <row r="47" ht="14.25" customHeight="1">
      <c r="C47" s="9" t="s">
        <v>1541</v>
      </c>
      <c r="D47" s="9" t="s">
        <v>1751</v>
      </c>
      <c r="E47" s="9" t="s">
        <v>1448</v>
      </c>
      <c r="F47" s="9" t="s">
        <v>2322</v>
      </c>
      <c r="H47" s="9"/>
    </row>
    <row r="48" ht="14.25" customHeight="1">
      <c r="C48" s="9" t="s">
        <v>1541</v>
      </c>
      <c r="D48" s="9" t="s">
        <v>1751</v>
      </c>
      <c r="E48" s="9" t="s">
        <v>1448</v>
      </c>
      <c r="F48" s="9" t="s">
        <v>2323</v>
      </c>
      <c r="H48" s="9"/>
    </row>
    <row r="49" ht="14.25" customHeight="1">
      <c r="C49" s="9" t="s">
        <v>1541</v>
      </c>
      <c r="D49" s="9" t="s">
        <v>1751</v>
      </c>
      <c r="E49" s="9" t="s">
        <v>1448</v>
      </c>
      <c r="F49" s="9" t="s">
        <v>1753</v>
      </c>
      <c r="H49" s="9"/>
    </row>
    <row r="50" ht="14.25" customHeight="1">
      <c r="C50" s="9" t="s">
        <v>1541</v>
      </c>
      <c r="D50" s="9" t="s">
        <v>1751</v>
      </c>
      <c r="E50" s="9" t="s">
        <v>1448</v>
      </c>
      <c r="F50" s="9" t="s">
        <v>1760</v>
      </c>
      <c r="H50" s="9"/>
    </row>
    <row r="51" ht="14.25" customHeight="1">
      <c r="C51" s="9" t="s">
        <v>1541</v>
      </c>
      <c r="D51" s="9" t="s">
        <v>1751</v>
      </c>
      <c r="E51" s="9" t="s">
        <v>1448</v>
      </c>
      <c r="F51" s="9" t="s">
        <v>1768</v>
      </c>
      <c r="H51" s="9"/>
    </row>
    <row r="52" ht="14.25" customHeight="1">
      <c r="C52" s="9" t="s">
        <v>1541</v>
      </c>
      <c r="D52" s="9" t="s">
        <v>1751</v>
      </c>
      <c r="E52" s="9" t="s">
        <v>1448</v>
      </c>
      <c r="F52" s="9" t="s">
        <v>1769</v>
      </c>
      <c r="H52" s="9"/>
    </row>
    <row r="53" ht="14.25" customHeight="1">
      <c r="C53" s="9" t="s">
        <v>1541</v>
      </c>
      <c r="D53" s="9" t="s">
        <v>1751</v>
      </c>
      <c r="E53" s="9" t="s">
        <v>1448</v>
      </c>
      <c r="F53" s="9" t="s">
        <v>2324</v>
      </c>
      <c r="H53" s="9"/>
    </row>
    <row r="54" ht="14.25" customHeight="1">
      <c r="C54" s="9" t="s">
        <v>1541</v>
      </c>
      <c r="D54" s="9" t="s">
        <v>937</v>
      </c>
      <c r="E54" s="9" t="s">
        <v>1448</v>
      </c>
      <c r="F54" s="9" t="s">
        <v>2325</v>
      </c>
      <c r="H54" s="9"/>
    </row>
    <row r="55" ht="14.25" customHeight="1">
      <c r="C55" s="9" t="s">
        <v>1541</v>
      </c>
      <c r="D55" s="9" t="s">
        <v>937</v>
      </c>
      <c r="E55" s="9" t="s">
        <v>1448</v>
      </c>
      <c r="F55" s="9" t="s">
        <v>2326</v>
      </c>
      <c r="H55" s="9"/>
    </row>
    <row r="56" ht="14.25" customHeight="1">
      <c r="C56" s="9" t="s">
        <v>1541</v>
      </c>
      <c r="D56" s="9" t="s">
        <v>937</v>
      </c>
      <c r="E56" s="9" t="s">
        <v>1448</v>
      </c>
      <c r="F56" s="9" t="s">
        <v>2327</v>
      </c>
      <c r="H56" s="9"/>
    </row>
    <row r="57" ht="14.25" customHeight="1">
      <c r="C57" s="9" t="s">
        <v>1541</v>
      </c>
      <c r="D57" s="9" t="s">
        <v>937</v>
      </c>
      <c r="E57" s="9" t="s">
        <v>1448</v>
      </c>
      <c r="F57" s="9" t="s">
        <v>2328</v>
      </c>
      <c r="H57" s="9"/>
    </row>
    <row r="58" ht="14.25" customHeight="1">
      <c r="C58" s="9" t="s">
        <v>1541</v>
      </c>
      <c r="D58" s="9" t="s">
        <v>937</v>
      </c>
      <c r="E58" s="9" t="s">
        <v>1448</v>
      </c>
      <c r="F58" s="9" t="s">
        <v>1871</v>
      </c>
      <c r="H58" s="9"/>
    </row>
    <row r="59" ht="14.25" customHeight="1">
      <c r="C59" s="9" t="s">
        <v>1541</v>
      </c>
      <c r="D59" s="9" t="s">
        <v>937</v>
      </c>
      <c r="E59" s="9" t="s">
        <v>1448</v>
      </c>
      <c r="F59" s="9" t="s">
        <v>1869</v>
      </c>
      <c r="H59" s="9"/>
    </row>
    <row r="60" ht="14.25" customHeight="1">
      <c r="C60" s="9" t="s">
        <v>1541</v>
      </c>
      <c r="D60" s="9" t="s">
        <v>937</v>
      </c>
      <c r="E60" s="9" t="s">
        <v>1448</v>
      </c>
      <c r="F60" s="9" t="s">
        <v>1865</v>
      </c>
      <c r="H60" s="9"/>
    </row>
    <row r="61" ht="14.25" customHeight="1">
      <c r="C61" s="9" t="s">
        <v>1541</v>
      </c>
      <c r="D61" s="9" t="s">
        <v>937</v>
      </c>
      <c r="E61" s="9" t="s">
        <v>1448</v>
      </c>
      <c r="F61" s="9" t="s">
        <v>1900</v>
      </c>
      <c r="H61" s="9"/>
    </row>
    <row r="62" ht="14.25" customHeight="1">
      <c r="C62" s="9" t="s">
        <v>1541</v>
      </c>
      <c r="D62" s="9" t="s">
        <v>937</v>
      </c>
      <c r="E62" s="9" t="s">
        <v>1448</v>
      </c>
      <c r="F62" s="9" t="s">
        <v>1860</v>
      </c>
      <c r="H62" s="9"/>
    </row>
    <row r="63" ht="14.25" customHeight="1">
      <c r="C63" s="9" t="s">
        <v>1541</v>
      </c>
      <c r="D63" s="9" t="s">
        <v>937</v>
      </c>
      <c r="E63" s="9" t="s">
        <v>1448</v>
      </c>
      <c r="F63" s="9" t="s">
        <v>1857</v>
      </c>
      <c r="H63" s="9"/>
    </row>
    <row r="64" ht="14.25" customHeight="1">
      <c r="C64" s="9" t="s">
        <v>1541</v>
      </c>
      <c r="D64" s="9" t="s">
        <v>937</v>
      </c>
      <c r="E64" s="9" t="s">
        <v>1448</v>
      </c>
      <c r="F64" s="9" t="s">
        <v>1863</v>
      </c>
      <c r="H64" s="9"/>
    </row>
    <row r="65" ht="14.25" customHeight="1">
      <c r="C65" s="9" t="s">
        <v>1541</v>
      </c>
      <c r="D65" s="9" t="s">
        <v>937</v>
      </c>
      <c r="E65" s="9" t="s">
        <v>1448</v>
      </c>
      <c r="F65" s="9" t="s">
        <v>1898</v>
      </c>
      <c r="H65" s="9"/>
    </row>
    <row r="66" ht="14.25" customHeight="1">
      <c r="C66" s="9" t="s">
        <v>1541</v>
      </c>
      <c r="D66" s="9" t="s">
        <v>937</v>
      </c>
      <c r="E66" s="9" t="s">
        <v>1448</v>
      </c>
      <c r="F66" s="9" t="s">
        <v>2332</v>
      </c>
      <c r="H66" s="9"/>
    </row>
    <row r="67" ht="14.25" customHeight="1">
      <c r="C67" s="9" t="s">
        <v>1541</v>
      </c>
      <c r="D67" s="9" t="s">
        <v>937</v>
      </c>
      <c r="E67" s="9" t="s">
        <v>1448</v>
      </c>
      <c r="F67" s="9" t="s">
        <v>2333</v>
      </c>
      <c r="H67" s="9"/>
    </row>
    <row r="68" ht="14.25" customHeight="1">
      <c r="C68" s="9" t="s">
        <v>1541</v>
      </c>
      <c r="D68" s="9" t="s">
        <v>937</v>
      </c>
      <c r="E68" s="9" t="s">
        <v>1448</v>
      </c>
      <c r="F68" s="9" t="s">
        <v>1878</v>
      </c>
      <c r="H68" s="9"/>
    </row>
    <row r="69" ht="14.25" customHeight="1">
      <c r="C69" s="9" t="s">
        <v>1541</v>
      </c>
      <c r="D69" s="9" t="s">
        <v>937</v>
      </c>
      <c r="E69" s="9" t="s">
        <v>1448</v>
      </c>
      <c r="F69" s="9" t="s">
        <v>2334</v>
      </c>
      <c r="H69" s="9"/>
    </row>
    <row r="70" ht="14.25" customHeight="1">
      <c r="C70" s="9" t="s">
        <v>1541</v>
      </c>
      <c r="D70" s="9" t="s">
        <v>937</v>
      </c>
      <c r="E70" s="9" t="s">
        <v>1448</v>
      </c>
      <c r="F70" s="9" t="s">
        <v>1881</v>
      </c>
      <c r="H70" s="9"/>
    </row>
    <row r="71" ht="14.25" customHeight="1">
      <c r="C71" s="9" t="s">
        <v>1541</v>
      </c>
      <c r="D71" s="9" t="s">
        <v>937</v>
      </c>
      <c r="E71" s="9" t="s">
        <v>1448</v>
      </c>
      <c r="F71" s="9" t="s">
        <v>2335</v>
      </c>
      <c r="H71" s="9"/>
    </row>
    <row r="72" ht="14.25" customHeight="1">
      <c r="C72" s="9" t="s">
        <v>1541</v>
      </c>
      <c r="D72" s="9" t="s">
        <v>937</v>
      </c>
      <c r="E72" s="9" t="s">
        <v>1448</v>
      </c>
      <c r="F72" s="9" t="s">
        <v>1883</v>
      </c>
      <c r="H72" s="9"/>
    </row>
    <row r="73" ht="14.25" customHeight="1">
      <c r="C73" s="9" t="s">
        <v>1541</v>
      </c>
      <c r="D73" s="9" t="s">
        <v>937</v>
      </c>
      <c r="E73" s="9" t="s">
        <v>1448</v>
      </c>
      <c r="F73" s="9" t="s">
        <v>1886</v>
      </c>
      <c r="H73" s="9"/>
    </row>
    <row r="74" ht="14.25" customHeight="1">
      <c r="C74" s="9" t="s">
        <v>1541</v>
      </c>
      <c r="D74" s="9" t="s">
        <v>937</v>
      </c>
      <c r="E74" s="9" t="s">
        <v>1448</v>
      </c>
      <c r="F74" s="9" t="s">
        <v>1888</v>
      </c>
      <c r="H74" s="9"/>
    </row>
    <row r="75" ht="14.25" customHeight="1">
      <c r="C75" s="9" t="s">
        <v>1541</v>
      </c>
      <c r="D75" s="9" t="s">
        <v>937</v>
      </c>
      <c r="E75" s="9" t="s">
        <v>1448</v>
      </c>
      <c r="F75" s="9" t="s">
        <v>1891</v>
      </c>
      <c r="H75" s="9"/>
    </row>
    <row r="76" ht="14.25" customHeight="1">
      <c r="C76" s="9" t="s">
        <v>1541</v>
      </c>
      <c r="D76" s="9" t="s">
        <v>937</v>
      </c>
      <c r="E76" s="9" t="s">
        <v>1448</v>
      </c>
      <c r="F76" s="9" t="s">
        <v>2336</v>
      </c>
      <c r="H76" s="9"/>
    </row>
    <row r="77" ht="14.25" customHeight="1">
      <c r="C77" s="9" t="s">
        <v>1541</v>
      </c>
      <c r="D77" s="9" t="s">
        <v>937</v>
      </c>
      <c r="E77" s="9" t="s">
        <v>1448</v>
      </c>
      <c r="F77" s="9" t="s">
        <v>1876</v>
      </c>
      <c r="H77" s="9"/>
    </row>
    <row r="78" ht="14.25" customHeight="1">
      <c r="C78" s="9" t="s">
        <v>1541</v>
      </c>
      <c r="D78" s="9" t="s">
        <v>937</v>
      </c>
      <c r="E78" s="9" t="s">
        <v>1448</v>
      </c>
      <c r="F78" s="9" t="s">
        <v>1893</v>
      </c>
      <c r="H78" s="9"/>
    </row>
    <row r="79" ht="14.25" customHeight="1">
      <c r="C79" s="9" t="s">
        <v>1541</v>
      </c>
      <c r="D79" s="9" t="s">
        <v>937</v>
      </c>
      <c r="E79" s="9" t="s">
        <v>1448</v>
      </c>
      <c r="F79" s="9" t="s">
        <v>1896</v>
      </c>
      <c r="H79" s="9"/>
    </row>
    <row r="80" ht="14.25" customHeight="1">
      <c r="C80" s="9" t="s">
        <v>1541</v>
      </c>
      <c r="D80" s="9" t="s">
        <v>984</v>
      </c>
      <c r="E80" s="9" t="s">
        <v>1448</v>
      </c>
      <c r="F80" s="9" t="s">
        <v>1834</v>
      </c>
      <c r="H80" s="9"/>
    </row>
    <row r="81" ht="14.25" customHeight="1">
      <c r="C81" s="9" t="s">
        <v>1541</v>
      </c>
      <c r="D81" s="9" t="s">
        <v>984</v>
      </c>
      <c r="E81" s="9" t="s">
        <v>1448</v>
      </c>
      <c r="F81" s="9" t="s">
        <v>1831</v>
      </c>
      <c r="H81" s="9"/>
    </row>
    <row r="82" ht="14.25" customHeight="1">
      <c r="C82" s="9" t="s">
        <v>1541</v>
      </c>
      <c r="D82" s="9" t="s">
        <v>984</v>
      </c>
      <c r="E82" s="9" t="s">
        <v>1448</v>
      </c>
      <c r="F82" s="9" t="s">
        <v>2338</v>
      </c>
      <c r="H82" s="9"/>
    </row>
    <row r="83" ht="14.25" customHeight="1">
      <c r="C83" s="9" t="s">
        <v>1541</v>
      </c>
      <c r="D83" s="9" t="s">
        <v>989</v>
      </c>
      <c r="E83" s="9" t="s">
        <v>1448</v>
      </c>
      <c r="F83" s="9" t="s">
        <v>2339</v>
      </c>
      <c r="H83" s="9"/>
    </row>
    <row r="84" ht="14.25" customHeight="1">
      <c r="C84" s="9" t="s">
        <v>1541</v>
      </c>
      <c r="D84" s="9" t="s">
        <v>991</v>
      </c>
      <c r="E84" s="9" t="s">
        <v>1448</v>
      </c>
      <c r="F84" s="9" t="s">
        <v>2340</v>
      </c>
      <c r="H84" s="9"/>
    </row>
    <row r="85" ht="14.25" customHeight="1">
      <c r="C85" s="9" t="s">
        <v>1541</v>
      </c>
      <c r="D85" s="9" t="s">
        <v>991</v>
      </c>
      <c r="E85" s="9" t="s">
        <v>1448</v>
      </c>
      <c r="F85" s="9" t="s">
        <v>1821</v>
      </c>
      <c r="H85" s="9"/>
    </row>
    <row r="86" ht="14.25" customHeight="1">
      <c r="C86" s="9" t="s">
        <v>1541</v>
      </c>
      <c r="D86" s="9" t="s">
        <v>991</v>
      </c>
      <c r="E86" s="9" t="s">
        <v>1448</v>
      </c>
      <c r="F86" s="9" t="s">
        <v>2342</v>
      </c>
      <c r="H86" s="9"/>
    </row>
    <row r="87" ht="14.25" customHeight="1">
      <c r="C87" s="9" t="s">
        <v>1541</v>
      </c>
      <c r="D87" s="9" t="s">
        <v>991</v>
      </c>
      <c r="E87" s="9" t="s">
        <v>1448</v>
      </c>
      <c r="F87" s="9" t="s">
        <v>1823</v>
      </c>
      <c r="H87" s="9"/>
    </row>
    <row r="88" ht="14.25" customHeight="1">
      <c r="C88" s="9" t="s">
        <v>1541</v>
      </c>
      <c r="D88" s="9" t="s">
        <v>991</v>
      </c>
      <c r="E88" s="9" t="s">
        <v>1448</v>
      </c>
      <c r="F88" s="9" t="s">
        <v>2344</v>
      </c>
      <c r="H88" s="9"/>
    </row>
    <row r="89" ht="14.25" customHeight="1">
      <c r="C89" s="9" t="s">
        <v>1541</v>
      </c>
      <c r="D89" s="9" t="s">
        <v>991</v>
      </c>
      <c r="E89" s="9" t="s">
        <v>1448</v>
      </c>
      <c r="F89" s="9" t="s">
        <v>2345</v>
      </c>
      <c r="H89" s="9"/>
    </row>
    <row r="90" ht="14.25" customHeight="1">
      <c r="C90" s="9" t="s">
        <v>1541</v>
      </c>
      <c r="D90" s="9" t="s">
        <v>994</v>
      </c>
      <c r="E90" s="9" t="s">
        <v>1448</v>
      </c>
      <c r="F90" s="9" t="s">
        <v>1826</v>
      </c>
      <c r="H90" s="9"/>
    </row>
    <row r="91" ht="14.25" customHeight="1">
      <c r="C91" s="9" t="s">
        <v>1541</v>
      </c>
      <c r="D91" s="9" t="s">
        <v>994</v>
      </c>
      <c r="E91" s="9" t="s">
        <v>1448</v>
      </c>
      <c r="F91" s="9" t="s">
        <v>1828</v>
      </c>
      <c r="H91" s="9"/>
    </row>
    <row r="92" ht="14.25" customHeight="1">
      <c r="C92" s="9" t="s">
        <v>1541</v>
      </c>
      <c r="D92" s="9" t="s">
        <v>999</v>
      </c>
      <c r="E92" s="9" t="s">
        <v>1448</v>
      </c>
      <c r="F92" s="9" t="s">
        <v>2348</v>
      </c>
      <c r="H92" s="9"/>
    </row>
    <row r="93" ht="14.25" customHeight="1">
      <c r="C93" s="9" t="s">
        <v>1541</v>
      </c>
      <c r="D93" s="9" t="s">
        <v>999</v>
      </c>
      <c r="E93" s="9" t="s">
        <v>1448</v>
      </c>
      <c r="F93" s="9" t="s">
        <v>2349</v>
      </c>
      <c r="H93" s="9"/>
    </row>
    <row r="94" ht="14.25" customHeight="1">
      <c r="C94" s="9" t="s">
        <v>1541</v>
      </c>
      <c r="D94" s="9" t="s">
        <v>999</v>
      </c>
      <c r="E94" s="9" t="s">
        <v>1448</v>
      </c>
      <c r="F94" s="9" t="s">
        <v>1731</v>
      </c>
      <c r="H94" s="9"/>
    </row>
    <row r="95" ht="14.25" customHeight="1">
      <c r="C95" s="9" t="s">
        <v>1541</v>
      </c>
      <c r="D95" s="9" t="s">
        <v>999</v>
      </c>
      <c r="E95" s="9" t="s">
        <v>1448</v>
      </c>
      <c r="F95" s="9" t="s">
        <v>1730</v>
      </c>
      <c r="H95" s="9"/>
    </row>
    <row r="96" ht="14.25" customHeight="1">
      <c r="C96" s="9" t="s">
        <v>1541</v>
      </c>
      <c r="D96" s="9" t="s">
        <v>999</v>
      </c>
      <c r="E96" s="9" t="s">
        <v>1448</v>
      </c>
      <c r="F96" s="9" t="s">
        <v>1736</v>
      </c>
      <c r="H96" s="9"/>
    </row>
    <row r="97" ht="14.25" customHeight="1">
      <c r="C97" s="9" t="s">
        <v>1541</v>
      </c>
      <c r="D97" s="9" t="s">
        <v>999</v>
      </c>
      <c r="E97" s="9" t="s">
        <v>1448</v>
      </c>
      <c r="F97" s="9" t="s">
        <v>1734</v>
      </c>
      <c r="H97" s="9"/>
    </row>
    <row r="98" ht="14.25" customHeight="1">
      <c r="C98" s="9" t="s">
        <v>1541</v>
      </c>
      <c r="D98" s="9" t="s">
        <v>999</v>
      </c>
      <c r="E98" s="9" t="s">
        <v>1448</v>
      </c>
      <c r="F98" s="9" t="s">
        <v>2352</v>
      </c>
      <c r="H98" s="9"/>
    </row>
    <row r="99" ht="14.25" customHeight="1">
      <c r="C99" s="9" t="s">
        <v>1541</v>
      </c>
      <c r="D99" s="9" t="s">
        <v>1002</v>
      </c>
      <c r="E99" s="9" t="s">
        <v>1448</v>
      </c>
      <c r="F99" s="9" t="s">
        <v>1809</v>
      </c>
      <c r="H99" s="9"/>
    </row>
    <row r="100" ht="14.25" customHeight="1">
      <c r="C100" s="9" t="s">
        <v>1541</v>
      </c>
      <c r="D100" s="9" t="s">
        <v>1002</v>
      </c>
      <c r="E100" s="9" t="s">
        <v>1448</v>
      </c>
      <c r="F100" s="9" t="s">
        <v>1811</v>
      </c>
      <c r="H100" s="9"/>
    </row>
    <row r="101" ht="14.25" customHeight="1">
      <c r="C101" s="9" t="s">
        <v>1541</v>
      </c>
      <c r="D101" s="9" t="s">
        <v>1002</v>
      </c>
      <c r="E101" s="9" t="s">
        <v>1448</v>
      </c>
      <c r="F101" s="9" t="s">
        <v>1801</v>
      </c>
      <c r="H101" s="9"/>
    </row>
    <row r="102" ht="14.25" customHeight="1">
      <c r="C102" s="9" t="s">
        <v>1541</v>
      </c>
      <c r="D102" s="9" t="s">
        <v>1002</v>
      </c>
      <c r="E102" s="9" t="s">
        <v>1448</v>
      </c>
      <c r="F102" s="9" t="s">
        <v>1803</v>
      </c>
      <c r="H102" s="9"/>
    </row>
    <row r="103" ht="14.25" customHeight="1">
      <c r="C103" s="9" t="s">
        <v>1541</v>
      </c>
      <c r="D103" s="9" t="s">
        <v>1002</v>
      </c>
      <c r="E103" s="9" t="s">
        <v>1448</v>
      </c>
      <c r="F103" s="9" t="s">
        <v>1806</v>
      </c>
      <c r="H103" s="9"/>
    </row>
    <row r="104" ht="14.25" customHeight="1">
      <c r="C104" s="9" t="s">
        <v>1541</v>
      </c>
      <c r="D104" s="9" t="s">
        <v>1072</v>
      </c>
      <c r="E104" s="9" t="s">
        <v>1448</v>
      </c>
      <c r="F104" s="9" t="s">
        <v>2356</v>
      </c>
      <c r="H104" s="9"/>
    </row>
    <row r="105" ht="14.25" customHeight="1">
      <c r="C105" s="9" t="s">
        <v>1541</v>
      </c>
      <c r="D105" s="9" t="s">
        <v>1072</v>
      </c>
      <c r="E105" s="9" t="s">
        <v>1448</v>
      </c>
      <c r="F105" s="9" t="s">
        <v>2358</v>
      </c>
      <c r="H105" s="9"/>
    </row>
    <row r="106" ht="14.25" customHeight="1">
      <c r="C106" s="9" t="s">
        <v>1541</v>
      </c>
      <c r="D106" s="9" t="s">
        <v>1072</v>
      </c>
      <c r="E106" s="9" t="s">
        <v>1448</v>
      </c>
      <c r="F106" s="9" t="s">
        <v>2359</v>
      </c>
      <c r="H106" s="9"/>
    </row>
    <row r="107" ht="14.25" customHeight="1">
      <c r="C107" s="9" t="s">
        <v>1541</v>
      </c>
      <c r="D107" s="9" t="s">
        <v>1072</v>
      </c>
      <c r="E107" s="9" t="s">
        <v>1448</v>
      </c>
      <c r="F107" s="9" t="s">
        <v>2360</v>
      </c>
      <c r="H107" s="9"/>
    </row>
    <row r="108" ht="14.25" customHeight="1">
      <c r="C108" s="9" t="s">
        <v>1541</v>
      </c>
      <c r="D108" s="9" t="s">
        <v>1072</v>
      </c>
      <c r="E108" s="9" t="s">
        <v>1448</v>
      </c>
      <c r="F108" s="9" t="s">
        <v>2362</v>
      </c>
      <c r="H108" s="9"/>
    </row>
    <row r="109" ht="14.25" customHeight="1">
      <c r="C109" s="9" t="s">
        <v>1541</v>
      </c>
      <c r="D109" s="9" t="s">
        <v>1072</v>
      </c>
      <c r="E109" s="9" t="s">
        <v>1448</v>
      </c>
      <c r="F109" s="9" t="s">
        <v>2363</v>
      </c>
      <c r="H109" s="9"/>
    </row>
    <row r="110" ht="14.25" customHeight="1">
      <c r="C110" s="9" t="s">
        <v>1541</v>
      </c>
      <c r="D110" s="9" t="s">
        <v>1072</v>
      </c>
      <c r="E110" s="9" t="s">
        <v>1448</v>
      </c>
      <c r="F110" s="9" t="s">
        <v>2365</v>
      </c>
      <c r="H110" s="9"/>
    </row>
    <row r="111" ht="14.25" customHeight="1">
      <c r="C111" s="9" t="s">
        <v>1541</v>
      </c>
      <c r="D111" s="9" t="s">
        <v>1072</v>
      </c>
      <c r="E111" s="9" t="s">
        <v>1448</v>
      </c>
      <c r="F111" s="9" t="s">
        <v>2366</v>
      </c>
      <c r="H111" s="9"/>
    </row>
    <row r="112" ht="14.25" customHeight="1">
      <c r="C112" s="9" t="s">
        <v>1541</v>
      </c>
      <c r="D112" s="9" t="s">
        <v>1072</v>
      </c>
      <c r="E112" s="9" t="s">
        <v>1448</v>
      </c>
      <c r="F112" s="9" t="s">
        <v>2367</v>
      </c>
      <c r="H112" s="9"/>
    </row>
    <row r="113" ht="14.25" customHeight="1">
      <c r="C113" s="9" t="s">
        <v>1541</v>
      </c>
      <c r="D113" s="9" t="s">
        <v>1072</v>
      </c>
      <c r="E113" s="9" t="s">
        <v>1448</v>
      </c>
      <c r="F113" s="9" t="s">
        <v>2368</v>
      </c>
      <c r="H113" s="9"/>
    </row>
    <row r="114" ht="14.25" customHeight="1">
      <c r="C114" s="9" t="s">
        <v>1541</v>
      </c>
      <c r="D114" s="9" t="s">
        <v>1493</v>
      </c>
      <c r="E114" s="9" t="s">
        <v>1448</v>
      </c>
      <c r="F114" s="9" t="s">
        <v>1497</v>
      </c>
      <c r="H114" s="9"/>
    </row>
    <row r="115" ht="14.25" customHeight="1">
      <c r="C115" s="9" t="s">
        <v>1541</v>
      </c>
      <c r="D115" s="9" t="s">
        <v>1493</v>
      </c>
      <c r="E115" s="9" t="s">
        <v>1448</v>
      </c>
      <c r="F115" s="9" t="s">
        <v>1498</v>
      </c>
      <c r="H115" s="9"/>
    </row>
    <row r="116" ht="14.25" customHeight="1">
      <c r="C116" s="9" t="s">
        <v>1541</v>
      </c>
      <c r="D116" s="9" t="s">
        <v>1493</v>
      </c>
      <c r="E116" s="9" t="s">
        <v>1448</v>
      </c>
      <c r="F116" s="9" t="s">
        <v>1496</v>
      </c>
      <c r="H116" s="9"/>
    </row>
    <row r="117" ht="14.25" customHeight="1">
      <c r="C117" s="9" t="s">
        <v>1541</v>
      </c>
      <c r="D117" s="9" t="s">
        <v>1493</v>
      </c>
      <c r="E117" s="9" t="s">
        <v>1448</v>
      </c>
      <c r="F117" s="9" t="s">
        <v>1502</v>
      </c>
      <c r="H117" s="9"/>
    </row>
    <row r="118" ht="14.25" customHeight="1">
      <c r="C118" s="9" t="s">
        <v>1541</v>
      </c>
      <c r="D118" s="9" t="s">
        <v>1493</v>
      </c>
      <c r="E118" s="9" t="s">
        <v>1448</v>
      </c>
      <c r="F118" s="9" t="s">
        <v>1499</v>
      </c>
      <c r="H118" s="9"/>
    </row>
    <row r="119" ht="14.25" customHeight="1">
      <c r="C119" s="9" t="s">
        <v>1541</v>
      </c>
      <c r="D119" s="9" t="s">
        <v>1493</v>
      </c>
      <c r="E119" s="9" t="s">
        <v>1448</v>
      </c>
      <c r="F119" s="9" t="s">
        <v>1495</v>
      </c>
      <c r="H119" s="9"/>
    </row>
    <row r="120" ht="14.25" customHeight="1">
      <c r="C120" s="9" t="s">
        <v>1541</v>
      </c>
      <c r="D120" s="9" t="s">
        <v>1493</v>
      </c>
      <c r="E120" s="9" t="s">
        <v>1448</v>
      </c>
      <c r="F120" s="9" t="s">
        <v>1503</v>
      </c>
      <c r="H120" s="9"/>
    </row>
    <row r="121" ht="14.25" customHeight="1">
      <c r="C121" s="9" t="s">
        <v>1541</v>
      </c>
      <c r="D121" s="9" t="s">
        <v>1493</v>
      </c>
      <c r="E121" s="9" t="s">
        <v>1448</v>
      </c>
      <c r="F121" s="9" t="s">
        <v>1494</v>
      </c>
      <c r="H121" s="9"/>
    </row>
    <row r="122" ht="14.25" customHeight="1">
      <c r="C122" s="9" t="s">
        <v>1541</v>
      </c>
      <c r="D122" s="9" t="s">
        <v>1089</v>
      </c>
      <c r="E122" s="9" t="s">
        <v>1448</v>
      </c>
      <c r="F122" s="9" t="s">
        <v>1713</v>
      </c>
      <c r="H122" s="9"/>
    </row>
    <row r="123" ht="14.25" customHeight="1">
      <c r="C123" s="9" t="s">
        <v>1541</v>
      </c>
      <c r="D123" s="9" t="s">
        <v>1089</v>
      </c>
      <c r="E123" s="9" t="s">
        <v>1448</v>
      </c>
      <c r="F123" s="9" t="s">
        <v>1717</v>
      </c>
      <c r="H123" s="9"/>
    </row>
    <row r="124" ht="14.25" customHeight="1">
      <c r="C124" s="9" t="s">
        <v>1541</v>
      </c>
      <c r="D124" s="9" t="s">
        <v>1089</v>
      </c>
      <c r="E124" s="9" t="s">
        <v>1448</v>
      </c>
      <c r="F124" s="9" t="s">
        <v>1708</v>
      </c>
      <c r="H124" s="9"/>
    </row>
    <row r="125" ht="14.25" customHeight="1">
      <c r="C125" s="9" t="s">
        <v>1541</v>
      </c>
      <c r="D125" s="9" t="s">
        <v>1089</v>
      </c>
      <c r="E125" s="9" t="s">
        <v>1448</v>
      </c>
      <c r="F125" s="9" t="s">
        <v>1720</v>
      </c>
      <c r="H125" s="9"/>
    </row>
    <row r="126" ht="14.25" customHeight="1">
      <c r="C126" s="9" t="s">
        <v>1541</v>
      </c>
      <c r="D126" s="9" t="s">
        <v>1089</v>
      </c>
      <c r="E126" s="9" t="s">
        <v>1448</v>
      </c>
      <c r="F126" s="9" t="s">
        <v>1723</v>
      </c>
      <c r="H126" s="9"/>
    </row>
    <row r="127" ht="14.25" customHeight="1">
      <c r="C127" s="9" t="s">
        <v>1541</v>
      </c>
      <c r="D127" s="9" t="s">
        <v>1126</v>
      </c>
      <c r="E127" s="9" t="s">
        <v>1448</v>
      </c>
      <c r="F127" s="9" t="s">
        <v>1674</v>
      </c>
      <c r="H127" s="9"/>
    </row>
    <row r="128" ht="14.25" customHeight="1">
      <c r="C128" s="9" t="s">
        <v>1541</v>
      </c>
      <c r="D128" s="9" t="s">
        <v>1126</v>
      </c>
      <c r="E128" s="9" t="s">
        <v>1448</v>
      </c>
      <c r="F128" s="9" t="s">
        <v>1680</v>
      </c>
      <c r="H128" s="9"/>
    </row>
    <row r="129" ht="14.25" customHeight="1">
      <c r="C129" s="9" t="s">
        <v>1541</v>
      </c>
      <c r="D129" s="9" t="s">
        <v>1126</v>
      </c>
      <c r="E129" s="9" t="s">
        <v>1448</v>
      </c>
      <c r="F129" s="9" t="s">
        <v>1660</v>
      </c>
      <c r="H129" s="9"/>
    </row>
    <row r="130" ht="14.25" customHeight="1">
      <c r="C130" s="9" t="s">
        <v>1541</v>
      </c>
      <c r="D130" s="9" t="s">
        <v>1126</v>
      </c>
      <c r="E130" s="9" t="s">
        <v>1448</v>
      </c>
      <c r="F130" s="9" t="s">
        <v>1663</v>
      </c>
      <c r="H130" s="9"/>
    </row>
    <row r="131" ht="14.25" customHeight="1">
      <c r="C131" s="9" t="s">
        <v>1541</v>
      </c>
      <c r="D131" s="9" t="s">
        <v>1126</v>
      </c>
      <c r="E131" s="9" t="s">
        <v>1448</v>
      </c>
      <c r="F131" s="9" t="s">
        <v>1658</v>
      </c>
      <c r="H131" s="9"/>
    </row>
    <row r="132" ht="14.25" customHeight="1">
      <c r="C132" s="9" t="s">
        <v>1541</v>
      </c>
      <c r="D132" s="9" t="s">
        <v>1126</v>
      </c>
      <c r="E132" s="9" t="s">
        <v>1448</v>
      </c>
      <c r="F132" s="9" t="s">
        <v>1676</v>
      </c>
      <c r="H132" s="9"/>
    </row>
    <row r="133" ht="14.25" customHeight="1">
      <c r="C133" s="9" t="s">
        <v>1541</v>
      </c>
      <c r="D133" s="9" t="s">
        <v>1126</v>
      </c>
      <c r="E133" s="9" t="s">
        <v>1448</v>
      </c>
      <c r="F133" s="9" t="s">
        <v>1681</v>
      </c>
      <c r="H133" s="9"/>
    </row>
    <row r="134" ht="14.25" customHeight="1">
      <c r="C134" s="9" t="s">
        <v>1541</v>
      </c>
      <c r="D134" s="9" t="s">
        <v>1126</v>
      </c>
      <c r="E134" s="9" t="s">
        <v>1448</v>
      </c>
      <c r="F134" s="9" t="s">
        <v>1666</v>
      </c>
      <c r="H134" s="9"/>
    </row>
    <row r="135" ht="14.25" customHeight="1">
      <c r="C135" s="9" t="s">
        <v>1541</v>
      </c>
      <c r="D135" s="9" t="s">
        <v>1126</v>
      </c>
      <c r="E135" s="9" t="s">
        <v>1448</v>
      </c>
      <c r="F135" s="9" t="s">
        <v>1679</v>
      </c>
      <c r="H135" s="9"/>
    </row>
    <row r="136" ht="14.25" customHeight="1">
      <c r="C136" s="9" t="s">
        <v>1541</v>
      </c>
      <c r="D136" s="9" t="s">
        <v>1126</v>
      </c>
      <c r="E136" s="9" t="s">
        <v>1448</v>
      </c>
      <c r="F136" s="9" t="s">
        <v>1682</v>
      </c>
      <c r="H136" s="9"/>
    </row>
    <row r="137" ht="14.25" customHeight="1">
      <c r="C137" s="9" t="s">
        <v>1541</v>
      </c>
      <c r="D137" s="9" t="s">
        <v>1126</v>
      </c>
      <c r="E137" s="9" t="s">
        <v>1448</v>
      </c>
      <c r="F137" s="9" t="s">
        <v>1684</v>
      </c>
      <c r="H137" s="9"/>
    </row>
    <row r="138" ht="14.25" customHeight="1">
      <c r="C138" s="9" t="s">
        <v>1541</v>
      </c>
      <c r="D138" s="9" t="s">
        <v>1126</v>
      </c>
      <c r="E138" s="9" t="s">
        <v>1448</v>
      </c>
      <c r="F138" s="9" t="s">
        <v>1672</v>
      </c>
      <c r="H138" s="9"/>
    </row>
    <row r="139" ht="14.25" customHeight="1">
      <c r="C139" s="9" t="s">
        <v>1541</v>
      </c>
      <c r="D139" s="9" t="s">
        <v>1126</v>
      </c>
      <c r="E139" s="9" t="s">
        <v>1448</v>
      </c>
      <c r="F139" s="9" t="s">
        <v>1669</v>
      </c>
      <c r="H139" s="9"/>
    </row>
    <row r="140" ht="14.25" customHeight="1">
      <c r="C140" s="9" t="s">
        <v>1541</v>
      </c>
      <c r="D140" s="9" t="s">
        <v>1126</v>
      </c>
      <c r="E140" s="9" t="s">
        <v>1448</v>
      </c>
      <c r="F140" s="9" t="s">
        <v>1688</v>
      </c>
      <c r="H140" s="9"/>
    </row>
    <row r="141" ht="14.25" customHeight="1">
      <c r="C141" s="9" t="s">
        <v>1541</v>
      </c>
      <c r="D141" s="9" t="s">
        <v>1837</v>
      </c>
      <c r="E141" s="9" t="s">
        <v>1448</v>
      </c>
      <c r="F141" s="9" t="s">
        <v>1706</v>
      </c>
      <c r="H141" s="9"/>
    </row>
    <row r="142" ht="14.25" customHeight="1">
      <c r="C142" s="9" t="s">
        <v>1541</v>
      </c>
      <c r="D142" s="9" t="s">
        <v>1837</v>
      </c>
      <c r="E142" s="9" t="s">
        <v>1448</v>
      </c>
      <c r="F142" s="9" t="s">
        <v>1852</v>
      </c>
      <c r="H142" s="9"/>
    </row>
    <row r="143" ht="14.25" customHeight="1">
      <c r="C143" s="9" t="s">
        <v>1541</v>
      </c>
      <c r="D143" s="9" t="s">
        <v>1837</v>
      </c>
      <c r="E143" s="9" t="s">
        <v>1448</v>
      </c>
      <c r="F143" s="9" t="s">
        <v>1701</v>
      </c>
      <c r="H143" s="9"/>
    </row>
    <row r="144" ht="14.25" customHeight="1">
      <c r="C144" s="9" t="s">
        <v>1541</v>
      </c>
      <c r="D144" s="9" t="s">
        <v>1837</v>
      </c>
      <c r="E144" s="9" t="s">
        <v>1448</v>
      </c>
      <c r="F144" s="9" t="s">
        <v>1707</v>
      </c>
      <c r="H144" s="9"/>
    </row>
    <row r="145" ht="14.25" customHeight="1">
      <c r="C145" s="9" t="s">
        <v>1541</v>
      </c>
      <c r="D145" s="9" t="s">
        <v>1837</v>
      </c>
      <c r="E145" s="9" t="s">
        <v>1448</v>
      </c>
      <c r="F145" s="9" t="s">
        <v>1704</v>
      </c>
      <c r="H145" s="9"/>
    </row>
    <row r="146" ht="14.25" customHeight="1">
      <c r="C146" s="9" t="s">
        <v>1541</v>
      </c>
      <c r="D146" s="9" t="s">
        <v>1837</v>
      </c>
      <c r="E146" s="9" t="s">
        <v>1448</v>
      </c>
      <c r="F146" s="9" t="s">
        <v>1710</v>
      </c>
      <c r="H146" s="9"/>
    </row>
    <row r="147" ht="14.25" customHeight="1">
      <c r="C147" s="9" t="s">
        <v>1541</v>
      </c>
      <c r="D147" s="9" t="s">
        <v>1837</v>
      </c>
      <c r="E147" s="9" t="s">
        <v>1448</v>
      </c>
      <c r="F147" s="9" t="s">
        <v>1848</v>
      </c>
      <c r="H147" s="9"/>
    </row>
    <row r="148" ht="14.25" customHeight="1">
      <c r="C148" s="9" t="s">
        <v>1541</v>
      </c>
      <c r="D148" s="9" t="s">
        <v>1837</v>
      </c>
      <c r="E148" s="9" t="s">
        <v>1448</v>
      </c>
      <c r="F148" s="9" t="s">
        <v>1698</v>
      </c>
      <c r="H148" s="9"/>
    </row>
    <row r="149" ht="14.25" customHeight="1">
      <c r="C149" s="9" t="s">
        <v>1541</v>
      </c>
      <c r="D149" s="9" t="s">
        <v>1837</v>
      </c>
      <c r="E149" s="9" t="s">
        <v>1448</v>
      </c>
      <c r="F149" s="9" t="s">
        <v>1702</v>
      </c>
      <c r="H149" s="9"/>
    </row>
    <row r="150" ht="14.25" customHeight="1">
      <c r="C150" s="9" t="s">
        <v>1541</v>
      </c>
      <c r="D150" s="9" t="s">
        <v>1837</v>
      </c>
      <c r="E150" s="9" t="s">
        <v>1448</v>
      </c>
      <c r="F150" s="9" t="s">
        <v>1699</v>
      </c>
      <c r="H150" s="9"/>
    </row>
    <row r="151" ht="14.25" customHeight="1">
      <c r="C151" s="9" t="s">
        <v>1541</v>
      </c>
      <c r="D151" s="9" t="s">
        <v>1158</v>
      </c>
      <c r="E151" s="9" t="s">
        <v>1448</v>
      </c>
      <c r="F151" s="9" t="s">
        <v>1745</v>
      </c>
      <c r="H151" s="9"/>
    </row>
    <row r="152" ht="14.25" customHeight="1">
      <c r="C152" s="9" t="s">
        <v>1541</v>
      </c>
      <c r="D152" s="9" t="s">
        <v>1158</v>
      </c>
      <c r="E152" s="9" t="s">
        <v>1448</v>
      </c>
      <c r="F152" s="9" t="s">
        <v>1743</v>
      </c>
      <c r="H152" s="9"/>
    </row>
    <row r="153" ht="14.25" customHeight="1">
      <c r="C153" s="9" t="s">
        <v>1541</v>
      </c>
      <c r="D153" s="9" t="s">
        <v>1158</v>
      </c>
      <c r="E153" s="9" t="s">
        <v>1448</v>
      </c>
      <c r="F153" s="9" t="s">
        <v>1748</v>
      </c>
      <c r="H153" s="9"/>
    </row>
    <row r="154" ht="14.25" customHeight="1">
      <c r="C154" s="9" t="s">
        <v>1541</v>
      </c>
      <c r="D154" s="9" t="s">
        <v>1158</v>
      </c>
      <c r="E154" s="9" t="s">
        <v>1448</v>
      </c>
      <c r="F154" s="9" t="s">
        <v>1746</v>
      </c>
      <c r="H154" s="9"/>
    </row>
    <row r="155" ht="14.25" customHeight="1">
      <c r="C155" s="9" t="s">
        <v>1541</v>
      </c>
      <c r="D155" s="9" t="s">
        <v>1158</v>
      </c>
      <c r="E155" s="9" t="s">
        <v>1448</v>
      </c>
      <c r="F155" s="9" t="s">
        <v>2386</v>
      </c>
      <c r="H155" s="9"/>
    </row>
    <row r="156" ht="14.25" customHeight="1">
      <c r="C156" s="9" t="s">
        <v>1541</v>
      </c>
      <c r="D156" s="9" t="s">
        <v>1158</v>
      </c>
      <c r="E156" s="9" t="s">
        <v>1448</v>
      </c>
      <c r="F156" s="9" t="s">
        <v>2387</v>
      </c>
      <c r="H156" s="9"/>
    </row>
    <row r="157" ht="14.25" customHeight="1">
      <c r="C157" s="9" t="s">
        <v>1541</v>
      </c>
      <c r="D157" s="9" t="s">
        <v>1158</v>
      </c>
      <c r="E157" s="9" t="s">
        <v>1448</v>
      </c>
      <c r="F157" s="9" t="s">
        <v>2388</v>
      </c>
      <c r="H157" s="9"/>
    </row>
    <row r="158" ht="14.25" customHeight="1">
      <c r="C158" s="9" t="s">
        <v>1541</v>
      </c>
      <c r="D158" s="9" t="s">
        <v>1158</v>
      </c>
      <c r="E158" s="9" t="s">
        <v>1448</v>
      </c>
      <c r="F158" s="9" t="s">
        <v>1747</v>
      </c>
      <c r="H158" s="9"/>
    </row>
    <row r="159" ht="14.25" customHeight="1">
      <c r="C159" s="9" t="s">
        <v>1541</v>
      </c>
      <c r="D159" s="9" t="s">
        <v>1158</v>
      </c>
      <c r="E159" s="9" t="s">
        <v>1448</v>
      </c>
      <c r="F159" s="9" t="s">
        <v>1749</v>
      </c>
      <c r="H159" s="9"/>
    </row>
    <row r="160" ht="14.25" customHeight="1">
      <c r="C160" s="9" t="s">
        <v>1541</v>
      </c>
      <c r="D160" s="9" t="s">
        <v>1163</v>
      </c>
      <c r="E160" s="9" t="s">
        <v>1448</v>
      </c>
      <c r="F160" s="9" t="s">
        <v>1741</v>
      </c>
      <c r="H160" s="9"/>
    </row>
    <row r="161" ht="14.25" customHeight="1">
      <c r="C161" s="9" t="s">
        <v>1541</v>
      </c>
      <c r="D161" s="9" t="s">
        <v>1163</v>
      </c>
      <c r="E161" s="9" t="s">
        <v>1448</v>
      </c>
      <c r="F161" s="9" t="s">
        <v>1740</v>
      </c>
      <c r="H161" s="9"/>
    </row>
    <row r="162" ht="14.25" customHeight="1">
      <c r="C162" s="9" t="s">
        <v>1541</v>
      </c>
      <c r="D162" s="9" t="s">
        <v>1163</v>
      </c>
      <c r="E162" s="9" t="s">
        <v>1448</v>
      </c>
      <c r="F162" s="9" t="s">
        <v>2389</v>
      </c>
      <c r="H162" s="9"/>
    </row>
    <row r="163" ht="14.25" customHeight="1">
      <c r="C163" s="9" t="s">
        <v>1541</v>
      </c>
      <c r="D163" s="9" t="s">
        <v>1163</v>
      </c>
      <c r="E163" s="9" t="s">
        <v>1448</v>
      </c>
      <c r="F163" s="9" t="s">
        <v>1737</v>
      </c>
      <c r="H163" s="9"/>
    </row>
    <row r="164" ht="14.25" customHeight="1">
      <c r="C164" s="9" t="s">
        <v>1541</v>
      </c>
      <c r="D164" s="9" t="s">
        <v>1163</v>
      </c>
      <c r="E164" s="9" t="s">
        <v>1448</v>
      </c>
      <c r="F164" s="9" t="s">
        <v>1735</v>
      </c>
      <c r="H164" s="9"/>
    </row>
    <row r="165" ht="14.25" customHeight="1">
      <c r="C165" s="9" t="s">
        <v>1541</v>
      </c>
      <c r="D165" s="9" t="s">
        <v>1163</v>
      </c>
      <c r="E165" s="9" t="s">
        <v>1448</v>
      </c>
      <c r="F165" s="9" t="s">
        <v>1739</v>
      </c>
      <c r="H165" s="9"/>
    </row>
    <row r="166" ht="14.25" customHeight="1">
      <c r="C166" s="9" t="s">
        <v>1541</v>
      </c>
      <c r="D166" s="9" t="s">
        <v>1163</v>
      </c>
      <c r="E166" s="9" t="s">
        <v>1448</v>
      </c>
      <c r="F166" s="9" t="s">
        <v>1732</v>
      </c>
      <c r="H166" s="9"/>
    </row>
    <row r="167" ht="14.25" customHeight="1">
      <c r="C167" s="9" t="s">
        <v>1541</v>
      </c>
      <c r="D167" s="9" t="s">
        <v>1163</v>
      </c>
      <c r="E167" s="9" t="s">
        <v>1448</v>
      </c>
      <c r="F167" s="9" t="s">
        <v>2390</v>
      </c>
      <c r="H167" s="9"/>
    </row>
    <row r="168" ht="14.25" customHeight="1">
      <c r="C168" s="9" t="s">
        <v>1541</v>
      </c>
      <c r="D168" s="9" t="s">
        <v>1163</v>
      </c>
      <c r="E168" s="9" t="s">
        <v>1448</v>
      </c>
      <c r="F168" s="9" t="s">
        <v>2391</v>
      </c>
      <c r="H168" s="9"/>
    </row>
    <row r="169" ht="14.25" customHeight="1">
      <c r="C169" s="9" t="s">
        <v>1541</v>
      </c>
      <c r="D169" s="9" t="s">
        <v>1163</v>
      </c>
      <c r="E169" s="9" t="s">
        <v>1448</v>
      </c>
      <c r="F169" s="9" t="s">
        <v>2392</v>
      </c>
      <c r="H169" s="9"/>
    </row>
    <row r="170" ht="14.25" customHeight="1">
      <c r="C170" s="9" t="s">
        <v>1541</v>
      </c>
      <c r="D170" s="9" t="s">
        <v>1163</v>
      </c>
      <c r="E170" s="9" t="s">
        <v>1448</v>
      </c>
      <c r="F170" s="9" t="s">
        <v>2393</v>
      </c>
      <c r="H170" s="9"/>
    </row>
    <row r="171" ht="14.25" customHeight="1">
      <c r="C171" s="9" t="s">
        <v>1541</v>
      </c>
      <c r="D171" s="9" t="s">
        <v>1163</v>
      </c>
      <c r="E171" s="9" t="s">
        <v>1448</v>
      </c>
      <c r="F171" s="9" t="s">
        <v>2394</v>
      </c>
      <c r="H171" s="9"/>
    </row>
    <row r="172" ht="14.25" customHeight="1">
      <c r="C172" s="9" t="s">
        <v>1541</v>
      </c>
      <c r="D172" s="9" t="s">
        <v>1163</v>
      </c>
      <c r="E172" s="9" t="s">
        <v>1448</v>
      </c>
      <c r="F172" s="9" t="s">
        <v>2396</v>
      </c>
      <c r="H172" s="9"/>
    </row>
    <row r="173" ht="14.25" customHeight="1">
      <c r="C173" s="9" t="s">
        <v>1541</v>
      </c>
      <c r="D173" s="9" t="s">
        <v>1163</v>
      </c>
      <c r="E173" s="9" t="s">
        <v>1448</v>
      </c>
      <c r="F173" s="9" t="s">
        <v>2397</v>
      </c>
      <c r="H173" s="9"/>
    </row>
    <row r="174" ht="14.25" customHeight="1">
      <c r="C174" s="9" t="s">
        <v>1541</v>
      </c>
      <c r="D174" s="9" t="s">
        <v>1163</v>
      </c>
      <c r="E174" s="9" t="s">
        <v>1448</v>
      </c>
      <c r="F174" s="9" t="s">
        <v>2398</v>
      </c>
      <c r="H174" s="9"/>
    </row>
    <row r="175" ht="14.25" customHeight="1">
      <c r="C175" s="9" t="s">
        <v>1541</v>
      </c>
      <c r="D175" s="9" t="s">
        <v>1163</v>
      </c>
      <c r="E175" s="9" t="s">
        <v>1448</v>
      </c>
      <c r="F175" s="9" t="s">
        <v>2399</v>
      </c>
      <c r="H175" s="9"/>
    </row>
    <row r="176" ht="14.25" customHeight="1">
      <c r="C176" s="9" t="s">
        <v>1541</v>
      </c>
      <c r="D176" s="9" t="s">
        <v>1692</v>
      </c>
      <c r="E176" s="9" t="s">
        <v>1448</v>
      </c>
      <c r="F176" s="9" t="s">
        <v>2400</v>
      </c>
      <c r="H176" s="9"/>
    </row>
    <row r="177" ht="14.25" customHeight="1">
      <c r="C177" s="9" t="s">
        <v>1541</v>
      </c>
      <c r="D177" s="9" t="s">
        <v>1692</v>
      </c>
      <c r="E177" s="9" t="s">
        <v>1448</v>
      </c>
      <c r="F177" s="9" t="s">
        <v>2401</v>
      </c>
      <c r="H177" s="9"/>
    </row>
    <row r="178" ht="14.25" customHeight="1">
      <c r="C178" s="9" t="s">
        <v>1541</v>
      </c>
      <c r="D178" s="9" t="s">
        <v>1692</v>
      </c>
      <c r="E178" s="9" t="s">
        <v>1448</v>
      </c>
      <c r="F178" s="9" t="s">
        <v>2402</v>
      </c>
      <c r="H178" s="9"/>
    </row>
    <row r="179" ht="14.25" customHeight="1">
      <c r="C179" s="9" t="s">
        <v>1541</v>
      </c>
      <c r="D179" s="9" t="s">
        <v>1692</v>
      </c>
      <c r="E179" s="9" t="s">
        <v>1448</v>
      </c>
      <c r="F179" s="9" t="s">
        <v>1693</v>
      </c>
      <c r="H179" s="9"/>
    </row>
    <row r="180" ht="14.25" customHeight="1">
      <c r="C180" s="9" t="s">
        <v>1541</v>
      </c>
      <c r="D180" s="9" t="s">
        <v>1692</v>
      </c>
      <c r="E180" s="9" t="s">
        <v>1448</v>
      </c>
      <c r="F180" s="9" t="s">
        <v>1700</v>
      </c>
      <c r="H180" s="9"/>
    </row>
    <row r="181" ht="14.25" customHeight="1">
      <c r="C181" s="9" t="s">
        <v>1541</v>
      </c>
      <c r="D181" s="9" t="s">
        <v>1692</v>
      </c>
      <c r="E181" s="9" t="s">
        <v>1448</v>
      </c>
      <c r="F181" s="9" t="s">
        <v>2403</v>
      </c>
      <c r="H181" s="9"/>
    </row>
    <row r="182" ht="14.25" customHeight="1">
      <c r="C182" s="9" t="s">
        <v>1541</v>
      </c>
      <c r="D182" s="9" t="s">
        <v>1692</v>
      </c>
      <c r="E182" s="9" t="s">
        <v>1448</v>
      </c>
      <c r="F182" s="9" t="s">
        <v>1697</v>
      </c>
      <c r="H182" s="9"/>
    </row>
    <row r="183" ht="14.25" customHeight="1">
      <c r="C183" s="9" t="s">
        <v>1541</v>
      </c>
      <c r="D183" s="9" t="s">
        <v>1692</v>
      </c>
      <c r="E183" s="9" t="s">
        <v>1448</v>
      </c>
      <c r="F183" s="9" t="s">
        <v>2404</v>
      </c>
      <c r="H183" s="9"/>
    </row>
    <row r="184" ht="14.25" customHeight="1">
      <c r="C184" s="9" t="s">
        <v>1541</v>
      </c>
      <c r="D184" s="9" t="s">
        <v>1692</v>
      </c>
      <c r="E184" s="9" t="s">
        <v>1448</v>
      </c>
      <c r="F184" s="9" t="s">
        <v>1703</v>
      </c>
      <c r="H184" s="9"/>
    </row>
    <row r="185" ht="14.25" customHeight="1">
      <c r="C185" s="9" t="s">
        <v>1541</v>
      </c>
      <c r="D185" s="9" t="s">
        <v>1770</v>
      </c>
      <c r="E185" s="9" t="s">
        <v>1448</v>
      </c>
      <c r="F185" s="9" t="s">
        <v>1782</v>
      </c>
      <c r="H185" s="9"/>
    </row>
    <row r="186" ht="14.25" customHeight="1">
      <c r="C186" s="9" t="s">
        <v>1541</v>
      </c>
      <c r="D186" s="9" t="s">
        <v>1770</v>
      </c>
      <c r="E186" s="9" t="s">
        <v>1448</v>
      </c>
      <c r="F186" s="9" t="s">
        <v>1785</v>
      </c>
      <c r="H186" s="9"/>
    </row>
    <row r="187" ht="14.25" customHeight="1">
      <c r="C187" s="9" t="s">
        <v>1541</v>
      </c>
      <c r="D187" s="9" t="s">
        <v>1770</v>
      </c>
      <c r="E187" s="9" t="s">
        <v>1448</v>
      </c>
      <c r="F187" s="9" t="s">
        <v>1788</v>
      </c>
      <c r="H187" s="9"/>
    </row>
    <row r="188" ht="14.25" customHeight="1">
      <c r="C188" s="9" t="s">
        <v>1541</v>
      </c>
      <c r="D188" s="9" t="s">
        <v>1770</v>
      </c>
      <c r="E188" s="9" t="s">
        <v>1448</v>
      </c>
      <c r="F188" s="9" t="s">
        <v>1786</v>
      </c>
      <c r="H188" s="9"/>
    </row>
    <row r="189" ht="14.25" customHeight="1">
      <c r="C189" s="9" t="s">
        <v>1541</v>
      </c>
      <c r="D189" s="9" t="s">
        <v>1770</v>
      </c>
      <c r="E189" s="9" t="s">
        <v>1448</v>
      </c>
      <c r="F189" s="9" t="s">
        <v>2405</v>
      </c>
      <c r="H189" s="9"/>
    </row>
    <row r="190" ht="14.25" customHeight="1">
      <c r="C190" s="9" t="s">
        <v>1541</v>
      </c>
      <c r="D190" s="9" t="s">
        <v>1770</v>
      </c>
      <c r="E190" s="9" t="s">
        <v>1448</v>
      </c>
      <c r="F190" s="9" t="s">
        <v>1789</v>
      </c>
      <c r="H190" s="9"/>
    </row>
    <row r="191" ht="14.25" customHeight="1">
      <c r="C191" s="9" t="s">
        <v>1541</v>
      </c>
      <c r="D191" s="9" t="s">
        <v>1770</v>
      </c>
      <c r="E191" s="9" t="s">
        <v>1448</v>
      </c>
      <c r="F191" s="9" t="s">
        <v>1790</v>
      </c>
      <c r="H191" s="9"/>
    </row>
    <row r="192" ht="14.25" customHeight="1">
      <c r="C192" s="9" t="s">
        <v>1541</v>
      </c>
      <c r="D192" s="9" t="s">
        <v>1770</v>
      </c>
      <c r="E192" s="9" t="s">
        <v>1448</v>
      </c>
      <c r="F192" s="9" t="s">
        <v>1777</v>
      </c>
      <c r="H192" s="9"/>
    </row>
    <row r="193" ht="14.25" customHeight="1">
      <c r="C193" s="9" t="s">
        <v>1541</v>
      </c>
      <c r="D193" s="9" t="s">
        <v>1770</v>
      </c>
      <c r="E193" s="9" t="s">
        <v>1448</v>
      </c>
      <c r="F193" s="9" t="s">
        <v>1784</v>
      </c>
      <c r="H193" s="9"/>
    </row>
    <row r="194" ht="14.25" customHeight="1">
      <c r="C194" s="9" t="s">
        <v>1541</v>
      </c>
      <c r="D194" s="9" t="s">
        <v>1770</v>
      </c>
      <c r="E194" s="9" t="s">
        <v>1448</v>
      </c>
      <c r="F194" s="9" t="s">
        <v>1779</v>
      </c>
      <c r="H194" s="9"/>
    </row>
    <row r="195" ht="14.25" customHeight="1">
      <c r="C195" s="9" t="s">
        <v>1541</v>
      </c>
      <c r="D195" s="9" t="s">
        <v>1770</v>
      </c>
      <c r="E195" s="9" t="s">
        <v>1448</v>
      </c>
      <c r="F195" s="9" t="s">
        <v>1793</v>
      </c>
      <c r="H195" s="9"/>
    </row>
    <row r="196" ht="14.25" customHeight="1">
      <c r="C196" s="9" t="s">
        <v>1541</v>
      </c>
      <c r="D196" s="9" t="s">
        <v>1770</v>
      </c>
      <c r="E196" s="9" t="s">
        <v>1448</v>
      </c>
      <c r="F196" s="9" t="s">
        <v>1791</v>
      </c>
      <c r="H196" s="9"/>
    </row>
    <row r="197" ht="14.25" customHeight="1">
      <c r="C197" s="9" t="s">
        <v>1541</v>
      </c>
      <c r="D197" s="9" t="s">
        <v>1770</v>
      </c>
      <c r="E197" s="9" t="s">
        <v>1448</v>
      </c>
      <c r="F197" s="9" t="s">
        <v>1778</v>
      </c>
      <c r="H197" s="9"/>
    </row>
    <row r="198" ht="14.25" customHeight="1">
      <c r="C198" s="9" t="s">
        <v>1541</v>
      </c>
      <c r="D198" s="9" t="s">
        <v>1770</v>
      </c>
      <c r="E198" s="9" t="s">
        <v>1448</v>
      </c>
      <c r="F198" s="9" t="s">
        <v>1771</v>
      </c>
      <c r="H198" s="9"/>
    </row>
    <row r="199" ht="14.25" customHeight="1">
      <c r="C199" s="9" t="s">
        <v>1541</v>
      </c>
      <c r="D199" s="9" t="s">
        <v>1770</v>
      </c>
      <c r="E199" s="9" t="s">
        <v>1448</v>
      </c>
      <c r="F199" s="9" t="s">
        <v>1783</v>
      </c>
      <c r="H199" s="9"/>
    </row>
    <row r="200" ht="14.25" customHeight="1">
      <c r="C200" s="9" t="s">
        <v>1541</v>
      </c>
      <c r="D200" s="9" t="s">
        <v>1770</v>
      </c>
      <c r="E200" s="9" t="s">
        <v>1448</v>
      </c>
      <c r="F200" s="9" t="s">
        <v>1794</v>
      </c>
      <c r="H200" s="9"/>
    </row>
    <row r="201" ht="14.25" customHeight="1">
      <c r="C201" s="9" t="s">
        <v>1541</v>
      </c>
      <c r="D201" s="9" t="s">
        <v>1770</v>
      </c>
      <c r="E201" s="9" t="s">
        <v>1448</v>
      </c>
      <c r="F201" s="9" t="s">
        <v>1797</v>
      </c>
      <c r="H201" s="9"/>
    </row>
    <row r="202" ht="14.25" customHeight="1">
      <c r="C202" s="9" t="s">
        <v>1541</v>
      </c>
      <c r="D202" s="9" t="s">
        <v>1770</v>
      </c>
      <c r="E202" s="9" t="s">
        <v>1448</v>
      </c>
      <c r="F202" s="9" t="s">
        <v>2408</v>
      </c>
      <c r="H202" s="9"/>
    </row>
    <row r="203" ht="14.25" customHeight="1">
      <c r="C203" s="9" t="s">
        <v>1541</v>
      </c>
      <c r="D203" s="9" t="s">
        <v>1770</v>
      </c>
      <c r="E203" s="9" t="s">
        <v>1448</v>
      </c>
      <c r="F203" s="9" t="s">
        <v>2410</v>
      </c>
      <c r="H203" s="9"/>
    </row>
    <row r="204" ht="14.25" customHeight="1">
      <c r="C204" s="9" t="s">
        <v>1541</v>
      </c>
      <c r="D204" s="9" t="s">
        <v>2411</v>
      </c>
      <c r="E204" s="9" t="s">
        <v>1448</v>
      </c>
      <c r="F204" s="9" t="s">
        <v>2412</v>
      </c>
      <c r="H204" s="9"/>
    </row>
    <row r="205" ht="14.25" customHeight="1">
      <c r="C205" s="9" t="s">
        <v>1541</v>
      </c>
      <c r="D205" s="9" t="s">
        <v>2411</v>
      </c>
      <c r="E205" s="9" t="s">
        <v>1448</v>
      </c>
      <c r="F205" s="9" t="s">
        <v>2414</v>
      </c>
      <c r="H205" s="9"/>
    </row>
    <row r="206" ht="14.25" customHeight="1">
      <c r="C206" s="9" t="s">
        <v>1541</v>
      </c>
      <c r="D206" s="9" t="s">
        <v>2411</v>
      </c>
      <c r="E206" s="9" t="s">
        <v>1448</v>
      </c>
      <c r="F206" s="9" t="s">
        <v>2415</v>
      </c>
      <c r="H206" s="9"/>
    </row>
    <row r="207" ht="14.25" customHeight="1">
      <c r="C207" s="9" t="s">
        <v>1541</v>
      </c>
      <c r="D207" s="9" t="s">
        <v>2416</v>
      </c>
      <c r="E207" s="9" t="s">
        <v>1448</v>
      </c>
      <c r="F207" s="9" t="s">
        <v>2417</v>
      </c>
      <c r="H207" s="9"/>
    </row>
    <row r="208" ht="14.25" customHeight="1">
      <c r="C208" s="9" t="s">
        <v>1541</v>
      </c>
      <c r="D208" s="9" t="s">
        <v>2416</v>
      </c>
      <c r="E208" s="9" t="s">
        <v>1448</v>
      </c>
      <c r="F208" s="9" t="s">
        <v>2419</v>
      </c>
      <c r="H208" s="9"/>
    </row>
    <row r="209" ht="14.25" customHeight="1">
      <c r="C209" s="9" t="s">
        <v>1541</v>
      </c>
      <c r="D209" s="9" t="s">
        <v>2416</v>
      </c>
      <c r="E209" s="9" t="s">
        <v>1448</v>
      </c>
      <c r="F209" s="9" t="s">
        <v>2420</v>
      </c>
      <c r="H209" s="9"/>
    </row>
    <row r="210" ht="14.25" customHeight="1">
      <c r="C210" s="9" t="s">
        <v>1541</v>
      </c>
      <c r="D210" s="9" t="s">
        <v>2416</v>
      </c>
      <c r="E210" s="9" t="s">
        <v>1448</v>
      </c>
      <c r="F210" s="9" t="s">
        <v>2421</v>
      </c>
      <c r="H210" s="9"/>
    </row>
    <row r="211" ht="14.25" customHeight="1">
      <c r="C211" s="9" t="s">
        <v>1541</v>
      </c>
      <c r="D211" s="9" t="s">
        <v>2416</v>
      </c>
      <c r="E211" s="9" t="s">
        <v>1448</v>
      </c>
      <c r="F211" s="9" t="s">
        <v>2423</v>
      </c>
      <c r="H211" s="9"/>
    </row>
    <row r="212" ht="14.25" customHeight="1">
      <c r="C212" s="9" t="s">
        <v>1541</v>
      </c>
      <c r="D212" s="9" t="s">
        <v>2416</v>
      </c>
      <c r="E212" s="9" t="s">
        <v>1448</v>
      </c>
      <c r="F212" s="9" t="s">
        <v>2424</v>
      </c>
      <c r="H212" s="9"/>
    </row>
    <row r="213" ht="14.25" customHeight="1">
      <c r="C213" s="9" t="s">
        <v>1541</v>
      </c>
      <c r="D213" s="9" t="s">
        <v>2416</v>
      </c>
      <c r="E213" s="9" t="s">
        <v>1448</v>
      </c>
      <c r="F213" s="9" t="s">
        <v>2426</v>
      </c>
      <c r="H213" s="9"/>
    </row>
    <row r="214" ht="14.25" customHeight="1">
      <c r="C214" s="9" t="s">
        <v>2427</v>
      </c>
      <c r="D214" s="9" t="s">
        <v>1242</v>
      </c>
      <c r="E214" s="9" t="s">
        <v>1448</v>
      </c>
      <c r="F214" s="9" t="s">
        <v>2428</v>
      </c>
      <c r="H214" s="9"/>
    </row>
    <row r="215" ht="14.25" customHeight="1">
      <c r="C215" s="9" t="s">
        <v>2427</v>
      </c>
      <c r="D215" s="9" t="s">
        <v>1242</v>
      </c>
      <c r="E215" s="9" t="s">
        <v>1448</v>
      </c>
      <c r="F215" s="9" t="s">
        <v>2429</v>
      </c>
      <c r="H215" s="9"/>
    </row>
    <row r="216" ht="14.25" customHeight="1">
      <c r="C216" s="9" t="s">
        <v>2427</v>
      </c>
      <c r="D216" s="9" t="s">
        <v>1242</v>
      </c>
      <c r="E216" s="9" t="s">
        <v>1448</v>
      </c>
      <c r="F216" s="9" t="s">
        <v>2431</v>
      </c>
      <c r="H216" s="9"/>
    </row>
    <row r="217" ht="14.25" customHeight="1">
      <c r="C217" s="9" t="s">
        <v>2427</v>
      </c>
      <c r="D217" s="9" t="s">
        <v>1242</v>
      </c>
      <c r="E217" s="9" t="s">
        <v>1448</v>
      </c>
      <c r="F217" s="9" t="s">
        <v>2432</v>
      </c>
      <c r="H217" s="9"/>
    </row>
    <row r="218" ht="14.25" customHeight="1">
      <c r="C218" s="9" t="s">
        <v>2427</v>
      </c>
      <c r="D218" s="9" t="s">
        <v>1242</v>
      </c>
      <c r="E218" s="9" t="s">
        <v>1448</v>
      </c>
      <c r="F218" s="9" t="s">
        <v>2433</v>
      </c>
      <c r="H218" s="9"/>
    </row>
    <row r="219" ht="14.25" customHeight="1">
      <c r="C219" s="9" t="s">
        <v>2427</v>
      </c>
      <c r="D219" s="9" t="s">
        <v>1242</v>
      </c>
      <c r="E219" s="9" t="s">
        <v>1448</v>
      </c>
      <c r="F219" s="9" t="s">
        <v>2435</v>
      </c>
      <c r="H219" s="9"/>
    </row>
    <row r="220" ht="14.25" customHeight="1">
      <c r="C220" s="9" t="s">
        <v>2427</v>
      </c>
      <c r="D220" s="9" t="s">
        <v>1242</v>
      </c>
      <c r="E220" s="9" t="s">
        <v>1448</v>
      </c>
      <c r="F220" s="9" t="s">
        <v>2436</v>
      </c>
      <c r="H220" s="9"/>
    </row>
    <row r="221" ht="14.25" customHeight="1">
      <c r="C221" s="9" t="s">
        <v>2427</v>
      </c>
      <c r="D221" s="9" t="s">
        <v>1242</v>
      </c>
      <c r="E221" s="9" t="s">
        <v>1448</v>
      </c>
      <c r="F221" s="9" t="s">
        <v>2437</v>
      </c>
      <c r="H221" s="9"/>
    </row>
    <row r="222" ht="14.25" customHeight="1">
      <c r="C222" s="9" t="s">
        <v>2427</v>
      </c>
      <c r="D222" s="9" t="s">
        <v>1242</v>
      </c>
      <c r="E222" s="9" t="s">
        <v>1448</v>
      </c>
      <c r="F222" s="9" t="s">
        <v>2439</v>
      </c>
      <c r="H222" s="9"/>
    </row>
    <row r="223" ht="14.25" customHeight="1">
      <c r="C223" s="9" t="s">
        <v>2427</v>
      </c>
      <c r="D223" s="9" t="s">
        <v>1242</v>
      </c>
      <c r="E223" s="9" t="s">
        <v>1448</v>
      </c>
      <c r="F223" s="9" t="s">
        <v>2440</v>
      </c>
      <c r="H223" s="9"/>
    </row>
    <row r="224" ht="14.25" customHeight="1">
      <c r="C224" s="9" t="s">
        <v>2427</v>
      </c>
      <c r="D224" s="9" t="s">
        <v>1242</v>
      </c>
      <c r="E224" s="9" t="s">
        <v>1448</v>
      </c>
      <c r="F224" s="9" t="s">
        <v>2442</v>
      </c>
      <c r="H224" s="9"/>
    </row>
    <row r="225" ht="14.25" customHeight="1">
      <c r="C225" s="9" t="s">
        <v>2427</v>
      </c>
      <c r="D225" s="9" t="s">
        <v>1242</v>
      </c>
      <c r="E225" s="9" t="s">
        <v>1448</v>
      </c>
      <c r="F225" s="9" t="s">
        <v>2443</v>
      </c>
      <c r="H225" s="9"/>
    </row>
    <row r="226" ht="14.25" customHeight="1">
      <c r="C226" s="9" t="s">
        <v>2427</v>
      </c>
      <c r="D226" s="9" t="s">
        <v>1242</v>
      </c>
      <c r="E226" s="9" t="s">
        <v>1448</v>
      </c>
      <c r="F226" s="9" t="s">
        <v>2444</v>
      </c>
      <c r="H226" s="9"/>
    </row>
    <row r="227" ht="14.25" customHeight="1">
      <c r="C227" s="9" t="s">
        <v>2427</v>
      </c>
      <c r="D227" s="9" t="s">
        <v>1242</v>
      </c>
      <c r="E227" s="9" t="s">
        <v>1448</v>
      </c>
      <c r="F227" s="9" t="s">
        <v>2446</v>
      </c>
      <c r="H227" s="9"/>
    </row>
    <row r="228" ht="14.25" customHeight="1">
      <c r="C228" s="9" t="s">
        <v>2427</v>
      </c>
      <c r="D228" s="9" t="s">
        <v>1242</v>
      </c>
      <c r="E228" s="9" t="s">
        <v>1448</v>
      </c>
      <c r="F228" s="9" t="s">
        <v>2447</v>
      </c>
      <c r="H228" s="9"/>
    </row>
    <row r="229" ht="14.25" customHeight="1">
      <c r="C229" s="9" t="s">
        <v>2427</v>
      </c>
      <c r="D229" s="9" t="s">
        <v>1242</v>
      </c>
      <c r="E229" s="9" t="s">
        <v>1448</v>
      </c>
      <c r="F229" s="9" t="s">
        <v>2449</v>
      </c>
      <c r="H229" s="9"/>
    </row>
    <row r="230" ht="14.25" customHeight="1">
      <c r="C230" s="9" t="s">
        <v>2427</v>
      </c>
      <c r="D230" s="9" t="s">
        <v>1242</v>
      </c>
      <c r="E230" s="9" t="s">
        <v>1448</v>
      </c>
      <c r="F230" s="9" t="s">
        <v>2450</v>
      </c>
      <c r="H230" s="9"/>
    </row>
    <row r="231" ht="14.25" customHeight="1">
      <c r="C231" s="9" t="s">
        <v>2427</v>
      </c>
      <c r="D231" s="9" t="s">
        <v>814</v>
      </c>
      <c r="E231" s="9" t="s">
        <v>1448</v>
      </c>
      <c r="F231" s="9" t="s">
        <v>2451</v>
      </c>
      <c r="H231" s="9"/>
    </row>
    <row r="232" ht="14.25" customHeight="1">
      <c r="C232" s="9" t="s">
        <v>2427</v>
      </c>
      <c r="D232" s="9" t="s">
        <v>814</v>
      </c>
      <c r="E232" s="9" t="s">
        <v>1448</v>
      </c>
      <c r="F232" s="9" t="s">
        <v>2453</v>
      </c>
      <c r="H232" s="9"/>
    </row>
    <row r="233" ht="14.25" customHeight="1">
      <c r="C233" s="9" t="s">
        <v>2427</v>
      </c>
      <c r="D233" s="9" t="s">
        <v>814</v>
      </c>
      <c r="E233" s="9" t="s">
        <v>1448</v>
      </c>
      <c r="F233" s="9" t="s">
        <v>2454</v>
      </c>
      <c r="H233" s="9"/>
    </row>
    <row r="234" ht="14.25" customHeight="1">
      <c r="C234" s="9" t="s">
        <v>2427</v>
      </c>
      <c r="D234" s="9" t="s">
        <v>814</v>
      </c>
      <c r="E234" s="9" t="s">
        <v>1448</v>
      </c>
      <c r="F234" s="9" t="s">
        <v>2455</v>
      </c>
      <c r="H234" s="9"/>
    </row>
    <row r="235" ht="14.25" customHeight="1">
      <c r="C235" s="9" t="s">
        <v>2427</v>
      </c>
      <c r="D235" s="9" t="s">
        <v>814</v>
      </c>
      <c r="E235" s="9" t="s">
        <v>1448</v>
      </c>
      <c r="F235" s="9" t="s">
        <v>2457</v>
      </c>
      <c r="H235" s="9"/>
    </row>
    <row r="236" ht="14.25" customHeight="1">
      <c r="C236" s="9" t="s">
        <v>2427</v>
      </c>
      <c r="D236" s="9" t="s">
        <v>814</v>
      </c>
      <c r="E236" s="9" t="s">
        <v>1448</v>
      </c>
      <c r="F236" s="9" t="s">
        <v>2458</v>
      </c>
      <c r="H236" s="9"/>
    </row>
    <row r="237" ht="14.25" customHeight="1">
      <c r="C237" s="9" t="s">
        <v>2427</v>
      </c>
      <c r="D237" s="9" t="s">
        <v>814</v>
      </c>
      <c r="E237" s="9" t="s">
        <v>1448</v>
      </c>
      <c r="F237" s="9" t="s">
        <v>2460</v>
      </c>
      <c r="H237" s="9"/>
    </row>
    <row r="238" ht="14.25" customHeight="1">
      <c r="C238" s="9" t="s">
        <v>2427</v>
      </c>
      <c r="D238" s="9" t="s">
        <v>814</v>
      </c>
      <c r="E238" s="9" t="s">
        <v>1448</v>
      </c>
      <c r="F238" s="9" t="s">
        <v>2461</v>
      </c>
      <c r="H238" s="9"/>
    </row>
    <row r="239" ht="14.25" customHeight="1">
      <c r="C239" s="9" t="s">
        <v>2427</v>
      </c>
      <c r="D239" s="9" t="s">
        <v>814</v>
      </c>
      <c r="E239" s="9" t="s">
        <v>1448</v>
      </c>
      <c r="F239" s="9" t="s">
        <v>2462</v>
      </c>
      <c r="H239" s="9"/>
    </row>
    <row r="240" ht="14.25" customHeight="1">
      <c r="C240" s="9" t="s">
        <v>2427</v>
      </c>
      <c r="D240" s="9" t="s">
        <v>814</v>
      </c>
      <c r="E240" s="9" t="s">
        <v>1448</v>
      </c>
      <c r="F240" s="9" t="s">
        <v>2464</v>
      </c>
      <c r="H240" s="9"/>
    </row>
    <row r="241" ht="14.25" customHeight="1">
      <c r="C241" s="9" t="s">
        <v>2427</v>
      </c>
      <c r="D241" s="9" t="s">
        <v>814</v>
      </c>
      <c r="E241" s="9" t="s">
        <v>1448</v>
      </c>
      <c r="F241" s="9" t="s">
        <v>2465</v>
      </c>
      <c r="H241" s="9"/>
    </row>
    <row r="242" ht="14.25" customHeight="1">
      <c r="C242" s="9" t="s">
        <v>2427</v>
      </c>
      <c r="D242" s="9" t="s">
        <v>814</v>
      </c>
      <c r="E242" s="9" t="s">
        <v>1448</v>
      </c>
      <c r="F242" s="9" t="s">
        <v>2466</v>
      </c>
      <c r="H242" s="9"/>
    </row>
    <row r="243" ht="14.25" customHeight="1">
      <c r="C243" s="9" t="s">
        <v>2427</v>
      </c>
      <c r="D243" s="9" t="s">
        <v>814</v>
      </c>
      <c r="E243" s="9" t="s">
        <v>1448</v>
      </c>
      <c r="F243" s="9" t="s">
        <v>2468</v>
      </c>
      <c r="H243" s="9"/>
    </row>
    <row r="244" ht="14.25" customHeight="1">
      <c r="C244" s="9" t="s">
        <v>2427</v>
      </c>
      <c r="D244" s="9" t="s">
        <v>814</v>
      </c>
      <c r="E244" s="9" t="s">
        <v>1448</v>
      </c>
      <c r="F244" s="9" t="s">
        <v>2469</v>
      </c>
      <c r="H244" s="9"/>
    </row>
    <row r="245" ht="14.25" customHeight="1">
      <c r="C245" s="9" t="s">
        <v>2427</v>
      </c>
      <c r="D245" s="9" t="s">
        <v>814</v>
      </c>
      <c r="E245" s="9" t="s">
        <v>1448</v>
      </c>
      <c r="F245" s="9" t="s">
        <v>2471</v>
      </c>
      <c r="H245" s="9"/>
    </row>
    <row r="246" ht="14.25" customHeight="1">
      <c r="C246" s="9" t="s">
        <v>2427</v>
      </c>
      <c r="D246" s="9" t="s">
        <v>814</v>
      </c>
      <c r="E246" s="9" t="s">
        <v>1448</v>
      </c>
      <c r="F246" s="9" t="s">
        <v>2472</v>
      </c>
      <c r="H246" s="9"/>
    </row>
    <row r="247" ht="14.25" customHeight="1">
      <c r="C247" s="9" t="s">
        <v>2427</v>
      </c>
      <c r="D247" s="9" t="s">
        <v>2473</v>
      </c>
      <c r="E247" s="9" t="s">
        <v>1448</v>
      </c>
      <c r="F247" s="9" t="s">
        <v>2474</v>
      </c>
      <c r="H247" s="9"/>
    </row>
    <row r="248" ht="14.25" customHeight="1">
      <c r="C248" s="9" t="s">
        <v>2427</v>
      </c>
      <c r="D248" s="9" t="s">
        <v>2473</v>
      </c>
      <c r="E248" s="9" t="s">
        <v>1448</v>
      </c>
      <c r="F248" s="9" t="s">
        <v>2475</v>
      </c>
      <c r="H248" s="9"/>
    </row>
    <row r="249" ht="14.25" customHeight="1">
      <c r="C249" s="9" t="s">
        <v>2427</v>
      </c>
      <c r="D249" s="9" t="s">
        <v>2473</v>
      </c>
      <c r="E249" s="9" t="s">
        <v>1448</v>
      </c>
      <c r="F249" s="9" t="s">
        <v>2477</v>
      </c>
      <c r="H249" s="9"/>
    </row>
    <row r="250" ht="14.25" customHeight="1">
      <c r="C250" s="9" t="s">
        <v>2427</v>
      </c>
      <c r="D250" s="9" t="s">
        <v>2473</v>
      </c>
      <c r="E250" s="9" t="s">
        <v>1448</v>
      </c>
      <c r="F250" s="9" t="s">
        <v>2478</v>
      </c>
      <c r="H250" s="9"/>
    </row>
    <row r="251" ht="14.25" customHeight="1">
      <c r="C251" s="9" t="s">
        <v>2427</v>
      </c>
      <c r="D251" s="9" t="s">
        <v>2473</v>
      </c>
      <c r="E251" s="9" t="s">
        <v>1448</v>
      </c>
      <c r="F251" s="9" t="s">
        <v>2479</v>
      </c>
      <c r="H251" s="9"/>
    </row>
    <row r="252" ht="14.25" customHeight="1">
      <c r="C252" s="9" t="s">
        <v>2427</v>
      </c>
      <c r="D252" s="9" t="s">
        <v>1240</v>
      </c>
      <c r="E252" s="9" t="s">
        <v>1448</v>
      </c>
      <c r="F252" s="9" t="s">
        <v>2480</v>
      </c>
      <c r="H252" s="9"/>
    </row>
    <row r="253" ht="14.25" customHeight="1">
      <c r="C253" s="9" t="s">
        <v>2427</v>
      </c>
      <c r="D253" s="9" t="s">
        <v>1240</v>
      </c>
      <c r="E253" s="9" t="s">
        <v>1448</v>
      </c>
      <c r="F253" s="9" t="s">
        <v>2481</v>
      </c>
      <c r="H253" s="9"/>
    </row>
    <row r="254" ht="14.25" customHeight="1">
      <c r="C254" s="9" t="s">
        <v>2427</v>
      </c>
      <c r="D254" s="9" t="s">
        <v>1240</v>
      </c>
      <c r="E254" s="9" t="s">
        <v>1448</v>
      </c>
      <c r="F254" s="9" t="s">
        <v>2484</v>
      </c>
      <c r="H254" s="9"/>
    </row>
    <row r="255" ht="14.25" customHeight="1">
      <c r="C255" s="9" t="s">
        <v>2427</v>
      </c>
      <c r="D255" s="9" t="s">
        <v>1240</v>
      </c>
      <c r="E255" s="9" t="s">
        <v>1448</v>
      </c>
      <c r="F255" s="9" t="s">
        <v>2485</v>
      </c>
      <c r="H255" s="9"/>
    </row>
    <row r="256" ht="14.25" customHeight="1">
      <c r="C256" s="9" t="s">
        <v>2427</v>
      </c>
      <c r="D256" s="9" t="s">
        <v>1240</v>
      </c>
      <c r="E256" s="9" t="s">
        <v>1448</v>
      </c>
      <c r="F256" s="9" t="s">
        <v>2486</v>
      </c>
      <c r="H256" s="9"/>
    </row>
    <row r="257" ht="14.25" customHeight="1">
      <c r="C257" s="9" t="s">
        <v>2427</v>
      </c>
      <c r="D257" s="9" t="s">
        <v>1240</v>
      </c>
      <c r="E257" s="9" t="s">
        <v>1448</v>
      </c>
      <c r="F257" s="9" t="s">
        <v>2488</v>
      </c>
      <c r="H257" s="9"/>
    </row>
    <row r="258" ht="14.25" customHeight="1">
      <c r="C258" s="9" t="s">
        <v>2427</v>
      </c>
      <c r="D258" s="9" t="s">
        <v>1240</v>
      </c>
      <c r="E258" s="9" t="s">
        <v>1448</v>
      </c>
      <c r="F258" s="9" t="s">
        <v>2489</v>
      </c>
      <c r="H258" s="9"/>
    </row>
    <row r="259" ht="14.25" customHeight="1">
      <c r="C259" s="9" t="s">
        <v>2427</v>
      </c>
      <c r="D259" s="9" t="s">
        <v>1240</v>
      </c>
      <c r="E259" s="9" t="s">
        <v>1448</v>
      </c>
      <c r="F259" s="9" t="s">
        <v>2490</v>
      </c>
      <c r="H259" s="9"/>
    </row>
    <row r="260" ht="14.25" customHeight="1">
      <c r="C260" s="9" t="s">
        <v>2427</v>
      </c>
      <c r="D260" s="9" t="s">
        <v>1240</v>
      </c>
      <c r="E260" s="9" t="s">
        <v>1448</v>
      </c>
      <c r="F260" s="9" t="s">
        <v>2491</v>
      </c>
      <c r="H260" s="9"/>
    </row>
    <row r="261" ht="14.25" customHeight="1">
      <c r="C261" s="9" t="s">
        <v>2427</v>
      </c>
      <c r="D261" s="9" t="s">
        <v>1240</v>
      </c>
      <c r="E261" s="9" t="s">
        <v>1448</v>
      </c>
      <c r="F261" s="9" t="s">
        <v>2492</v>
      </c>
      <c r="H261" s="9"/>
    </row>
    <row r="262" ht="14.25" customHeight="1">
      <c r="C262" s="9" t="s">
        <v>2427</v>
      </c>
      <c r="D262" s="9" t="s">
        <v>1240</v>
      </c>
      <c r="E262" s="9" t="s">
        <v>1448</v>
      </c>
      <c r="F262" s="9" t="s">
        <v>2493</v>
      </c>
      <c r="H262" s="9"/>
    </row>
    <row r="263" ht="14.25" customHeight="1">
      <c r="C263" s="9" t="s">
        <v>2427</v>
      </c>
      <c r="D263" s="9" t="s">
        <v>1240</v>
      </c>
      <c r="E263" s="9" t="s">
        <v>1448</v>
      </c>
      <c r="F263" s="9" t="s">
        <v>2494</v>
      </c>
      <c r="H263" s="9"/>
    </row>
    <row r="264" ht="14.25" customHeight="1">
      <c r="C264" s="9" t="s">
        <v>2427</v>
      </c>
      <c r="D264" s="9" t="s">
        <v>1240</v>
      </c>
      <c r="E264" s="9" t="s">
        <v>1448</v>
      </c>
      <c r="F264" s="9" t="s">
        <v>2495</v>
      </c>
      <c r="H264" s="9"/>
    </row>
    <row r="265" ht="14.25" customHeight="1">
      <c r="C265" s="9" t="s">
        <v>2427</v>
      </c>
      <c r="D265" s="9" t="s">
        <v>1240</v>
      </c>
      <c r="E265" s="9" t="s">
        <v>1448</v>
      </c>
      <c r="F265" s="9" t="s">
        <v>2496</v>
      </c>
      <c r="H265" s="9"/>
    </row>
    <row r="266" ht="14.25" customHeight="1">
      <c r="C266" s="9" t="s">
        <v>1447</v>
      </c>
      <c r="D266" s="9" t="s">
        <v>2497</v>
      </c>
      <c r="E266" s="9" t="s">
        <v>1448</v>
      </c>
      <c r="F266" s="9" t="s">
        <v>2498</v>
      </c>
      <c r="H266" s="9"/>
    </row>
    <row r="267" ht="14.25" customHeight="1">
      <c r="C267" s="9" t="s">
        <v>1447</v>
      </c>
      <c r="D267" s="9" t="s">
        <v>2497</v>
      </c>
      <c r="E267" s="9" t="s">
        <v>1448</v>
      </c>
      <c r="F267" s="9" t="s">
        <v>2499</v>
      </c>
      <c r="H267" s="9"/>
    </row>
    <row r="268" ht="14.25" customHeight="1">
      <c r="C268" s="9" t="s">
        <v>1447</v>
      </c>
      <c r="D268" s="9" t="s">
        <v>2497</v>
      </c>
      <c r="E268" s="9" t="s">
        <v>1448</v>
      </c>
      <c r="F268" s="9" t="s">
        <v>2500</v>
      </c>
      <c r="H268" s="9"/>
    </row>
    <row r="269" ht="14.25" customHeight="1">
      <c r="C269" s="9" t="s">
        <v>1447</v>
      </c>
      <c r="D269" s="9" t="s">
        <v>2497</v>
      </c>
      <c r="E269" s="9" t="s">
        <v>1448</v>
      </c>
      <c r="F269" s="9" t="s">
        <v>2501</v>
      </c>
      <c r="H269" s="9"/>
    </row>
    <row r="270" ht="14.25" customHeight="1">
      <c r="C270" s="9" t="s">
        <v>1447</v>
      </c>
      <c r="D270" s="9" t="s">
        <v>2497</v>
      </c>
      <c r="E270" s="9" t="s">
        <v>1448</v>
      </c>
      <c r="F270" s="9" t="s">
        <v>2502</v>
      </c>
      <c r="H270" s="9"/>
    </row>
    <row r="271" ht="14.25" customHeight="1">
      <c r="C271" s="9" t="s">
        <v>1447</v>
      </c>
      <c r="D271" s="9" t="s">
        <v>2497</v>
      </c>
      <c r="E271" s="9" t="s">
        <v>1448</v>
      </c>
      <c r="F271" s="9" t="s">
        <v>2503</v>
      </c>
      <c r="H271" s="9"/>
    </row>
    <row r="272" ht="14.25" customHeight="1">
      <c r="C272" s="9" t="s">
        <v>1447</v>
      </c>
      <c r="D272" s="9" t="s">
        <v>2504</v>
      </c>
      <c r="E272" s="9" t="s">
        <v>1448</v>
      </c>
      <c r="F272" s="9" t="s">
        <v>2505</v>
      </c>
      <c r="H272" s="9"/>
    </row>
    <row r="273" ht="14.25" customHeight="1">
      <c r="C273" s="9" t="s">
        <v>1447</v>
      </c>
      <c r="D273" s="9" t="s">
        <v>1570</v>
      </c>
      <c r="E273" s="9" t="s">
        <v>1448</v>
      </c>
      <c r="F273" s="9" t="s">
        <v>1568</v>
      </c>
      <c r="H273" s="9"/>
    </row>
    <row r="274" ht="14.25" customHeight="1">
      <c r="C274" s="9" t="s">
        <v>1447</v>
      </c>
      <c r="D274" s="9" t="s">
        <v>1570</v>
      </c>
      <c r="E274" s="9" t="s">
        <v>1448</v>
      </c>
      <c r="F274" s="9" t="s">
        <v>1549</v>
      </c>
      <c r="H274" s="9"/>
    </row>
    <row r="275" ht="14.25" customHeight="1">
      <c r="C275" s="9" t="s">
        <v>1447</v>
      </c>
      <c r="D275" s="9" t="s">
        <v>1570</v>
      </c>
      <c r="E275" s="9" t="s">
        <v>1448</v>
      </c>
      <c r="F275" s="9" t="s">
        <v>1552</v>
      </c>
      <c r="H275" s="9"/>
    </row>
    <row r="276" ht="14.25" customHeight="1">
      <c r="C276" s="9" t="s">
        <v>1447</v>
      </c>
      <c r="D276" s="9" t="s">
        <v>1570</v>
      </c>
      <c r="E276" s="9" t="s">
        <v>1448</v>
      </c>
      <c r="F276" s="9" t="s">
        <v>1545</v>
      </c>
      <c r="H276" s="9"/>
    </row>
    <row r="277" ht="14.25" customHeight="1">
      <c r="C277" s="9" t="s">
        <v>1447</v>
      </c>
      <c r="D277" s="9" t="s">
        <v>1570</v>
      </c>
      <c r="E277" s="9" t="s">
        <v>1448</v>
      </c>
      <c r="F277" s="9" t="s">
        <v>1543</v>
      </c>
      <c r="H277" s="9"/>
    </row>
    <row r="278" ht="14.25" customHeight="1">
      <c r="C278" s="9" t="s">
        <v>1447</v>
      </c>
      <c r="D278" s="9" t="s">
        <v>1570</v>
      </c>
      <c r="E278" s="9" t="s">
        <v>1448</v>
      </c>
      <c r="F278" s="9" t="s">
        <v>1540</v>
      </c>
      <c r="H278" s="9"/>
    </row>
    <row r="279" ht="14.25" customHeight="1">
      <c r="C279" s="9" t="s">
        <v>1447</v>
      </c>
      <c r="D279" s="9" t="s">
        <v>1570</v>
      </c>
      <c r="E279" s="9" t="s">
        <v>1448</v>
      </c>
      <c r="F279" s="9" t="s">
        <v>1561</v>
      </c>
      <c r="H279" s="9"/>
    </row>
    <row r="280" ht="14.25" customHeight="1">
      <c r="C280" s="9" t="s">
        <v>1447</v>
      </c>
      <c r="D280" s="9" t="s">
        <v>1570</v>
      </c>
      <c r="E280" s="9" t="s">
        <v>1448</v>
      </c>
      <c r="F280" s="9" t="s">
        <v>1563</v>
      </c>
      <c r="H280" s="9"/>
    </row>
    <row r="281" ht="14.25" customHeight="1">
      <c r="C281" s="9" t="s">
        <v>1447</v>
      </c>
      <c r="D281" s="9" t="s">
        <v>1570</v>
      </c>
      <c r="E281" s="9" t="s">
        <v>1448</v>
      </c>
      <c r="F281" s="9" t="s">
        <v>1559</v>
      </c>
      <c r="H281" s="9"/>
    </row>
    <row r="282" ht="14.25" customHeight="1">
      <c r="C282" s="9" t="s">
        <v>1447</v>
      </c>
      <c r="D282" s="9" t="s">
        <v>1570</v>
      </c>
      <c r="E282" s="9" t="s">
        <v>1448</v>
      </c>
      <c r="F282" s="9" t="s">
        <v>1554</v>
      </c>
      <c r="H282" s="9"/>
    </row>
    <row r="283" ht="14.25" customHeight="1">
      <c r="C283" s="9" t="s">
        <v>1447</v>
      </c>
      <c r="D283" s="9" t="s">
        <v>1570</v>
      </c>
      <c r="E283" s="9" t="s">
        <v>1448</v>
      </c>
      <c r="F283" s="9" t="s">
        <v>1546</v>
      </c>
      <c r="H283" s="9"/>
    </row>
    <row r="284" ht="14.25" customHeight="1">
      <c r="C284" s="9" t="s">
        <v>1447</v>
      </c>
      <c r="D284" s="9" t="s">
        <v>1570</v>
      </c>
      <c r="E284" s="9" t="s">
        <v>1448</v>
      </c>
      <c r="F284" s="9" t="s">
        <v>2510</v>
      </c>
      <c r="H284" s="9"/>
    </row>
    <row r="285" ht="14.25" customHeight="1">
      <c r="C285" s="9" t="s">
        <v>1447</v>
      </c>
      <c r="D285" s="9" t="s">
        <v>1570</v>
      </c>
      <c r="E285" s="9" t="s">
        <v>1448</v>
      </c>
      <c r="F285" s="9" t="s">
        <v>1556</v>
      </c>
      <c r="H285" s="9"/>
    </row>
    <row r="286" ht="14.25" customHeight="1">
      <c r="C286" s="9" t="s">
        <v>1447</v>
      </c>
      <c r="D286" s="9" t="s">
        <v>1585</v>
      </c>
      <c r="E286" s="9" t="s">
        <v>1448</v>
      </c>
      <c r="F286" s="9" t="s">
        <v>1568</v>
      </c>
      <c r="H286" s="9"/>
    </row>
    <row r="287" ht="14.25" customHeight="1">
      <c r="C287" s="9" t="s">
        <v>1447</v>
      </c>
      <c r="D287" s="9" t="s">
        <v>1585</v>
      </c>
      <c r="E287" s="9" t="s">
        <v>1448</v>
      </c>
      <c r="F287" s="9" t="s">
        <v>1549</v>
      </c>
      <c r="H287" s="9"/>
    </row>
    <row r="288" ht="14.25" customHeight="1">
      <c r="C288" s="9" t="s">
        <v>1447</v>
      </c>
      <c r="D288" s="9" t="s">
        <v>1585</v>
      </c>
      <c r="E288" s="9" t="s">
        <v>1448</v>
      </c>
      <c r="F288" s="9" t="s">
        <v>1552</v>
      </c>
      <c r="H288" s="9"/>
    </row>
    <row r="289" ht="14.25" customHeight="1">
      <c r="C289" s="9" t="s">
        <v>1447</v>
      </c>
      <c r="D289" s="9" t="s">
        <v>1585</v>
      </c>
      <c r="E289" s="9" t="s">
        <v>1448</v>
      </c>
      <c r="F289" s="9" t="s">
        <v>1545</v>
      </c>
      <c r="H289" s="9"/>
    </row>
    <row r="290" ht="14.25" customHeight="1">
      <c r="C290" s="9" t="s">
        <v>1447</v>
      </c>
      <c r="D290" s="9" t="s">
        <v>1585</v>
      </c>
      <c r="E290" s="9" t="s">
        <v>1448</v>
      </c>
      <c r="F290" s="9" t="s">
        <v>1543</v>
      </c>
      <c r="H290" s="9"/>
    </row>
    <row r="291" ht="14.25" customHeight="1">
      <c r="C291" s="9" t="s">
        <v>1447</v>
      </c>
      <c r="D291" s="9" t="s">
        <v>1585</v>
      </c>
      <c r="E291" s="9" t="s">
        <v>1448</v>
      </c>
      <c r="F291" s="9" t="s">
        <v>1540</v>
      </c>
      <c r="H291" s="9"/>
    </row>
    <row r="292" ht="14.25" customHeight="1">
      <c r="C292" s="9" t="s">
        <v>1447</v>
      </c>
      <c r="D292" s="9" t="s">
        <v>1585</v>
      </c>
      <c r="E292" s="9" t="s">
        <v>1448</v>
      </c>
      <c r="F292" s="9" t="s">
        <v>1561</v>
      </c>
      <c r="H292" s="9"/>
    </row>
    <row r="293" ht="14.25" customHeight="1">
      <c r="C293" s="9" t="s">
        <v>1447</v>
      </c>
      <c r="D293" s="9" t="s">
        <v>1585</v>
      </c>
      <c r="E293" s="9" t="s">
        <v>1448</v>
      </c>
      <c r="F293" s="9" t="s">
        <v>1563</v>
      </c>
      <c r="H293" s="9"/>
    </row>
    <row r="294" ht="14.25" customHeight="1">
      <c r="C294" s="9" t="s">
        <v>1447</v>
      </c>
      <c r="D294" s="9" t="s">
        <v>1585</v>
      </c>
      <c r="E294" s="9" t="s">
        <v>1448</v>
      </c>
      <c r="F294" s="9" t="s">
        <v>1559</v>
      </c>
      <c r="H294" s="9"/>
    </row>
    <row r="295" ht="14.25" customHeight="1">
      <c r="C295" s="9" t="s">
        <v>1447</v>
      </c>
      <c r="D295" s="9" t="s">
        <v>1585</v>
      </c>
      <c r="E295" s="9" t="s">
        <v>1448</v>
      </c>
      <c r="F295" s="9" t="s">
        <v>1554</v>
      </c>
      <c r="H295" s="9"/>
    </row>
    <row r="296" ht="14.25" customHeight="1">
      <c r="C296" s="9" t="s">
        <v>1447</v>
      </c>
      <c r="D296" s="9" t="s">
        <v>1585</v>
      </c>
      <c r="E296" s="9" t="s">
        <v>1448</v>
      </c>
      <c r="F296" s="9" t="s">
        <v>1546</v>
      </c>
      <c r="H296" s="9"/>
    </row>
    <row r="297" ht="14.25" customHeight="1">
      <c r="C297" s="9" t="s">
        <v>1447</v>
      </c>
      <c r="D297" s="9" t="s">
        <v>1585</v>
      </c>
      <c r="E297" s="9" t="s">
        <v>1448</v>
      </c>
      <c r="F297" s="9" t="s">
        <v>2510</v>
      </c>
      <c r="H297" s="9"/>
    </row>
    <row r="298" ht="14.25" customHeight="1">
      <c r="C298" s="9" t="s">
        <v>1447</v>
      </c>
      <c r="D298" s="9" t="s">
        <v>1585</v>
      </c>
      <c r="E298" s="9" t="s">
        <v>1448</v>
      </c>
      <c r="F298" s="9" t="s">
        <v>2505</v>
      </c>
      <c r="H298" s="9"/>
    </row>
    <row r="299" ht="14.25" customHeight="1">
      <c r="C299" s="9" t="s">
        <v>1447</v>
      </c>
      <c r="D299" s="9" t="s">
        <v>1585</v>
      </c>
      <c r="E299" s="9" t="s">
        <v>1448</v>
      </c>
      <c r="F299" s="9" t="s">
        <v>1556</v>
      </c>
      <c r="H299" s="9"/>
    </row>
    <row r="300" ht="14.25" customHeight="1">
      <c r="C300" s="9" t="s">
        <v>1447</v>
      </c>
      <c r="D300" s="9" t="s">
        <v>1604</v>
      </c>
      <c r="E300" s="9" t="s">
        <v>1448</v>
      </c>
      <c r="F300" s="9" t="s">
        <v>1568</v>
      </c>
      <c r="H300" s="9"/>
    </row>
    <row r="301" ht="14.25" customHeight="1">
      <c r="C301" s="9" t="s">
        <v>1447</v>
      </c>
      <c r="D301" s="9" t="s">
        <v>1604</v>
      </c>
      <c r="E301" s="9" t="s">
        <v>1448</v>
      </c>
      <c r="F301" s="9" t="s">
        <v>1549</v>
      </c>
      <c r="H301" s="9"/>
    </row>
    <row r="302" ht="14.25" customHeight="1">
      <c r="C302" s="9" t="s">
        <v>1447</v>
      </c>
      <c r="D302" s="9" t="s">
        <v>1604</v>
      </c>
      <c r="E302" s="9" t="s">
        <v>1448</v>
      </c>
      <c r="F302" s="9" t="s">
        <v>1552</v>
      </c>
      <c r="H302" s="9"/>
    </row>
    <row r="303" ht="14.25" customHeight="1">
      <c r="C303" s="9" t="s">
        <v>1447</v>
      </c>
      <c r="D303" s="9" t="s">
        <v>1604</v>
      </c>
      <c r="E303" s="9" t="s">
        <v>1448</v>
      </c>
      <c r="F303" s="9" t="s">
        <v>1545</v>
      </c>
      <c r="H303" s="9"/>
    </row>
    <row r="304" ht="14.25" customHeight="1">
      <c r="C304" s="9" t="s">
        <v>1447</v>
      </c>
      <c r="D304" s="9" t="s">
        <v>1604</v>
      </c>
      <c r="E304" s="9" t="s">
        <v>1448</v>
      </c>
      <c r="F304" s="9" t="s">
        <v>1543</v>
      </c>
      <c r="H304" s="9"/>
    </row>
    <row r="305" ht="14.25" customHeight="1">
      <c r="C305" s="9" t="s">
        <v>1447</v>
      </c>
      <c r="D305" s="9" t="s">
        <v>1604</v>
      </c>
      <c r="E305" s="9" t="s">
        <v>1448</v>
      </c>
      <c r="F305" s="9" t="s">
        <v>1540</v>
      </c>
      <c r="H305" s="9"/>
    </row>
    <row r="306" ht="14.25" customHeight="1">
      <c r="C306" s="9" t="s">
        <v>1447</v>
      </c>
      <c r="D306" s="9" t="s">
        <v>1604</v>
      </c>
      <c r="E306" s="9" t="s">
        <v>1448</v>
      </c>
      <c r="F306" s="9" t="s">
        <v>1561</v>
      </c>
      <c r="H306" s="9"/>
    </row>
    <row r="307" ht="14.25" customHeight="1">
      <c r="C307" s="9" t="s">
        <v>1447</v>
      </c>
      <c r="D307" s="9" t="s">
        <v>1604</v>
      </c>
      <c r="E307" s="9" t="s">
        <v>1448</v>
      </c>
      <c r="F307" s="9" t="s">
        <v>1563</v>
      </c>
      <c r="H307" s="9"/>
    </row>
    <row r="308" ht="14.25" customHeight="1">
      <c r="C308" s="9" t="s">
        <v>1447</v>
      </c>
      <c r="D308" s="9" t="s">
        <v>1604</v>
      </c>
      <c r="E308" s="9" t="s">
        <v>1448</v>
      </c>
      <c r="F308" s="9" t="s">
        <v>1559</v>
      </c>
      <c r="H308" s="9"/>
    </row>
    <row r="309" ht="14.25" customHeight="1">
      <c r="C309" s="9" t="s">
        <v>1447</v>
      </c>
      <c r="D309" s="9" t="s">
        <v>1604</v>
      </c>
      <c r="E309" s="9" t="s">
        <v>1448</v>
      </c>
      <c r="F309" s="9" t="s">
        <v>1554</v>
      </c>
      <c r="H309" s="9"/>
    </row>
    <row r="310" ht="14.25" customHeight="1">
      <c r="C310" s="9" t="s">
        <v>1447</v>
      </c>
      <c r="D310" s="9" t="s">
        <v>1604</v>
      </c>
      <c r="E310" s="9" t="s">
        <v>1448</v>
      </c>
      <c r="F310" s="9" t="s">
        <v>1546</v>
      </c>
      <c r="H310" s="9"/>
    </row>
    <row r="311" ht="14.25" customHeight="1">
      <c r="C311" s="9" t="s">
        <v>1447</v>
      </c>
      <c r="D311" s="9" t="s">
        <v>1604</v>
      </c>
      <c r="E311" s="9" t="s">
        <v>1448</v>
      </c>
      <c r="F311" s="9" t="s">
        <v>2510</v>
      </c>
      <c r="H311" s="9"/>
    </row>
    <row r="312" ht="14.25" customHeight="1">
      <c r="C312" s="9" t="s">
        <v>1447</v>
      </c>
      <c r="D312" s="9" t="s">
        <v>1604</v>
      </c>
      <c r="E312" s="9" t="s">
        <v>1448</v>
      </c>
      <c r="F312" s="9" t="s">
        <v>2505</v>
      </c>
      <c r="H312" s="9"/>
    </row>
    <row r="313" ht="14.25" customHeight="1">
      <c r="C313" s="9" t="s">
        <v>1447</v>
      </c>
      <c r="D313" s="9" t="s">
        <v>1604</v>
      </c>
      <c r="E313" s="9" t="s">
        <v>1448</v>
      </c>
      <c r="F313" s="9" t="s">
        <v>1556</v>
      </c>
      <c r="H313" s="9"/>
    </row>
    <row r="314" ht="14.25" customHeight="1">
      <c r="C314" s="9" t="s">
        <v>1447</v>
      </c>
      <c r="D314" s="9" t="s">
        <v>1539</v>
      </c>
      <c r="E314" s="9" t="s">
        <v>1448</v>
      </c>
      <c r="F314" s="9" t="s">
        <v>1568</v>
      </c>
      <c r="H314" s="9"/>
    </row>
    <row r="315" ht="14.25" customHeight="1">
      <c r="C315" s="9" t="s">
        <v>1447</v>
      </c>
      <c r="D315" s="9" t="s">
        <v>1539</v>
      </c>
      <c r="E315" s="9" t="s">
        <v>1448</v>
      </c>
      <c r="F315" s="9" t="s">
        <v>1549</v>
      </c>
      <c r="H315" s="9"/>
    </row>
    <row r="316" ht="14.25" customHeight="1">
      <c r="C316" s="9" t="s">
        <v>1447</v>
      </c>
      <c r="D316" s="9" t="s">
        <v>1539</v>
      </c>
      <c r="E316" s="9" t="s">
        <v>1448</v>
      </c>
      <c r="F316" s="9" t="s">
        <v>1552</v>
      </c>
      <c r="H316" s="9"/>
    </row>
    <row r="317" ht="14.25" customHeight="1">
      <c r="C317" s="9" t="s">
        <v>1447</v>
      </c>
      <c r="D317" s="9" t="s">
        <v>1539</v>
      </c>
      <c r="E317" s="9" t="s">
        <v>1448</v>
      </c>
      <c r="F317" s="9" t="s">
        <v>1545</v>
      </c>
      <c r="H317" s="9"/>
    </row>
    <row r="318" ht="14.25" customHeight="1">
      <c r="C318" s="9" t="s">
        <v>1447</v>
      </c>
      <c r="D318" s="9" t="s">
        <v>1539</v>
      </c>
      <c r="E318" s="9" t="s">
        <v>1448</v>
      </c>
      <c r="F318" s="9" t="s">
        <v>1543</v>
      </c>
      <c r="H318" s="9"/>
    </row>
    <row r="319" ht="14.25" customHeight="1">
      <c r="C319" s="9" t="s">
        <v>1447</v>
      </c>
      <c r="D319" s="9" t="s">
        <v>1539</v>
      </c>
      <c r="E319" s="9" t="s">
        <v>1448</v>
      </c>
      <c r="F319" s="9" t="s">
        <v>1540</v>
      </c>
      <c r="H319" s="9"/>
    </row>
    <row r="320" ht="14.25" customHeight="1">
      <c r="C320" s="9" t="s">
        <v>1447</v>
      </c>
      <c r="D320" s="9" t="s">
        <v>1539</v>
      </c>
      <c r="E320" s="9" t="s">
        <v>1448</v>
      </c>
      <c r="F320" s="9" t="s">
        <v>1561</v>
      </c>
      <c r="H320" s="9"/>
    </row>
    <row r="321" ht="14.25" customHeight="1">
      <c r="C321" s="9" t="s">
        <v>1447</v>
      </c>
      <c r="D321" s="9" t="s">
        <v>1539</v>
      </c>
      <c r="E321" s="9" t="s">
        <v>1448</v>
      </c>
      <c r="F321" s="9" t="s">
        <v>1563</v>
      </c>
      <c r="H321" s="9"/>
    </row>
    <row r="322" ht="14.25" customHeight="1">
      <c r="C322" s="9" t="s">
        <v>1447</v>
      </c>
      <c r="D322" s="9" t="s">
        <v>1539</v>
      </c>
      <c r="E322" s="9" t="s">
        <v>1448</v>
      </c>
      <c r="F322" s="9" t="s">
        <v>2530</v>
      </c>
      <c r="H322" s="9"/>
    </row>
    <row r="323" ht="14.25" customHeight="1">
      <c r="C323" s="9" t="s">
        <v>1447</v>
      </c>
      <c r="D323" s="9" t="s">
        <v>1539</v>
      </c>
      <c r="E323" s="9" t="s">
        <v>1448</v>
      </c>
      <c r="F323" s="9" t="s">
        <v>1559</v>
      </c>
      <c r="H323" s="9"/>
    </row>
    <row r="324" ht="14.25" customHeight="1">
      <c r="C324" s="9" t="s">
        <v>1447</v>
      </c>
      <c r="D324" s="9" t="s">
        <v>1539</v>
      </c>
      <c r="E324" s="9" t="s">
        <v>1448</v>
      </c>
      <c r="F324" s="9" t="s">
        <v>1554</v>
      </c>
      <c r="H324" s="9"/>
    </row>
    <row r="325" ht="14.25" customHeight="1">
      <c r="C325" s="9" t="s">
        <v>1447</v>
      </c>
      <c r="D325" s="9" t="s">
        <v>1539</v>
      </c>
      <c r="E325" s="9" t="s">
        <v>1448</v>
      </c>
      <c r="F325" s="9" t="s">
        <v>1546</v>
      </c>
      <c r="H325" s="9"/>
    </row>
    <row r="326" ht="14.25" customHeight="1">
      <c r="C326" s="9" t="s">
        <v>1447</v>
      </c>
      <c r="D326" s="9" t="s">
        <v>1539</v>
      </c>
      <c r="E326" s="9" t="s">
        <v>1448</v>
      </c>
      <c r="F326" s="9" t="s">
        <v>2510</v>
      </c>
      <c r="H326" s="9"/>
    </row>
    <row r="327" ht="14.25" customHeight="1">
      <c r="C327" s="9" t="s">
        <v>1447</v>
      </c>
      <c r="D327" s="9" t="s">
        <v>1539</v>
      </c>
      <c r="E327" s="9" t="s">
        <v>1448</v>
      </c>
      <c r="F327" s="9" t="s">
        <v>2505</v>
      </c>
      <c r="H327" s="9"/>
    </row>
    <row r="328" ht="14.25" customHeight="1">
      <c r="C328" s="9" t="s">
        <v>1447</v>
      </c>
      <c r="D328" s="9" t="s">
        <v>1539</v>
      </c>
      <c r="E328" s="9" t="s">
        <v>1448</v>
      </c>
      <c r="F328" s="9" t="s">
        <v>1556</v>
      </c>
      <c r="H328" s="9"/>
    </row>
    <row r="329" ht="14.25" customHeight="1">
      <c r="C329" s="9" t="s">
        <v>1447</v>
      </c>
      <c r="D329" s="9" t="s">
        <v>710</v>
      </c>
      <c r="E329" s="9" t="s">
        <v>1448</v>
      </c>
      <c r="F329" s="9" t="s">
        <v>1535</v>
      </c>
      <c r="H329" s="9"/>
    </row>
    <row r="330" ht="14.25" customHeight="1">
      <c r="C330" s="9" t="s">
        <v>1447</v>
      </c>
      <c r="D330" s="9" t="s">
        <v>710</v>
      </c>
      <c r="E330" s="9" t="s">
        <v>1448</v>
      </c>
      <c r="F330" s="9" t="s">
        <v>2534</v>
      </c>
      <c r="H330" s="9"/>
    </row>
    <row r="331" ht="14.25" customHeight="1">
      <c r="C331" s="9" t="s">
        <v>1447</v>
      </c>
      <c r="D331" s="9" t="s">
        <v>710</v>
      </c>
      <c r="E331" s="9" t="s">
        <v>1448</v>
      </c>
      <c r="F331" s="9" t="s">
        <v>2535</v>
      </c>
      <c r="H331" s="9"/>
    </row>
    <row r="332" ht="14.25" customHeight="1">
      <c r="C332" s="9" t="s">
        <v>1447</v>
      </c>
      <c r="D332" s="9" t="s">
        <v>710</v>
      </c>
      <c r="E332" s="9" t="s">
        <v>1448</v>
      </c>
      <c r="F332" s="9" t="s">
        <v>1533</v>
      </c>
      <c r="H332" s="9"/>
    </row>
    <row r="333" ht="14.25" customHeight="1">
      <c r="C333" s="9" t="s">
        <v>1447</v>
      </c>
      <c r="D333" s="9" t="s">
        <v>710</v>
      </c>
      <c r="E333" s="9" t="s">
        <v>1448</v>
      </c>
      <c r="F333" s="9" t="s">
        <v>2537</v>
      </c>
      <c r="H333" s="9"/>
    </row>
    <row r="334" ht="14.25" customHeight="1">
      <c r="C334" s="9" t="s">
        <v>1447</v>
      </c>
      <c r="D334" s="9" t="s">
        <v>710</v>
      </c>
      <c r="E334" s="9" t="s">
        <v>1448</v>
      </c>
      <c r="F334" s="9" t="s">
        <v>1538</v>
      </c>
      <c r="H334" s="9"/>
    </row>
    <row r="335" ht="14.25" customHeight="1">
      <c r="C335" s="9" t="s">
        <v>1447</v>
      </c>
      <c r="D335" s="9" t="s">
        <v>710</v>
      </c>
      <c r="E335" s="9" t="s">
        <v>1448</v>
      </c>
      <c r="F335" s="9" t="s">
        <v>1537</v>
      </c>
      <c r="H335" s="9"/>
    </row>
    <row r="336" ht="14.25" customHeight="1">
      <c r="C336" s="9" t="s">
        <v>1447</v>
      </c>
      <c r="D336" s="9" t="s">
        <v>710</v>
      </c>
      <c r="E336" s="9" t="s">
        <v>1448</v>
      </c>
      <c r="F336" s="9" t="s">
        <v>1534</v>
      </c>
      <c r="H336" s="9"/>
    </row>
    <row r="337" ht="14.25" customHeight="1">
      <c r="C337" s="9" t="s">
        <v>1447</v>
      </c>
      <c r="D337" s="9" t="s">
        <v>795</v>
      </c>
      <c r="E337" s="9" t="s">
        <v>1448</v>
      </c>
      <c r="F337" s="9" t="s">
        <v>1513</v>
      </c>
      <c r="H337" s="9"/>
    </row>
    <row r="338" ht="14.25" customHeight="1">
      <c r="C338" s="9" t="s">
        <v>1447</v>
      </c>
      <c r="D338" s="9" t="s">
        <v>795</v>
      </c>
      <c r="E338" s="9" t="s">
        <v>1448</v>
      </c>
      <c r="F338" s="9" t="s">
        <v>1514</v>
      </c>
      <c r="H338" s="9"/>
    </row>
    <row r="339" ht="14.25" customHeight="1">
      <c r="C339" s="9" t="s">
        <v>1447</v>
      </c>
      <c r="D339" s="9" t="s">
        <v>795</v>
      </c>
      <c r="E339" s="9" t="s">
        <v>1448</v>
      </c>
      <c r="F339" s="9" t="s">
        <v>1526</v>
      </c>
      <c r="H339" s="9"/>
    </row>
    <row r="340" ht="14.25" customHeight="1">
      <c r="C340" s="9" t="s">
        <v>1447</v>
      </c>
      <c r="D340" s="9" t="s">
        <v>795</v>
      </c>
      <c r="E340" s="9" t="s">
        <v>1448</v>
      </c>
      <c r="F340" s="9" t="s">
        <v>1516</v>
      </c>
      <c r="H340" s="9"/>
    </row>
    <row r="341" ht="14.25" customHeight="1">
      <c r="C341" s="9" t="s">
        <v>1447</v>
      </c>
      <c r="D341" s="9" t="s">
        <v>795</v>
      </c>
      <c r="E341" s="9" t="s">
        <v>1448</v>
      </c>
      <c r="F341" s="9" t="s">
        <v>1525</v>
      </c>
      <c r="H341" s="9"/>
    </row>
    <row r="342" ht="14.25" customHeight="1">
      <c r="C342" s="9" t="s">
        <v>1447</v>
      </c>
      <c r="D342" s="9" t="s">
        <v>795</v>
      </c>
      <c r="E342" s="9" t="s">
        <v>1448</v>
      </c>
      <c r="F342" s="9" t="s">
        <v>1527</v>
      </c>
      <c r="H342" s="9"/>
    </row>
    <row r="343" ht="14.25" customHeight="1">
      <c r="C343" s="9" t="s">
        <v>1447</v>
      </c>
      <c r="D343" s="9" t="s">
        <v>795</v>
      </c>
      <c r="E343" s="9" t="s">
        <v>1448</v>
      </c>
      <c r="F343" s="9" t="s">
        <v>1528</v>
      </c>
      <c r="H343" s="9"/>
    </row>
    <row r="344" ht="14.25" customHeight="1">
      <c r="C344" s="9" t="s">
        <v>1447</v>
      </c>
      <c r="D344" s="9" t="s">
        <v>795</v>
      </c>
      <c r="E344" s="9" t="s">
        <v>1448</v>
      </c>
      <c r="F344" s="9" t="s">
        <v>1504</v>
      </c>
      <c r="H344" s="9"/>
    </row>
    <row r="345" ht="14.25" customHeight="1">
      <c r="C345" s="9" t="s">
        <v>1447</v>
      </c>
      <c r="D345" s="9" t="s">
        <v>795</v>
      </c>
      <c r="E345" s="9" t="s">
        <v>1448</v>
      </c>
      <c r="F345" s="9" t="s">
        <v>1509</v>
      </c>
      <c r="H345" s="9"/>
    </row>
    <row r="346" ht="14.25" customHeight="1">
      <c r="C346" s="9" t="s">
        <v>1447</v>
      </c>
      <c r="D346" s="9" t="s">
        <v>795</v>
      </c>
      <c r="E346" s="9" t="s">
        <v>1448</v>
      </c>
      <c r="F346" s="9" t="s">
        <v>1524</v>
      </c>
      <c r="H346" s="9"/>
    </row>
    <row r="347" ht="14.25" customHeight="1">
      <c r="C347" s="9" t="s">
        <v>1447</v>
      </c>
      <c r="D347" s="9" t="s">
        <v>795</v>
      </c>
      <c r="E347" s="9" t="s">
        <v>1448</v>
      </c>
      <c r="F347" s="9" t="s">
        <v>1510</v>
      </c>
      <c r="H347" s="9"/>
    </row>
    <row r="348" ht="14.25" customHeight="1">
      <c r="C348" s="9" t="s">
        <v>1447</v>
      </c>
      <c r="D348" s="9" t="s">
        <v>795</v>
      </c>
      <c r="E348" s="9" t="s">
        <v>1448</v>
      </c>
      <c r="F348" s="9" t="s">
        <v>1508</v>
      </c>
      <c r="H348" s="9"/>
    </row>
    <row r="349" ht="14.25" customHeight="1">
      <c r="C349" s="9" t="s">
        <v>1447</v>
      </c>
      <c r="D349" s="9" t="s">
        <v>795</v>
      </c>
      <c r="E349" s="9" t="s">
        <v>1448</v>
      </c>
      <c r="F349" s="9" t="s">
        <v>1511</v>
      </c>
      <c r="H349" s="9"/>
    </row>
    <row r="350" ht="14.25" customHeight="1">
      <c r="C350" s="9" t="s">
        <v>1447</v>
      </c>
      <c r="D350" s="9" t="s">
        <v>795</v>
      </c>
      <c r="E350" s="9" t="s">
        <v>1448</v>
      </c>
      <c r="F350" s="9" t="s">
        <v>1506</v>
      </c>
      <c r="H350" s="9"/>
    </row>
    <row r="351" ht="14.25" customHeight="1">
      <c r="C351" s="9" t="s">
        <v>1447</v>
      </c>
      <c r="D351" s="9" t="s">
        <v>795</v>
      </c>
      <c r="E351" s="9" t="s">
        <v>1448</v>
      </c>
      <c r="F351" s="9" t="s">
        <v>1505</v>
      </c>
      <c r="H351" s="9"/>
    </row>
    <row r="352" ht="14.25" customHeight="1">
      <c r="C352" s="9" t="s">
        <v>1447</v>
      </c>
      <c r="D352" s="9" t="s">
        <v>795</v>
      </c>
      <c r="E352" s="9" t="s">
        <v>1448</v>
      </c>
      <c r="F352" s="9" t="s">
        <v>1529</v>
      </c>
      <c r="H352" s="9"/>
    </row>
    <row r="353" ht="14.25" customHeight="1">
      <c r="C353" s="9" t="s">
        <v>1447</v>
      </c>
      <c r="D353" s="9" t="s">
        <v>795</v>
      </c>
      <c r="E353" s="9" t="s">
        <v>1448</v>
      </c>
      <c r="F353" s="9" t="s">
        <v>1523</v>
      </c>
      <c r="H353" s="9"/>
    </row>
    <row r="354" ht="14.25" customHeight="1">
      <c r="C354" s="9" t="s">
        <v>1447</v>
      </c>
      <c r="D354" s="9" t="s">
        <v>795</v>
      </c>
      <c r="E354" s="9" t="s">
        <v>1448</v>
      </c>
      <c r="F354" s="9" t="s">
        <v>1520</v>
      </c>
      <c r="H354" s="9"/>
    </row>
    <row r="355" ht="14.25" customHeight="1">
      <c r="C355" s="9" t="s">
        <v>1447</v>
      </c>
      <c r="D355" s="9" t="s">
        <v>795</v>
      </c>
      <c r="E355" s="9" t="s">
        <v>1448</v>
      </c>
      <c r="F355" s="9" t="s">
        <v>1515</v>
      </c>
      <c r="H355" s="9"/>
    </row>
    <row r="356" ht="14.25" customHeight="1">
      <c r="C356" s="9" t="s">
        <v>1447</v>
      </c>
      <c r="D356" s="9" t="s">
        <v>795</v>
      </c>
      <c r="E356" s="9" t="s">
        <v>1448</v>
      </c>
      <c r="F356" s="9" t="s">
        <v>1507</v>
      </c>
      <c r="H356" s="9"/>
    </row>
    <row r="357" ht="14.25" customHeight="1">
      <c r="C357" s="9" t="s">
        <v>1447</v>
      </c>
      <c r="D357" s="9" t="s">
        <v>795</v>
      </c>
      <c r="E357" s="9" t="s">
        <v>1448</v>
      </c>
      <c r="F357" s="9" t="s">
        <v>1518</v>
      </c>
      <c r="H357" s="9"/>
    </row>
    <row r="358" ht="14.25" customHeight="1">
      <c r="C358" s="9" t="s">
        <v>1447</v>
      </c>
      <c r="D358" s="9" t="s">
        <v>795</v>
      </c>
      <c r="E358" s="9" t="s">
        <v>1448</v>
      </c>
      <c r="F358" s="9" t="s">
        <v>1512</v>
      </c>
      <c r="H358" s="9"/>
    </row>
    <row r="359" ht="14.25" customHeight="1">
      <c r="C359" s="9" t="s">
        <v>1447</v>
      </c>
      <c r="D359" s="9" t="s">
        <v>795</v>
      </c>
      <c r="E359" s="9" t="s">
        <v>1448</v>
      </c>
      <c r="F359" s="9" t="s">
        <v>2545</v>
      </c>
      <c r="H359" s="9"/>
    </row>
    <row r="360" ht="14.25" customHeight="1">
      <c r="C360" s="9" t="s">
        <v>1447</v>
      </c>
      <c r="D360" s="9" t="s">
        <v>795</v>
      </c>
      <c r="E360" s="9" t="s">
        <v>1448</v>
      </c>
      <c r="F360" s="9" t="s">
        <v>1519</v>
      </c>
      <c r="H360" s="9"/>
    </row>
    <row r="361" ht="14.25" customHeight="1">
      <c r="C361" s="9" t="s">
        <v>1447</v>
      </c>
      <c r="D361" s="9" t="s">
        <v>795</v>
      </c>
      <c r="E361" s="9" t="s">
        <v>1448</v>
      </c>
      <c r="F361" s="9" t="s">
        <v>1517</v>
      </c>
      <c r="H361" s="9"/>
    </row>
    <row r="362" ht="14.25" customHeight="1">
      <c r="C362" s="9" t="s">
        <v>1447</v>
      </c>
      <c r="D362" s="9" t="s">
        <v>795</v>
      </c>
      <c r="E362" s="9" t="s">
        <v>1448</v>
      </c>
      <c r="F362" s="9" t="s">
        <v>2546</v>
      </c>
      <c r="H362" s="9"/>
    </row>
    <row r="363" ht="14.25" customHeight="1">
      <c r="C363" s="9" t="s">
        <v>1447</v>
      </c>
      <c r="D363" s="9" t="s">
        <v>795</v>
      </c>
      <c r="E363" s="9" t="s">
        <v>1448</v>
      </c>
      <c r="F363" s="9" t="s">
        <v>2547</v>
      </c>
      <c r="H363" s="9"/>
    </row>
    <row r="364" ht="14.25" customHeight="1">
      <c r="C364" s="9" t="s">
        <v>1447</v>
      </c>
      <c r="D364" s="9" t="s">
        <v>795</v>
      </c>
      <c r="E364" s="9" t="s">
        <v>1448</v>
      </c>
      <c r="F364" s="9" t="s">
        <v>2549</v>
      </c>
      <c r="H364" s="9"/>
    </row>
    <row r="365" ht="14.25" customHeight="1">
      <c r="C365" s="9" t="s">
        <v>1447</v>
      </c>
      <c r="D365" s="9" t="s">
        <v>835</v>
      </c>
      <c r="E365" s="9" t="s">
        <v>1448</v>
      </c>
      <c r="F365" s="9" t="s">
        <v>1638</v>
      </c>
      <c r="H365" s="9"/>
    </row>
    <row r="366" ht="14.25" customHeight="1">
      <c r="C366" s="9" t="s">
        <v>1447</v>
      </c>
      <c r="D366" s="9" t="s">
        <v>835</v>
      </c>
      <c r="E366" s="9" t="s">
        <v>1448</v>
      </c>
      <c r="F366" s="9" t="s">
        <v>2550</v>
      </c>
      <c r="H366" s="9"/>
    </row>
    <row r="367" ht="14.25" customHeight="1">
      <c r="C367" s="9" t="s">
        <v>1447</v>
      </c>
      <c r="D367" s="9" t="s">
        <v>835</v>
      </c>
      <c r="E367" s="9" t="s">
        <v>1448</v>
      </c>
      <c r="F367" s="9" t="s">
        <v>1632</v>
      </c>
      <c r="H367" s="9"/>
    </row>
    <row r="368" ht="14.25" customHeight="1">
      <c r="C368" s="9" t="s">
        <v>1447</v>
      </c>
      <c r="D368" s="9" t="s">
        <v>835</v>
      </c>
      <c r="E368" s="9" t="s">
        <v>1448</v>
      </c>
      <c r="F368" s="9" t="s">
        <v>1641</v>
      </c>
      <c r="H368" s="9"/>
    </row>
    <row r="369" ht="14.25" customHeight="1">
      <c r="C369" s="9" t="s">
        <v>1447</v>
      </c>
      <c r="D369" s="9" t="s">
        <v>835</v>
      </c>
      <c r="E369" s="9" t="s">
        <v>1448</v>
      </c>
      <c r="F369" s="9" t="s">
        <v>2552</v>
      </c>
      <c r="H369" s="9"/>
    </row>
    <row r="370" ht="14.25" customHeight="1">
      <c r="C370" s="9" t="s">
        <v>1447</v>
      </c>
      <c r="D370" s="9" t="s">
        <v>835</v>
      </c>
      <c r="E370" s="9" t="s">
        <v>1448</v>
      </c>
      <c r="F370" s="9" t="s">
        <v>1642</v>
      </c>
      <c r="H370" s="9"/>
    </row>
    <row r="371" ht="14.25" customHeight="1">
      <c r="C371" s="9" t="s">
        <v>1447</v>
      </c>
      <c r="D371" s="9" t="s">
        <v>835</v>
      </c>
      <c r="E371" s="9" t="s">
        <v>1448</v>
      </c>
      <c r="F371" s="9" t="s">
        <v>1635</v>
      </c>
      <c r="H371" s="9"/>
    </row>
    <row r="372" ht="14.25" customHeight="1">
      <c r="C372" s="9" t="s">
        <v>1447</v>
      </c>
      <c r="D372" s="9" t="s">
        <v>835</v>
      </c>
      <c r="E372" s="9" t="s">
        <v>1448</v>
      </c>
      <c r="F372" s="9" t="s">
        <v>1628</v>
      </c>
      <c r="H372" s="9"/>
    </row>
    <row r="373" ht="14.25" customHeight="1">
      <c r="C373" s="9" t="s">
        <v>1447</v>
      </c>
      <c r="D373" s="9" t="s">
        <v>842</v>
      </c>
      <c r="E373" s="9" t="s">
        <v>1448</v>
      </c>
      <c r="F373" s="9" t="s">
        <v>1488</v>
      </c>
      <c r="H373" s="9"/>
    </row>
    <row r="374" ht="14.25" customHeight="1">
      <c r="C374" s="9" t="s">
        <v>1447</v>
      </c>
      <c r="D374" s="9" t="s">
        <v>842</v>
      </c>
      <c r="E374" s="9" t="s">
        <v>1448</v>
      </c>
      <c r="F374" s="9" t="s">
        <v>1787</v>
      </c>
      <c r="H374" s="9"/>
    </row>
    <row r="375" ht="14.25" customHeight="1">
      <c r="C375" s="9" t="s">
        <v>1447</v>
      </c>
      <c r="D375" s="9" t="s">
        <v>963</v>
      </c>
      <c r="E375" s="9" t="s">
        <v>1448</v>
      </c>
      <c r="F375" s="9" t="s">
        <v>1449</v>
      </c>
      <c r="H375" s="9"/>
    </row>
    <row r="376" ht="14.25" customHeight="1">
      <c r="C376" s="9" t="s">
        <v>1447</v>
      </c>
      <c r="D376" s="9" t="s">
        <v>963</v>
      </c>
      <c r="E376" s="9" t="s">
        <v>1448</v>
      </c>
      <c r="F376" s="9" t="s">
        <v>1450</v>
      </c>
      <c r="H376" s="9"/>
    </row>
    <row r="377" ht="14.25" customHeight="1">
      <c r="C377" s="9" t="s">
        <v>1447</v>
      </c>
      <c r="D377" s="9" t="s">
        <v>966</v>
      </c>
      <c r="E377" s="9" t="s">
        <v>1448</v>
      </c>
      <c r="F377" s="9" t="s">
        <v>1463</v>
      </c>
      <c r="H377" s="9"/>
    </row>
    <row r="378" ht="14.25" customHeight="1">
      <c r="C378" s="9" t="s">
        <v>1447</v>
      </c>
      <c r="D378" s="9" t="s">
        <v>966</v>
      </c>
      <c r="E378" s="9" t="s">
        <v>1448</v>
      </c>
      <c r="F378" s="9" t="s">
        <v>1464</v>
      </c>
      <c r="H378" s="9"/>
    </row>
    <row r="379" ht="14.25" customHeight="1">
      <c r="C379" s="9" t="s">
        <v>1447</v>
      </c>
      <c r="D379" s="9" t="s">
        <v>966</v>
      </c>
      <c r="E379" s="9" t="s">
        <v>1448</v>
      </c>
      <c r="F379" s="9" t="s">
        <v>1465</v>
      </c>
      <c r="H379" s="9"/>
    </row>
    <row r="380" ht="14.25" customHeight="1">
      <c r="C380" s="9" t="s">
        <v>1447</v>
      </c>
      <c r="D380" s="9" t="s">
        <v>966</v>
      </c>
      <c r="E380" s="9" t="s">
        <v>1448</v>
      </c>
      <c r="F380" s="9" t="s">
        <v>1458</v>
      </c>
      <c r="H380" s="9"/>
    </row>
    <row r="381" ht="14.25" customHeight="1">
      <c r="C381" s="9" t="s">
        <v>1447</v>
      </c>
      <c r="D381" s="9" t="s">
        <v>966</v>
      </c>
      <c r="E381" s="9" t="s">
        <v>1448</v>
      </c>
      <c r="F381" s="9" t="s">
        <v>1466</v>
      </c>
      <c r="H381" s="9"/>
    </row>
    <row r="382" ht="14.25" customHeight="1">
      <c r="C382" s="9" t="s">
        <v>1447</v>
      </c>
      <c r="D382" s="9" t="s">
        <v>966</v>
      </c>
      <c r="E382" s="9" t="s">
        <v>1448</v>
      </c>
      <c r="F382" s="9" t="s">
        <v>1459</v>
      </c>
      <c r="H382" s="9"/>
    </row>
    <row r="383" ht="14.25" customHeight="1">
      <c r="C383" s="9" t="s">
        <v>1447</v>
      </c>
      <c r="D383" s="9" t="s">
        <v>966</v>
      </c>
      <c r="E383" s="9" t="s">
        <v>1448</v>
      </c>
      <c r="F383" s="9" t="s">
        <v>1461</v>
      </c>
      <c r="H383" s="9"/>
    </row>
    <row r="384" ht="14.25" customHeight="1">
      <c r="C384" s="9" t="s">
        <v>1447</v>
      </c>
      <c r="D384" s="9" t="s">
        <v>966</v>
      </c>
      <c r="E384" s="9" t="s">
        <v>1448</v>
      </c>
      <c r="F384" s="9" t="s">
        <v>1467</v>
      </c>
      <c r="H384" s="9"/>
    </row>
    <row r="385" ht="14.25" customHeight="1">
      <c r="C385" s="9" t="s">
        <v>1447</v>
      </c>
      <c r="D385" s="9" t="s">
        <v>966</v>
      </c>
      <c r="E385" s="9" t="s">
        <v>1448</v>
      </c>
      <c r="F385" s="9" t="s">
        <v>1462</v>
      </c>
      <c r="H385" s="9"/>
    </row>
    <row r="386" ht="14.25" customHeight="1">
      <c r="C386" s="9" t="s">
        <v>1447</v>
      </c>
      <c r="D386" s="9" t="s">
        <v>966</v>
      </c>
      <c r="E386" s="9" t="s">
        <v>1448</v>
      </c>
      <c r="F386" s="9" t="s">
        <v>1457</v>
      </c>
      <c r="H386" s="9"/>
    </row>
    <row r="387" ht="14.25" customHeight="1">
      <c r="C387" s="9" t="s">
        <v>1447</v>
      </c>
      <c r="D387" s="9" t="s">
        <v>966</v>
      </c>
      <c r="E387" s="9" t="s">
        <v>1448</v>
      </c>
      <c r="F387" s="9" t="s">
        <v>1460</v>
      </c>
      <c r="H387" s="9"/>
    </row>
    <row r="388" ht="14.25" customHeight="1">
      <c r="C388" s="9" t="s">
        <v>1447</v>
      </c>
      <c r="D388" s="9" t="s">
        <v>966</v>
      </c>
      <c r="E388" s="9" t="s">
        <v>1448</v>
      </c>
      <c r="F388" s="9" t="s">
        <v>1456</v>
      </c>
      <c r="H388" s="9"/>
    </row>
    <row r="389" ht="14.25" customHeight="1">
      <c r="C389" s="9" t="s">
        <v>1447</v>
      </c>
      <c r="D389" s="9" t="s">
        <v>2555</v>
      </c>
      <c r="E389" s="9" t="s">
        <v>1448</v>
      </c>
      <c r="F389" s="9" t="s">
        <v>2556</v>
      </c>
      <c r="H389" s="9"/>
    </row>
    <row r="390" ht="14.25" customHeight="1">
      <c r="C390" s="9" t="s">
        <v>1447</v>
      </c>
      <c r="D390" s="9" t="s">
        <v>2555</v>
      </c>
      <c r="E390" s="9" t="s">
        <v>1448</v>
      </c>
      <c r="F390" s="9" t="s">
        <v>2557</v>
      </c>
      <c r="H390" s="9"/>
    </row>
    <row r="391" ht="14.25" customHeight="1">
      <c r="C391" s="9" t="s">
        <v>1447</v>
      </c>
      <c r="D391" s="9" t="s">
        <v>2555</v>
      </c>
      <c r="E391" s="9" t="s">
        <v>1448</v>
      </c>
      <c r="F391" s="9" t="s">
        <v>2558</v>
      </c>
      <c r="H391" s="9"/>
    </row>
    <row r="392" ht="14.25" customHeight="1">
      <c r="C392" s="9" t="s">
        <v>1447</v>
      </c>
      <c r="D392" s="9" t="s">
        <v>2555</v>
      </c>
      <c r="E392" s="9" t="s">
        <v>1448</v>
      </c>
      <c r="F392" s="9" t="s">
        <v>2559</v>
      </c>
      <c r="H392" s="9"/>
    </row>
    <row r="393" ht="14.25" customHeight="1">
      <c r="C393" s="9" t="s">
        <v>1447</v>
      </c>
      <c r="D393" s="9" t="s">
        <v>2555</v>
      </c>
      <c r="E393" s="9" t="s">
        <v>1448</v>
      </c>
      <c r="F393" s="9" t="s">
        <v>2560</v>
      </c>
      <c r="H393" s="9"/>
    </row>
    <row r="394" ht="14.25" customHeight="1">
      <c r="C394" s="9" t="s">
        <v>1447</v>
      </c>
      <c r="D394" s="9" t="s">
        <v>2555</v>
      </c>
      <c r="E394" s="9" t="s">
        <v>1448</v>
      </c>
      <c r="F394" s="9" t="s">
        <v>2561</v>
      </c>
      <c r="H394" s="9"/>
    </row>
    <row r="395" ht="14.25" customHeight="1">
      <c r="C395" s="9" t="s">
        <v>1447</v>
      </c>
      <c r="D395" s="9" t="s">
        <v>2555</v>
      </c>
      <c r="E395" s="9" t="s">
        <v>1448</v>
      </c>
      <c r="F395" s="9" t="s">
        <v>1648</v>
      </c>
      <c r="H395" s="9"/>
    </row>
    <row r="396" ht="14.25" customHeight="1">
      <c r="C396" s="9" t="s">
        <v>1447</v>
      </c>
      <c r="D396" s="9" t="s">
        <v>2555</v>
      </c>
      <c r="E396" s="9" t="s">
        <v>1448</v>
      </c>
      <c r="F396" s="9" t="s">
        <v>2562</v>
      </c>
      <c r="H396" s="9"/>
    </row>
    <row r="397" ht="14.25" customHeight="1">
      <c r="C397" s="9" t="s">
        <v>1447</v>
      </c>
      <c r="D397" s="9" t="s">
        <v>2555</v>
      </c>
      <c r="E397" s="9" t="s">
        <v>1448</v>
      </c>
      <c r="F397" s="9" t="s">
        <v>2563</v>
      </c>
      <c r="H397" s="9"/>
    </row>
    <row r="398" ht="14.25" customHeight="1">
      <c r="C398" s="9" t="s">
        <v>1447</v>
      </c>
      <c r="D398" s="9" t="s">
        <v>2555</v>
      </c>
      <c r="E398" s="9" t="s">
        <v>1448</v>
      </c>
      <c r="F398" s="9" t="s">
        <v>2564</v>
      </c>
      <c r="H398" s="9"/>
    </row>
    <row r="399" ht="14.25" customHeight="1">
      <c r="C399" s="9" t="s">
        <v>1447</v>
      </c>
      <c r="D399" s="9" t="s">
        <v>2555</v>
      </c>
      <c r="E399" s="9" t="s">
        <v>1448</v>
      </c>
      <c r="F399" s="9" t="s">
        <v>2565</v>
      </c>
      <c r="H399" s="9"/>
    </row>
    <row r="400" ht="14.25" customHeight="1">
      <c r="C400" s="9" t="s">
        <v>1447</v>
      </c>
      <c r="D400" s="9" t="s">
        <v>1173</v>
      </c>
      <c r="E400" s="9" t="s">
        <v>1448</v>
      </c>
      <c r="F400" s="9" t="s">
        <v>1479</v>
      </c>
      <c r="H400" s="9"/>
    </row>
    <row r="401" ht="14.25" customHeight="1">
      <c r="C401" s="9" t="s">
        <v>1447</v>
      </c>
      <c r="D401" s="9" t="s">
        <v>1173</v>
      </c>
      <c r="E401" s="9" t="s">
        <v>1448</v>
      </c>
      <c r="F401" s="9" t="s">
        <v>1480</v>
      </c>
      <c r="H401" s="9"/>
    </row>
    <row r="402" ht="14.25" customHeight="1">
      <c r="C402" s="9" t="s">
        <v>1447</v>
      </c>
      <c r="D402" s="9" t="s">
        <v>1173</v>
      </c>
      <c r="E402" s="9" t="s">
        <v>1448</v>
      </c>
      <c r="F402" s="9" t="s">
        <v>1474</v>
      </c>
      <c r="H402" s="9"/>
    </row>
    <row r="403" ht="14.25" customHeight="1">
      <c r="C403" s="9" t="s">
        <v>1447</v>
      </c>
      <c r="D403" s="9" t="s">
        <v>1173</v>
      </c>
      <c r="E403" s="9" t="s">
        <v>1448</v>
      </c>
      <c r="F403" s="9" t="s">
        <v>1477</v>
      </c>
      <c r="H403" s="9"/>
    </row>
    <row r="404" ht="14.25" customHeight="1">
      <c r="C404" s="9" t="s">
        <v>1447</v>
      </c>
      <c r="D404" s="9" t="s">
        <v>1173</v>
      </c>
      <c r="E404" s="9" t="s">
        <v>1448</v>
      </c>
      <c r="F404" s="9" t="s">
        <v>1478</v>
      </c>
      <c r="H404" s="9"/>
    </row>
    <row r="405" ht="14.25" customHeight="1">
      <c r="C405" s="9" t="s">
        <v>1447</v>
      </c>
      <c r="D405" s="9" t="s">
        <v>1173</v>
      </c>
      <c r="E405" s="9" t="s">
        <v>1448</v>
      </c>
      <c r="F405" s="9" t="s">
        <v>1472</v>
      </c>
      <c r="H405" s="9"/>
    </row>
    <row r="406" ht="14.25" customHeight="1">
      <c r="C406" s="9" t="s">
        <v>1447</v>
      </c>
      <c r="D406" s="9" t="s">
        <v>1173</v>
      </c>
      <c r="E406" s="9" t="s">
        <v>1448</v>
      </c>
      <c r="F406" s="9" t="s">
        <v>1468</v>
      </c>
      <c r="H406" s="9"/>
    </row>
    <row r="407" ht="14.25" customHeight="1">
      <c r="C407" s="9" t="s">
        <v>1447</v>
      </c>
      <c r="D407" s="9" t="s">
        <v>1173</v>
      </c>
      <c r="E407" s="9" t="s">
        <v>1448</v>
      </c>
      <c r="F407" s="9" t="s">
        <v>1476</v>
      </c>
      <c r="H407" s="9"/>
    </row>
    <row r="408" ht="14.25" customHeight="1">
      <c r="C408" s="9" t="s">
        <v>1447</v>
      </c>
      <c r="D408" s="9" t="s">
        <v>1173</v>
      </c>
      <c r="E408" s="9" t="s">
        <v>1448</v>
      </c>
      <c r="F408" s="9" t="s">
        <v>1469</v>
      </c>
      <c r="H408" s="9"/>
    </row>
    <row r="409" ht="14.25" customHeight="1">
      <c r="C409" s="9" t="s">
        <v>1447</v>
      </c>
      <c r="D409" s="9" t="s">
        <v>1173</v>
      </c>
      <c r="E409" s="9" t="s">
        <v>1448</v>
      </c>
      <c r="F409" s="9" t="s">
        <v>1475</v>
      </c>
      <c r="H409" s="9"/>
    </row>
    <row r="410" ht="14.25" customHeight="1">
      <c r="C410" s="9" t="s">
        <v>1447</v>
      </c>
      <c r="D410" s="9" t="s">
        <v>1173</v>
      </c>
      <c r="E410" s="9" t="s">
        <v>1448</v>
      </c>
      <c r="F410" s="9" t="s">
        <v>1473</v>
      </c>
      <c r="H410" s="9"/>
    </row>
    <row r="411" ht="14.25" customHeight="1">
      <c r="C411" s="9" t="s">
        <v>1447</v>
      </c>
      <c r="D411" s="9" t="s">
        <v>1173</v>
      </c>
      <c r="E411" s="9" t="s">
        <v>1448</v>
      </c>
      <c r="F411" s="9" t="s">
        <v>1471</v>
      </c>
      <c r="H411" s="9"/>
    </row>
    <row r="412" ht="14.25" customHeight="1">
      <c r="C412" s="9" t="s">
        <v>1447</v>
      </c>
      <c r="D412" s="9" t="s">
        <v>1173</v>
      </c>
      <c r="E412" s="9" t="s">
        <v>1448</v>
      </c>
      <c r="F412" s="9" t="s">
        <v>1470</v>
      </c>
      <c r="H412" s="9"/>
    </row>
    <row r="413" ht="14.25" customHeight="1">
      <c r="C413" s="9" t="s">
        <v>1447</v>
      </c>
      <c r="D413" s="9" t="s">
        <v>2567</v>
      </c>
      <c r="E413" s="9" t="s">
        <v>1448</v>
      </c>
      <c r="F413" s="9" t="s">
        <v>2568</v>
      </c>
      <c r="H413" s="9"/>
    </row>
    <row r="414" ht="14.25" customHeight="1">
      <c r="C414" s="9" t="s">
        <v>1447</v>
      </c>
      <c r="D414" s="9" t="s">
        <v>2567</v>
      </c>
      <c r="E414" s="9" t="s">
        <v>1448</v>
      </c>
      <c r="F414" s="9" t="s">
        <v>2570</v>
      </c>
      <c r="H414" s="9"/>
    </row>
    <row r="415" ht="14.25" customHeight="1">
      <c r="C415" s="9" t="s">
        <v>1447</v>
      </c>
      <c r="D415" s="9" t="s">
        <v>2567</v>
      </c>
      <c r="E415" s="9" t="s">
        <v>1448</v>
      </c>
      <c r="F415" s="9" t="s">
        <v>2571</v>
      </c>
      <c r="H415" s="9"/>
    </row>
    <row r="416" ht="14.25" customHeight="1">
      <c r="C416" s="9" t="s">
        <v>1447</v>
      </c>
      <c r="D416" s="9" t="s">
        <v>2567</v>
      </c>
      <c r="E416" s="9" t="s">
        <v>1448</v>
      </c>
      <c r="F416" s="9" t="s">
        <v>2572</v>
      </c>
      <c r="H416" s="9"/>
    </row>
    <row r="417" ht="14.25" customHeight="1">
      <c r="C417" s="9" t="s">
        <v>1447</v>
      </c>
      <c r="D417" s="9" t="s">
        <v>2567</v>
      </c>
      <c r="E417" s="9" t="s">
        <v>1448</v>
      </c>
      <c r="F417" s="9" t="s">
        <v>2574</v>
      </c>
      <c r="H417" s="9"/>
    </row>
    <row r="418" ht="14.25" customHeight="1">
      <c r="C418" s="9" t="s">
        <v>1447</v>
      </c>
      <c r="D418" s="9" t="s">
        <v>2567</v>
      </c>
      <c r="E418" s="9" t="s">
        <v>1448</v>
      </c>
      <c r="F418" s="9" t="s">
        <v>2575</v>
      </c>
      <c r="H418" s="9"/>
    </row>
    <row r="419" ht="14.25" customHeight="1">
      <c r="C419" s="9" t="s">
        <v>2576</v>
      </c>
      <c r="D419" s="9" t="s">
        <v>2576</v>
      </c>
      <c r="E419" s="9" t="s">
        <v>1448</v>
      </c>
      <c r="F419" s="9" t="s">
        <v>2577</v>
      </c>
      <c r="H419" s="9"/>
    </row>
    <row r="420" ht="14.25" customHeight="1">
      <c r="C420" s="9" t="s">
        <v>2576</v>
      </c>
      <c r="D420" s="9" t="s">
        <v>2576</v>
      </c>
      <c r="E420" s="9" t="s">
        <v>1448</v>
      </c>
      <c r="F420" s="9" t="s">
        <v>2579</v>
      </c>
      <c r="H420" s="9"/>
    </row>
    <row r="421" ht="14.25" customHeight="1">
      <c r="C421" s="9" t="s">
        <v>2576</v>
      </c>
      <c r="D421" s="9" t="s">
        <v>2576</v>
      </c>
      <c r="E421" s="9" t="s">
        <v>1448</v>
      </c>
      <c r="F421" s="9" t="s">
        <v>2580</v>
      </c>
      <c r="H421" s="9"/>
    </row>
    <row r="422" ht="14.25" customHeight="1">
      <c r="C422" s="9" t="s">
        <v>2576</v>
      </c>
      <c r="D422" s="9" t="s">
        <v>2576</v>
      </c>
      <c r="E422" s="9" t="s">
        <v>1448</v>
      </c>
      <c r="F422" s="9" t="s">
        <v>2581</v>
      </c>
      <c r="H422" s="9"/>
    </row>
    <row r="423" ht="14.25" customHeight="1">
      <c r="C423" s="9" t="s">
        <v>2583</v>
      </c>
      <c r="D423" s="9" t="s">
        <v>2584</v>
      </c>
      <c r="E423" s="9" t="s">
        <v>1448</v>
      </c>
      <c r="F423" s="9" t="s">
        <v>474</v>
      </c>
      <c r="H423" s="9"/>
    </row>
    <row r="424" ht="14.25" customHeight="1">
      <c r="C424" s="9" t="s">
        <v>2583</v>
      </c>
      <c r="D424" s="9" t="s">
        <v>2584</v>
      </c>
      <c r="E424" s="9" t="s">
        <v>1448</v>
      </c>
      <c r="F424" s="9" t="s">
        <v>284</v>
      </c>
      <c r="H424" s="9"/>
    </row>
    <row r="425" ht="14.25" customHeight="1">
      <c r="C425" s="9" t="s">
        <v>2583</v>
      </c>
      <c r="D425" s="9" t="s">
        <v>2584</v>
      </c>
      <c r="E425" s="9" t="s">
        <v>1448</v>
      </c>
      <c r="F425" s="9" t="s">
        <v>493</v>
      </c>
      <c r="H425" s="9"/>
    </row>
    <row r="426" ht="14.25" customHeight="1">
      <c r="C426" s="9" t="s">
        <v>2583</v>
      </c>
      <c r="D426" s="9" t="s">
        <v>2584</v>
      </c>
      <c r="E426" s="9" t="s">
        <v>1448</v>
      </c>
      <c r="F426" s="9" t="s">
        <v>450</v>
      </c>
      <c r="H426" s="9"/>
    </row>
    <row r="427" ht="14.25" customHeight="1">
      <c r="C427" s="9" t="s">
        <v>2583</v>
      </c>
      <c r="D427" s="9" t="s">
        <v>2584</v>
      </c>
      <c r="E427" s="9" t="s">
        <v>1448</v>
      </c>
      <c r="F427" s="9" t="s">
        <v>395</v>
      </c>
      <c r="H427" s="9"/>
    </row>
    <row r="428" ht="14.25" customHeight="1">
      <c r="C428" s="9" t="s">
        <v>2583</v>
      </c>
      <c r="D428" s="9" t="s">
        <v>2584</v>
      </c>
      <c r="E428" s="9" t="s">
        <v>1448</v>
      </c>
      <c r="F428" s="9" t="s">
        <v>276</v>
      </c>
      <c r="H428" s="9"/>
    </row>
    <row r="429" ht="14.25" customHeight="1">
      <c r="C429" s="9" t="s">
        <v>2583</v>
      </c>
      <c r="D429" s="9" t="s">
        <v>2584</v>
      </c>
      <c r="E429" s="9" t="s">
        <v>1448</v>
      </c>
      <c r="F429" s="9" t="s">
        <v>431</v>
      </c>
      <c r="H429" s="9"/>
    </row>
    <row r="430" ht="14.25" customHeight="1">
      <c r="C430" s="9" t="s">
        <v>2583</v>
      </c>
      <c r="D430" s="9" t="s">
        <v>2584</v>
      </c>
      <c r="E430" s="9" t="s">
        <v>1448</v>
      </c>
      <c r="F430" s="9" t="s">
        <v>1272</v>
      </c>
      <c r="H430" s="9"/>
    </row>
    <row r="431" ht="14.25" customHeight="1">
      <c r="C431" s="9" t="s">
        <v>2583</v>
      </c>
      <c r="D431" s="9" t="s">
        <v>2584</v>
      </c>
      <c r="E431" s="9" t="s">
        <v>1448</v>
      </c>
      <c r="F431" s="9" t="s">
        <v>420</v>
      </c>
      <c r="H431" s="9"/>
    </row>
    <row r="432" ht="14.25" customHeight="1">
      <c r="C432" s="9" t="s">
        <v>2583</v>
      </c>
      <c r="D432" s="9" t="s">
        <v>2584</v>
      </c>
      <c r="E432" s="9" t="s">
        <v>1448</v>
      </c>
      <c r="F432" s="9" t="s">
        <v>482</v>
      </c>
      <c r="H432" s="9"/>
    </row>
    <row r="433" ht="14.25" customHeight="1">
      <c r="C433" s="9" t="s">
        <v>2583</v>
      </c>
      <c r="D433" s="9" t="s">
        <v>2584</v>
      </c>
      <c r="E433" s="9" t="s">
        <v>1448</v>
      </c>
      <c r="F433" s="9" t="s">
        <v>136</v>
      </c>
      <c r="H433" s="9"/>
    </row>
    <row r="434" ht="14.25" customHeight="1">
      <c r="C434" s="9" t="s">
        <v>2583</v>
      </c>
      <c r="D434" s="9" t="s">
        <v>2584</v>
      </c>
      <c r="E434" s="9" t="s">
        <v>1448</v>
      </c>
      <c r="F434" s="9" t="s">
        <v>408</v>
      </c>
      <c r="H434" s="9"/>
    </row>
    <row r="435" ht="14.25" customHeight="1">
      <c r="C435" s="9" t="s">
        <v>2583</v>
      </c>
      <c r="D435" s="9" t="s">
        <v>2584</v>
      </c>
      <c r="E435" s="9" t="s">
        <v>1448</v>
      </c>
      <c r="F435" s="9" t="s">
        <v>2589</v>
      </c>
      <c r="H435" s="9"/>
    </row>
    <row r="436" ht="14.25" customHeight="1">
      <c r="C436" s="9" t="s">
        <v>2583</v>
      </c>
      <c r="D436" s="9" t="s">
        <v>2584</v>
      </c>
      <c r="E436" s="9" t="s">
        <v>1448</v>
      </c>
      <c r="F436" s="9" t="s">
        <v>197</v>
      </c>
      <c r="H436" s="9"/>
    </row>
    <row r="437" ht="14.25" customHeight="1">
      <c r="C437" s="9" t="s">
        <v>2583</v>
      </c>
      <c r="D437" s="9" t="s">
        <v>2584</v>
      </c>
      <c r="E437" s="9" t="s">
        <v>1448</v>
      </c>
      <c r="F437" s="9" t="s">
        <v>172</v>
      </c>
      <c r="H437" s="9"/>
    </row>
    <row r="438" ht="14.25" customHeight="1">
      <c r="C438" s="9" t="s">
        <v>2583</v>
      </c>
      <c r="D438" s="9" t="s">
        <v>2584</v>
      </c>
      <c r="E438" s="9" t="s">
        <v>1448</v>
      </c>
      <c r="F438" s="9" t="s">
        <v>98</v>
      </c>
      <c r="H438" s="9"/>
    </row>
    <row r="439" ht="14.25" customHeight="1">
      <c r="C439" s="9" t="s">
        <v>2583</v>
      </c>
      <c r="D439" s="9" t="s">
        <v>2584</v>
      </c>
      <c r="E439" s="9" t="s">
        <v>1448</v>
      </c>
      <c r="F439" s="9" t="s">
        <v>341</v>
      </c>
      <c r="H439" s="9"/>
    </row>
    <row r="440" ht="14.25" customHeight="1">
      <c r="C440" s="9" t="s">
        <v>2583</v>
      </c>
      <c r="D440" s="9" t="s">
        <v>2584</v>
      </c>
      <c r="E440" s="9" t="s">
        <v>1448</v>
      </c>
      <c r="F440" s="9" t="s">
        <v>367</v>
      </c>
      <c r="H440" s="9"/>
    </row>
    <row r="441" ht="14.25" customHeight="1">
      <c r="C441" s="9" t="s">
        <v>2583</v>
      </c>
      <c r="D441" s="9" t="s">
        <v>2584</v>
      </c>
      <c r="E441" s="9" t="s">
        <v>1448</v>
      </c>
      <c r="F441" s="9" t="s">
        <v>529</v>
      </c>
      <c r="H441" s="9"/>
    </row>
    <row r="442" ht="14.25" customHeight="1">
      <c r="C442" s="9" t="s">
        <v>2583</v>
      </c>
      <c r="D442" s="9" t="s">
        <v>2584</v>
      </c>
      <c r="E442" s="9" t="s">
        <v>1448</v>
      </c>
      <c r="F442" s="9" t="s">
        <v>282</v>
      </c>
      <c r="H442" s="9"/>
    </row>
    <row r="443" ht="14.25" customHeight="1">
      <c r="C443" s="9" t="s">
        <v>2583</v>
      </c>
      <c r="D443" s="9" t="s">
        <v>2584</v>
      </c>
      <c r="E443" s="9" t="s">
        <v>1448</v>
      </c>
      <c r="F443" s="9" t="s">
        <v>321</v>
      </c>
      <c r="H443" s="9"/>
    </row>
    <row r="444" ht="14.25" customHeight="1">
      <c r="C444" s="9" t="s">
        <v>2583</v>
      </c>
      <c r="D444" s="9" t="s">
        <v>2584</v>
      </c>
      <c r="E444" s="9" t="s">
        <v>1448</v>
      </c>
      <c r="F444" s="9" t="s">
        <v>272</v>
      </c>
      <c r="H444" s="9"/>
    </row>
    <row r="445" ht="14.25" customHeight="1">
      <c r="C445" s="9" t="s">
        <v>2583</v>
      </c>
      <c r="D445" s="9" t="s">
        <v>2584</v>
      </c>
      <c r="E445" s="9" t="s">
        <v>1448</v>
      </c>
      <c r="F445" s="9" t="s">
        <v>517</v>
      </c>
      <c r="H445" s="9"/>
    </row>
    <row r="446" ht="14.25" customHeight="1">
      <c r="C446" s="9" t="s">
        <v>2583</v>
      </c>
      <c r="D446" s="9" t="s">
        <v>2584</v>
      </c>
      <c r="E446" s="9" t="s">
        <v>1448</v>
      </c>
      <c r="F446" s="9" t="s">
        <v>2593</v>
      </c>
      <c r="H446" s="9"/>
    </row>
    <row r="447" ht="14.25" customHeight="1">
      <c r="C447" s="9" t="s">
        <v>2583</v>
      </c>
      <c r="D447" s="9" t="s">
        <v>2584</v>
      </c>
      <c r="E447" s="9" t="s">
        <v>1448</v>
      </c>
      <c r="F447" s="9" t="s">
        <v>507</v>
      </c>
      <c r="H447" s="9"/>
    </row>
    <row r="448" ht="14.25" customHeight="1">
      <c r="C448" s="9" t="s">
        <v>2583</v>
      </c>
      <c r="D448" s="9" t="s">
        <v>2584</v>
      </c>
      <c r="E448" s="9" t="s">
        <v>1448</v>
      </c>
      <c r="F448" s="9" t="s">
        <v>336</v>
      </c>
      <c r="H448" s="9"/>
    </row>
    <row r="449" ht="14.25" customHeight="1">
      <c r="C449" s="9" t="s">
        <v>2583</v>
      </c>
      <c r="D449" s="9" t="s">
        <v>2584</v>
      </c>
      <c r="E449" s="9" t="s">
        <v>1448</v>
      </c>
      <c r="F449" s="9" t="s">
        <v>235</v>
      </c>
      <c r="H449" s="9"/>
    </row>
    <row r="450" ht="14.25" customHeight="1">
      <c r="C450" s="9" t="s">
        <v>2583</v>
      </c>
      <c r="D450" s="9" t="s">
        <v>2584</v>
      </c>
      <c r="E450" s="9" t="s">
        <v>1448</v>
      </c>
      <c r="F450" s="9" t="s">
        <v>327</v>
      </c>
      <c r="H450" s="9"/>
    </row>
    <row r="451" ht="14.25" customHeight="1">
      <c r="C451" s="9" t="s">
        <v>2583</v>
      </c>
      <c r="D451" s="9" t="s">
        <v>2584</v>
      </c>
      <c r="E451" s="9" t="s">
        <v>1448</v>
      </c>
      <c r="F451" s="9" t="s">
        <v>264</v>
      </c>
      <c r="H451" s="9"/>
    </row>
    <row r="452" ht="14.25" customHeight="1">
      <c r="C452" s="9" t="s">
        <v>1946</v>
      </c>
      <c r="D452" s="9" t="s">
        <v>950</v>
      </c>
      <c r="E452" s="9" t="s">
        <v>1921</v>
      </c>
      <c r="F452" s="9" t="s">
        <v>2154</v>
      </c>
      <c r="H452" s="9"/>
    </row>
    <row r="453" ht="14.25" customHeight="1">
      <c r="C453" s="9" t="s">
        <v>1946</v>
      </c>
      <c r="D453" s="9" t="s">
        <v>950</v>
      </c>
      <c r="E453" s="9" t="s">
        <v>1921</v>
      </c>
      <c r="F453" s="9" t="s">
        <v>2182</v>
      </c>
      <c r="H453" s="9"/>
    </row>
    <row r="454" ht="14.25" customHeight="1">
      <c r="C454" s="9" t="s">
        <v>1946</v>
      </c>
      <c r="D454" s="9" t="s">
        <v>950</v>
      </c>
      <c r="E454" s="9" t="s">
        <v>1921</v>
      </c>
      <c r="F454" s="9" t="s">
        <v>2159</v>
      </c>
      <c r="H454" s="9"/>
    </row>
    <row r="455" ht="14.25" customHeight="1">
      <c r="C455" s="9" t="s">
        <v>1946</v>
      </c>
      <c r="D455" s="9" t="s">
        <v>950</v>
      </c>
      <c r="E455" s="9" t="s">
        <v>1921</v>
      </c>
      <c r="F455" s="9" t="s">
        <v>2167</v>
      </c>
      <c r="H455" s="9"/>
    </row>
    <row r="456" ht="14.25" customHeight="1">
      <c r="C456" s="9" t="s">
        <v>1946</v>
      </c>
      <c r="D456" s="9" t="s">
        <v>950</v>
      </c>
      <c r="E456" s="9" t="s">
        <v>1921</v>
      </c>
      <c r="F456" s="9" t="s">
        <v>2185</v>
      </c>
      <c r="H456" s="9"/>
    </row>
    <row r="457" ht="14.25" customHeight="1">
      <c r="C457" s="9" t="s">
        <v>1946</v>
      </c>
      <c r="D457" s="9" t="s">
        <v>950</v>
      </c>
      <c r="E457" s="9" t="s">
        <v>1921</v>
      </c>
      <c r="F457" s="9" t="s">
        <v>2164</v>
      </c>
      <c r="H457" s="9"/>
    </row>
    <row r="458" ht="14.25" customHeight="1">
      <c r="C458" s="9" t="s">
        <v>1946</v>
      </c>
      <c r="D458" s="9" t="s">
        <v>950</v>
      </c>
      <c r="E458" s="9" t="s">
        <v>1921</v>
      </c>
      <c r="F458" s="9" t="s">
        <v>2170</v>
      </c>
      <c r="H458" s="9"/>
    </row>
    <row r="459" ht="14.25" customHeight="1">
      <c r="C459" s="9" t="s">
        <v>1946</v>
      </c>
      <c r="D459" s="9" t="s">
        <v>950</v>
      </c>
      <c r="E459" s="9" t="s">
        <v>1921</v>
      </c>
      <c r="F459" s="9" t="s">
        <v>2156</v>
      </c>
      <c r="H459" s="9"/>
    </row>
    <row r="460" ht="14.25" customHeight="1">
      <c r="C460" s="9" t="s">
        <v>1946</v>
      </c>
      <c r="D460" s="9" t="s">
        <v>950</v>
      </c>
      <c r="E460" s="9" t="s">
        <v>1921</v>
      </c>
      <c r="F460" s="9" t="s">
        <v>2174</v>
      </c>
      <c r="H460" s="9"/>
    </row>
    <row r="461" ht="14.25" customHeight="1">
      <c r="C461" s="9" t="s">
        <v>1946</v>
      </c>
      <c r="D461" s="9" t="s">
        <v>950</v>
      </c>
      <c r="E461" s="9" t="s">
        <v>1921</v>
      </c>
      <c r="F461" s="9" t="s">
        <v>2179</v>
      </c>
      <c r="H461" s="9"/>
    </row>
    <row r="462" ht="14.25" customHeight="1">
      <c r="C462" s="9" t="s">
        <v>1946</v>
      </c>
      <c r="D462" s="9" t="s">
        <v>950</v>
      </c>
      <c r="E462" s="9" t="s">
        <v>1921</v>
      </c>
      <c r="F462" s="9" t="s">
        <v>2143</v>
      </c>
      <c r="H462" s="9"/>
    </row>
    <row r="463" ht="14.25" customHeight="1">
      <c r="C463" s="9" t="s">
        <v>1946</v>
      </c>
      <c r="D463" s="9" t="s">
        <v>950</v>
      </c>
      <c r="E463" s="9" t="s">
        <v>1921</v>
      </c>
      <c r="F463" s="9" t="s">
        <v>1974</v>
      </c>
      <c r="H463" s="9"/>
    </row>
    <row r="464" ht="14.25" customHeight="1">
      <c r="C464" s="9" t="s">
        <v>1946</v>
      </c>
      <c r="D464" s="9" t="s">
        <v>950</v>
      </c>
      <c r="E464" s="9" t="s">
        <v>1921</v>
      </c>
      <c r="F464" s="9" t="s">
        <v>2597</v>
      </c>
      <c r="H464" s="9"/>
    </row>
    <row r="465" ht="14.25" customHeight="1">
      <c r="C465" s="9" t="s">
        <v>1946</v>
      </c>
      <c r="D465" s="9" t="s">
        <v>950</v>
      </c>
      <c r="E465" s="9" t="s">
        <v>1921</v>
      </c>
      <c r="F465" s="9" t="s">
        <v>2148</v>
      </c>
      <c r="H465" s="9"/>
    </row>
    <row r="466" ht="14.25" customHeight="1">
      <c r="C466" s="9" t="s">
        <v>1946</v>
      </c>
      <c r="D466" s="9" t="s">
        <v>950</v>
      </c>
      <c r="E466" s="9" t="s">
        <v>1921</v>
      </c>
      <c r="F466" s="9" t="s">
        <v>2152</v>
      </c>
      <c r="H466" s="9"/>
    </row>
    <row r="467" ht="14.25" customHeight="1">
      <c r="C467" s="9" t="s">
        <v>1946</v>
      </c>
      <c r="D467" s="9" t="s">
        <v>2121</v>
      </c>
      <c r="E467" s="9" t="s">
        <v>1921</v>
      </c>
      <c r="F467" s="9" t="s">
        <v>2137</v>
      </c>
      <c r="H467" s="9"/>
    </row>
    <row r="468" ht="14.25" customHeight="1">
      <c r="C468" s="9" t="s">
        <v>1946</v>
      </c>
      <c r="D468" s="9" t="s">
        <v>2121</v>
      </c>
      <c r="E468" s="9" t="s">
        <v>1921</v>
      </c>
      <c r="F468" s="9" t="s">
        <v>2135</v>
      </c>
      <c r="H468" s="9"/>
    </row>
    <row r="469" ht="14.25" customHeight="1">
      <c r="C469" s="9" t="s">
        <v>1946</v>
      </c>
      <c r="D469" s="9" t="s">
        <v>2121</v>
      </c>
      <c r="E469" s="9" t="s">
        <v>1921</v>
      </c>
      <c r="F469" s="9" t="s">
        <v>2146</v>
      </c>
      <c r="H469" s="9"/>
    </row>
    <row r="470" ht="14.25" customHeight="1">
      <c r="C470" s="9" t="s">
        <v>1946</v>
      </c>
      <c r="D470" s="9" t="s">
        <v>2121</v>
      </c>
      <c r="E470" s="9" t="s">
        <v>1921</v>
      </c>
      <c r="F470" s="9" t="s">
        <v>2129</v>
      </c>
      <c r="H470" s="9"/>
    </row>
    <row r="471" ht="14.25" customHeight="1">
      <c r="C471" s="9" t="s">
        <v>1946</v>
      </c>
      <c r="D471" s="9" t="s">
        <v>2121</v>
      </c>
      <c r="E471" s="9" t="s">
        <v>1921</v>
      </c>
      <c r="F471" s="9" t="s">
        <v>2125</v>
      </c>
      <c r="H471" s="9"/>
    </row>
    <row r="472" ht="14.25" customHeight="1">
      <c r="C472" s="9" t="s">
        <v>1946</v>
      </c>
      <c r="D472" s="9" t="s">
        <v>2121</v>
      </c>
      <c r="E472" s="9" t="s">
        <v>1921</v>
      </c>
      <c r="F472" s="9" t="s">
        <v>2132</v>
      </c>
      <c r="H472" s="9"/>
    </row>
    <row r="473" ht="14.25" customHeight="1">
      <c r="C473" s="9" t="s">
        <v>1946</v>
      </c>
      <c r="D473" s="9" t="s">
        <v>2121</v>
      </c>
      <c r="E473" s="9" t="s">
        <v>1921</v>
      </c>
      <c r="F473" s="9" t="s">
        <v>2141</v>
      </c>
      <c r="H473" s="9"/>
    </row>
    <row r="474" ht="14.25" customHeight="1">
      <c r="C474" s="9" t="s">
        <v>1946</v>
      </c>
      <c r="D474" s="9" t="s">
        <v>2121</v>
      </c>
      <c r="E474" s="9" t="s">
        <v>1921</v>
      </c>
      <c r="F474" s="9" t="s">
        <v>2143</v>
      </c>
      <c r="H474" s="9"/>
    </row>
    <row r="475" ht="14.25" customHeight="1">
      <c r="C475" s="9" t="s">
        <v>1946</v>
      </c>
      <c r="D475" s="9" t="s">
        <v>2121</v>
      </c>
      <c r="E475" s="9" t="s">
        <v>1921</v>
      </c>
      <c r="F475" s="9" t="s">
        <v>2597</v>
      </c>
      <c r="H475" s="9"/>
    </row>
    <row r="476" ht="14.25" customHeight="1">
      <c r="C476" s="9" t="s">
        <v>1946</v>
      </c>
      <c r="D476" s="9" t="s">
        <v>2121</v>
      </c>
      <c r="E476" s="9" t="s">
        <v>1921</v>
      </c>
      <c r="F476" s="9" t="s">
        <v>2122</v>
      </c>
      <c r="H476" s="9"/>
    </row>
    <row r="477" ht="14.25" customHeight="1">
      <c r="C477" s="9" t="s">
        <v>1946</v>
      </c>
      <c r="D477" s="9" t="s">
        <v>2188</v>
      </c>
      <c r="E477" s="9" t="s">
        <v>1921</v>
      </c>
      <c r="F477" s="9" t="s">
        <v>2042</v>
      </c>
      <c r="H477" s="9"/>
    </row>
    <row r="478" ht="14.25" customHeight="1">
      <c r="C478" s="9" t="s">
        <v>1946</v>
      </c>
      <c r="D478" s="9" t="s">
        <v>2188</v>
      </c>
      <c r="E478" s="9" t="s">
        <v>1921</v>
      </c>
      <c r="F478" s="9" t="s">
        <v>2196</v>
      </c>
      <c r="H478" s="9"/>
    </row>
    <row r="479" ht="14.25" customHeight="1">
      <c r="C479" s="9" t="s">
        <v>1946</v>
      </c>
      <c r="D479" s="9" t="s">
        <v>2188</v>
      </c>
      <c r="E479" s="9" t="s">
        <v>1921</v>
      </c>
      <c r="F479" s="9" t="s">
        <v>2043</v>
      </c>
      <c r="H479" s="9"/>
    </row>
    <row r="480" ht="14.25" customHeight="1">
      <c r="C480" s="9" t="s">
        <v>1946</v>
      </c>
      <c r="D480" s="9" t="s">
        <v>2188</v>
      </c>
      <c r="E480" s="9" t="s">
        <v>1921</v>
      </c>
      <c r="F480" s="9" t="s">
        <v>2041</v>
      </c>
      <c r="H480" s="9"/>
    </row>
    <row r="481" ht="14.25" customHeight="1">
      <c r="C481" s="9" t="s">
        <v>1946</v>
      </c>
      <c r="D481" s="9" t="s">
        <v>2014</v>
      </c>
      <c r="E481" s="9" t="s">
        <v>1921</v>
      </c>
      <c r="F481" s="9" t="s">
        <v>2025</v>
      </c>
      <c r="H481" s="9"/>
    </row>
    <row r="482" ht="14.25" customHeight="1">
      <c r="C482" s="9" t="s">
        <v>1946</v>
      </c>
      <c r="D482" s="9" t="s">
        <v>2014</v>
      </c>
      <c r="E482" s="9" t="s">
        <v>1921</v>
      </c>
      <c r="F482" s="9" t="s">
        <v>2019</v>
      </c>
      <c r="H482" s="9"/>
    </row>
    <row r="483" ht="14.25" customHeight="1">
      <c r="C483" s="9" t="s">
        <v>1946</v>
      </c>
      <c r="D483" s="9" t="s">
        <v>2014</v>
      </c>
      <c r="E483" s="9" t="s">
        <v>1921</v>
      </c>
      <c r="F483" s="9" t="s">
        <v>2015</v>
      </c>
      <c r="H483" s="9"/>
    </row>
    <row r="484" ht="14.25" customHeight="1">
      <c r="C484" s="9" t="s">
        <v>1946</v>
      </c>
      <c r="D484" s="9" t="s">
        <v>2014</v>
      </c>
      <c r="E484" s="9" t="s">
        <v>1921</v>
      </c>
      <c r="F484" s="9" t="s">
        <v>2022</v>
      </c>
      <c r="H484" s="9"/>
    </row>
    <row r="485" ht="14.25" customHeight="1">
      <c r="C485" s="9" t="s">
        <v>1946</v>
      </c>
      <c r="D485" s="9" t="s">
        <v>1034</v>
      </c>
      <c r="E485" s="9" t="s">
        <v>1921</v>
      </c>
      <c r="F485" s="9" t="s">
        <v>2096</v>
      </c>
      <c r="H485" s="9"/>
    </row>
    <row r="486" ht="14.25" customHeight="1">
      <c r="C486" s="9" t="s">
        <v>1946</v>
      </c>
      <c r="D486" s="9" t="s">
        <v>1034</v>
      </c>
      <c r="E486" s="9" t="s">
        <v>1921</v>
      </c>
      <c r="F486" s="9" t="s">
        <v>2112</v>
      </c>
      <c r="H486" s="9"/>
    </row>
    <row r="487" ht="14.25" customHeight="1">
      <c r="C487" s="9" t="s">
        <v>1946</v>
      </c>
      <c r="D487" s="9" t="s">
        <v>1034</v>
      </c>
      <c r="E487" s="9" t="s">
        <v>1921</v>
      </c>
      <c r="F487" s="9" t="s">
        <v>2118</v>
      </c>
      <c r="H487" s="9"/>
    </row>
    <row r="488" ht="14.25" customHeight="1">
      <c r="C488" s="9" t="s">
        <v>1946</v>
      </c>
      <c r="D488" s="9" t="s">
        <v>1034</v>
      </c>
      <c r="E488" s="9" t="s">
        <v>1921</v>
      </c>
      <c r="F488" s="9" t="s">
        <v>2099</v>
      </c>
      <c r="H488" s="9"/>
    </row>
    <row r="489" ht="14.25" customHeight="1">
      <c r="C489" s="9" t="s">
        <v>1946</v>
      </c>
      <c r="D489" s="9" t="s">
        <v>1034</v>
      </c>
      <c r="E489" s="9" t="s">
        <v>1921</v>
      </c>
      <c r="F489" s="9" t="s">
        <v>2102</v>
      </c>
      <c r="H489" s="9"/>
    </row>
    <row r="490" ht="14.25" customHeight="1">
      <c r="C490" s="9" t="s">
        <v>1946</v>
      </c>
      <c r="D490" s="9" t="s">
        <v>1034</v>
      </c>
      <c r="E490" s="9" t="s">
        <v>1921</v>
      </c>
      <c r="F490" s="9" t="s">
        <v>2116</v>
      </c>
      <c r="H490" s="9"/>
    </row>
    <row r="491" ht="14.25" customHeight="1">
      <c r="C491" s="9" t="s">
        <v>1946</v>
      </c>
      <c r="D491" s="9" t="s">
        <v>1034</v>
      </c>
      <c r="E491" s="9" t="s">
        <v>1921</v>
      </c>
      <c r="F491" s="9" t="s">
        <v>2109</v>
      </c>
      <c r="H491" s="9"/>
    </row>
    <row r="492" ht="14.25" customHeight="1">
      <c r="C492" s="9" t="s">
        <v>1946</v>
      </c>
      <c r="D492" s="9" t="s">
        <v>1034</v>
      </c>
      <c r="E492" s="9" t="s">
        <v>1921</v>
      </c>
      <c r="F492" s="9" t="s">
        <v>2106</v>
      </c>
      <c r="H492" s="9"/>
    </row>
    <row r="493" ht="14.25" customHeight="1">
      <c r="C493" s="9" t="s">
        <v>1946</v>
      </c>
      <c r="D493" s="9" t="s">
        <v>1037</v>
      </c>
      <c r="E493" s="9" t="s">
        <v>1921</v>
      </c>
      <c r="F493" s="9" t="s">
        <v>2055</v>
      </c>
      <c r="H493" s="9"/>
    </row>
    <row r="494" ht="14.25" customHeight="1">
      <c r="C494" s="9" t="s">
        <v>1946</v>
      </c>
      <c r="D494" s="9" t="s">
        <v>1037</v>
      </c>
      <c r="E494" s="9" t="s">
        <v>1921</v>
      </c>
      <c r="F494" s="9" t="s">
        <v>2058</v>
      </c>
      <c r="H494" s="9"/>
    </row>
    <row r="495" ht="14.25" customHeight="1">
      <c r="C495" s="9" t="s">
        <v>1946</v>
      </c>
      <c r="D495" s="9" t="s">
        <v>1037</v>
      </c>
      <c r="E495" s="9" t="s">
        <v>1921</v>
      </c>
      <c r="F495" s="9" t="s">
        <v>2064</v>
      </c>
      <c r="H495" s="9"/>
    </row>
    <row r="496" ht="14.25" customHeight="1">
      <c r="C496" s="9" t="s">
        <v>1946</v>
      </c>
      <c r="D496" s="9" t="s">
        <v>1037</v>
      </c>
      <c r="E496" s="9" t="s">
        <v>1921</v>
      </c>
      <c r="F496" s="9" t="s">
        <v>2052</v>
      </c>
      <c r="H496" s="9"/>
    </row>
    <row r="497" ht="14.25" customHeight="1">
      <c r="C497" s="9" t="s">
        <v>1946</v>
      </c>
      <c r="D497" s="9" t="s">
        <v>1037</v>
      </c>
      <c r="E497" s="9" t="s">
        <v>1921</v>
      </c>
      <c r="F497" s="9" t="s">
        <v>2062</v>
      </c>
      <c r="H497" s="9"/>
    </row>
    <row r="498" ht="14.25" customHeight="1">
      <c r="C498" s="9" t="s">
        <v>1946</v>
      </c>
      <c r="D498" s="9" t="s">
        <v>1037</v>
      </c>
      <c r="E498" s="9" t="s">
        <v>1921</v>
      </c>
      <c r="F498" s="9" t="s">
        <v>1928</v>
      </c>
      <c r="H498" s="9"/>
    </row>
    <row r="499" ht="14.25" customHeight="1">
      <c r="C499" s="9" t="s">
        <v>1946</v>
      </c>
      <c r="D499" s="9" t="s">
        <v>1037</v>
      </c>
      <c r="E499" s="9" t="s">
        <v>1921</v>
      </c>
      <c r="F499" s="9" t="s">
        <v>2067</v>
      </c>
      <c r="H499" s="9"/>
    </row>
    <row r="500" ht="14.25" customHeight="1">
      <c r="C500" s="9" t="s">
        <v>1946</v>
      </c>
      <c r="D500" s="9" t="s">
        <v>1042</v>
      </c>
      <c r="E500" s="9" t="s">
        <v>1921</v>
      </c>
      <c r="F500" s="9" t="s">
        <v>2076</v>
      </c>
      <c r="H500" s="9"/>
    </row>
    <row r="501" ht="14.25" customHeight="1">
      <c r="C501" s="9" t="s">
        <v>1946</v>
      </c>
      <c r="D501" s="9" t="s">
        <v>1042</v>
      </c>
      <c r="E501" s="9" t="s">
        <v>1921</v>
      </c>
      <c r="F501" s="9" t="s">
        <v>2087</v>
      </c>
      <c r="H501" s="9"/>
    </row>
    <row r="502" ht="14.25" customHeight="1">
      <c r="C502" s="9" t="s">
        <v>1946</v>
      </c>
      <c r="D502" s="9" t="s">
        <v>1042</v>
      </c>
      <c r="E502" s="9" t="s">
        <v>1921</v>
      </c>
      <c r="F502" s="9" t="s">
        <v>2079</v>
      </c>
      <c r="H502" s="9"/>
    </row>
    <row r="503" ht="14.25" customHeight="1">
      <c r="C503" s="9" t="s">
        <v>1946</v>
      </c>
      <c r="D503" s="9" t="s">
        <v>1042</v>
      </c>
      <c r="E503" s="9" t="s">
        <v>1921</v>
      </c>
      <c r="F503" s="9" t="s">
        <v>2083</v>
      </c>
      <c r="H503" s="9"/>
    </row>
    <row r="504" ht="14.25" customHeight="1">
      <c r="C504" s="9" t="s">
        <v>1946</v>
      </c>
      <c r="D504" s="9" t="s">
        <v>1042</v>
      </c>
      <c r="E504" s="9" t="s">
        <v>1921</v>
      </c>
      <c r="F504" s="9" t="s">
        <v>2093</v>
      </c>
      <c r="H504" s="9"/>
    </row>
    <row r="505" ht="14.25" customHeight="1">
      <c r="C505" s="9" t="s">
        <v>1946</v>
      </c>
      <c r="D505" s="9" t="s">
        <v>1042</v>
      </c>
      <c r="E505" s="9" t="s">
        <v>1921</v>
      </c>
      <c r="F505" s="9" t="s">
        <v>2090</v>
      </c>
      <c r="H505" s="9"/>
    </row>
    <row r="506" ht="14.25" customHeight="1">
      <c r="C506" s="9" t="s">
        <v>1946</v>
      </c>
      <c r="D506" s="9" t="s">
        <v>1042</v>
      </c>
      <c r="E506" s="9" t="s">
        <v>1921</v>
      </c>
      <c r="F506" s="9" t="s">
        <v>2073</v>
      </c>
      <c r="H506" s="9"/>
    </row>
    <row r="507" ht="14.25" customHeight="1">
      <c r="C507" s="9" t="s">
        <v>1946</v>
      </c>
      <c r="D507" s="9" t="s">
        <v>1947</v>
      </c>
      <c r="E507" s="9" t="s">
        <v>1921</v>
      </c>
      <c r="F507" s="9" t="s">
        <v>1922</v>
      </c>
      <c r="H507" s="9"/>
    </row>
    <row r="508" ht="14.25" customHeight="1">
      <c r="C508" s="9" t="s">
        <v>1946</v>
      </c>
      <c r="D508" s="9" t="s">
        <v>1947</v>
      </c>
      <c r="E508" s="9" t="s">
        <v>1921</v>
      </c>
      <c r="F508" s="9" t="s">
        <v>1924</v>
      </c>
      <c r="H508" s="9"/>
    </row>
    <row r="509" ht="14.25" customHeight="1">
      <c r="C509" s="9" t="s">
        <v>1946</v>
      </c>
      <c r="D509" s="9" t="s">
        <v>1947</v>
      </c>
      <c r="E509" s="9" t="s">
        <v>1921</v>
      </c>
      <c r="F509" s="9" t="s">
        <v>1926</v>
      </c>
      <c r="H509" s="9"/>
    </row>
    <row r="510" ht="14.25" customHeight="1">
      <c r="C510" s="9" t="s">
        <v>1946</v>
      </c>
      <c r="D510" s="9" t="s">
        <v>1947</v>
      </c>
      <c r="E510" s="9" t="s">
        <v>1921</v>
      </c>
      <c r="F510" s="9" t="s">
        <v>1928</v>
      </c>
      <c r="H510" s="9"/>
    </row>
    <row r="511" ht="14.25" customHeight="1">
      <c r="C511" s="9" t="s">
        <v>1946</v>
      </c>
      <c r="D511" s="9" t="s">
        <v>1947</v>
      </c>
      <c r="E511" s="9" t="s">
        <v>1921</v>
      </c>
      <c r="F511" s="9" t="s">
        <v>1927</v>
      </c>
      <c r="H511" s="9"/>
    </row>
    <row r="512" ht="14.25" customHeight="1">
      <c r="C512" s="9" t="s">
        <v>1946</v>
      </c>
      <c r="D512" s="9" t="s">
        <v>1047</v>
      </c>
      <c r="E512" s="9" t="s">
        <v>1921</v>
      </c>
      <c r="F512" s="9" t="s">
        <v>2034</v>
      </c>
      <c r="H512" s="9"/>
    </row>
    <row r="513" ht="14.25" customHeight="1">
      <c r="C513" s="9" t="s">
        <v>1946</v>
      </c>
      <c r="D513" s="9" t="s">
        <v>1047</v>
      </c>
      <c r="E513" s="9" t="s">
        <v>1921</v>
      </c>
      <c r="F513" s="9" t="s">
        <v>2037</v>
      </c>
      <c r="H513" s="9"/>
    </row>
    <row r="514" ht="14.25" customHeight="1">
      <c r="C514" s="9" t="s">
        <v>1946</v>
      </c>
      <c r="D514" s="9" t="s">
        <v>1047</v>
      </c>
      <c r="E514" s="9" t="s">
        <v>1921</v>
      </c>
      <c r="F514" s="9" t="s">
        <v>2029</v>
      </c>
      <c r="H514" s="9"/>
    </row>
    <row r="515" ht="14.25" customHeight="1">
      <c r="C515" s="9" t="s">
        <v>1946</v>
      </c>
      <c r="D515" s="9" t="s">
        <v>1047</v>
      </c>
      <c r="E515" s="9" t="s">
        <v>1921</v>
      </c>
      <c r="F515" s="9" t="s">
        <v>2027</v>
      </c>
      <c r="H515" s="9"/>
    </row>
    <row r="516" ht="14.25" customHeight="1">
      <c r="C516" s="9" t="s">
        <v>1946</v>
      </c>
      <c r="D516" s="9" t="s">
        <v>1047</v>
      </c>
      <c r="E516" s="9" t="s">
        <v>1921</v>
      </c>
      <c r="F516" s="9" t="s">
        <v>2031</v>
      </c>
      <c r="H516" s="9"/>
    </row>
    <row r="517" ht="14.25" customHeight="1">
      <c r="C517" s="9" t="s">
        <v>1946</v>
      </c>
      <c r="D517" s="9" t="s">
        <v>2040</v>
      </c>
      <c r="E517" s="9" t="s">
        <v>1921</v>
      </c>
      <c r="F517" s="9" t="s">
        <v>2016</v>
      </c>
      <c r="H517" s="9"/>
    </row>
    <row r="518" ht="14.25" customHeight="1">
      <c r="C518" s="9" t="s">
        <v>1946</v>
      </c>
      <c r="D518" s="9" t="s">
        <v>2040</v>
      </c>
      <c r="E518" s="9" t="s">
        <v>1921</v>
      </c>
      <c r="F518" s="9" t="s">
        <v>2020</v>
      </c>
      <c r="H518" s="9"/>
    </row>
    <row r="519" ht="14.25" customHeight="1">
      <c r="C519" s="9" t="s">
        <v>1946</v>
      </c>
      <c r="D519" s="9" t="s">
        <v>2040</v>
      </c>
      <c r="E519" s="9" t="s">
        <v>1921</v>
      </c>
      <c r="F519" s="9" t="s">
        <v>2017</v>
      </c>
      <c r="H519" s="9"/>
    </row>
    <row r="520" ht="14.25" customHeight="1">
      <c r="C520" s="9" t="s">
        <v>1946</v>
      </c>
      <c r="D520" s="9" t="s">
        <v>2040</v>
      </c>
      <c r="E520" s="9" t="s">
        <v>1921</v>
      </c>
      <c r="F520" s="9" t="s">
        <v>2021</v>
      </c>
      <c r="H520" s="9"/>
    </row>
    <row r="521" ht="14.25" customHeight="1">
      <c r="C521" s="9" t="s">
        <v>1946</v>
      </c>
      <c r="D521" s="9" t="s">
        <v>2040</v>
      </c>
      <c r="E521" s="9" t="s">
        <v>1921</v>
      </c>
      <c r="F521" s="9" t="s">
        <v>2018</v>
      </c>
      <c r="H521" s="9"/>
    </row>
    <row r="522" ht="14.25" customHeight="1">
      <c r="C522" s="9" t="s">
        <v>1946</v>
      </c>
      <c r="D522" s="9" t="s">
        <v>1165</v>
      </c>
      <c r="E522" s="9" t="s">
        <v>1921</v>
      </c>
      <c r="F522" s="9" t="s">
        <v>2198</v>
      </c>
      <c r="H522" s="9"/>
    </row>
    <row r="523" ht="14.25" customHeight="1">
      <c r="C523" s="9" t="s">
        <v>1946</v>
      </c>
      <c r="D523" s="9" t="s">
        <v>1165</v>
      </c>
      <c r="E523" s="9" t="s">
        <v>1921</v>
      </c>
      <c r="F523" s="9" t="s">
        <v>2207</v>
      </c>
      <c r="H523" s="9"/>
    </row>
    <row r="524" ht="14.25" customHeight="1">
      <c r="C524" s="9" t="s">
        <v>1946</v>
      </c>
      <c r="D524" s="9" t="s">
        <v>1165</v>
      </c>
      <c r="E524" s="9" t="s">
        <v>1921</v>
      </c>
      <c r="F524" s="9" t="s">
        <v>2204</v>
      </c>
      <c r="H524" s="9"/>
    </row>
    <row r="525" ht="14.25" customHeight="1">
      <c r="C525" s="9" t="s">
        <v>1946</v>
      </c>
      <c r="D525" s="9" t="s">
        <v>1165</v>
      </c>
      <c r="E525" s="9" t="s">
        <v>1921</v>
      </c>
      <c r="F525" s="9" t="s">
        <v>2201</v>
      </c>
      <c r="H525" s="9"/>
    </row>
    <row r="526" ht="14.25" customHeight="1">
      <c r="C526" s="9" t="s">
        <v>1946</v>
      </c>
      <c r="D526" s="9" t="s">
        <v>1980</v>
      </c>
      <c r="E526" s="9" t="s">
        <v>1921</v>
      </c>
      <c r="F526" s="9" t="s">
        <v>2006</v>
      </c>
      <c r="H526" s="9"/>
    </row>
    <row r="527" ht="14.25" customHeight="1">
      <c r="C527" s="9" t="s">
        <v>1946</v>
      </c>
      <c r="D527" s="9" t="s">
        <v>1980</v>
      </c>
      <c r="E527" s="9" t="s">
        <v>1921</v>
      </c>
      <c r="F527" s="9" t="s">
        <v>1982</v>
      </c>
      <c r="H527" s="9"/>
    </row>
    <row r="528" ht="14.25" customHeight="1">
      <c r="C528" s="9" t="s">
        <v>1946</v>
      </c>
      <c r="D528" s="9" t="s">
        <v>1980</v>
      </c>
      <c r="E528" s="9" t="s">
        <v>1921</v>
      </c>
      <c r="F528" s="9" t="s">
        <v>2004</v>
      </c>
      <c r="H528" s="9"/>
    </row>
    <row r="529" ht="14.25" customHeight="1">
      <c r="C529" s="9" t="s">
        <v>1946</v>
      </c>
      <c r="D529" s="9" t="s">
        <v>1980</v>
      </c>
      <c r="E529" s="9" t="s">
        <v>1921</v>
      </c>
      <c r="F529" s="9" t="s">
        <v>1990</v>
      </c>
      <c r="H529" s="9"/>
    </row>
    <row r="530" ht="14.25" customHeight="1">
      <c r="C530" s="9" t="s">
        <v>1946</v>
      </c>
      <c r="D530" s="9" t="s">
        <v>1980</v>
      </c>
      <c r="E530" s="9" t="s">
        <v>1921</v>
      </c>
      <c r="F530" s="9" t="s">
        <v>1991</v>
      </c>
      <c r="H530" s="9"/>
    </row>
    <row r="531" ht="14.25" customHeight="1">
      <c r="C531" s="9" t="s">
        <v>1946</v>
      </c>
      <c r="D531" s="9" t="s">
        <v>1980</v>
      </c>
      <c r="E531" s="9" t="s">
        <v>1921</v>
      </c>
      <c r="F531" s="9" t="s">
        <v>1987</v>
      </c>
      <c r="H531" s="9"/>
    </row>
    <row r="532" ht="14.25" customHeight="1">
      <c r="C532" s="9" t="s">
        <v>1946</v>
      </c>
      <c r="D532" s="9" t="s">
        <v>1980</v>
      </c>
      <c r="E532" s="9" t="s">
        <v>1921</v>
      </c>
      <c r="F532" s="9" t="s">
        <v>1962</v>
      </c>
      <c r="H532" s="9"/>
    </row>
    <row r="533" ht="14.25" customHeight="1">
      <c r="C533" s="9" t="s">
        <v>1946</v>
      </c>
      <c r="D533" s="9" t="s">
        <v>1980</v>
      </c>
      <c r="E533" s="9" t="s">
        <v>1921</v>
      </c>
      <c r="F533" s="9" t="s">
        <v>1995</v>
      </c>
      <c r="H533" s="9"/>
    </row>
    <row r="534" ht="14.25" customHeight="1">
      <c r="C534" s="9" t="s">
        <v>1946</v>
      </c>
      <c r="D534" s="9" t="s">
        <v>1980</v>
      </c>
      <c r="E534" s="9" t="s">
        <v>1921</v>
      </c>
      <c r="F534" s="9" t="s">
        <v>2000</v>
      </c>
      <c r="H534" s="9"/>
    </row>
    <row r="535" ht="14.25" customHeight="1">
      <c r="C535" s="9" t="s">
        <v>1946</v>
      </c>
      <c r="D535" s="9" t="s">
        <v>1980</v>
      </c>
      <c r="E535" s="9" t="s">
        <v>1921</v>
      </c>
      <c r="F535" s="9" t="s">
        <v>1974</v>
      </c>
      <c r="H535" s="9"/>
    </row>
    <row r="536" ht="14.25" customHeight="1">
      <c r="C536" s="9" t="s">
        <v>1946</v>
      </c>
      <c r="D536" s="9" t="s">
        <v>1980</v>
      </c>
      <c r="E536" s="9" t="s">
        <v>1921</v>
      </c>
      <c r="F536" s="9" t="s">
        <v>2008</v>
      </c>
      <c r="H536" s="9"/>
    </row>
    <row r="537" ht="14.25" customHeight="1">
      <c r="C537" s="9" t="s">
        <v>1946</v>
      </c>
      <c r="D537" s="9" t="s">
        <v>1980</v>
      </c>
      <c r="E537" s="9" t="s">
        <v>1921</v>
      </c>
      <c r="F537" s="9" t="s">
        <v>2011</v>
      </c>
      <c r="H537" s="9"/>
    </row>
    <row r="538" ht="14.25" customHeight="1">
      <c r="C538" s="9" t="s">
        <v>1946</v>
      </c>
      <c r="D538" s="9" t="s">
        <v>1958</v>
      </c>
      <c r="E538" s="9" t="s">
        <v>1921</v>
      </c>
      <c r="F538" s="9" t="s">
        <v>1976</v>
      </c>
      <c r="H538" s="9"/>
    </row>
    <row r="539" ht="14.25" customHeight="1">
      <c r="C539" s="9" t="s">
        <v>1946</v>
      </c>
      <c r="D539" s="9" t="s">
        <v>1958</v>
      </c>
      <c r="E539" s="9" t="s">
        <v>1921</v>
      </c>
      <c r="F539" s="9" t="s">
        <v>1965</v>
      </c>
      <c r="H539" s="9"/>
    </row>
    <row r="540" ht="14.25" customHeight="1">
      <c r="C540" s="9" t="s">
        <v>1946</v>
      </c>
      <c r="D540" s="9" t="s">
        <v>1958</v>
      </c>
      <c r="E540" s="9" t="s">
        <v>1921</v>
      </c>
      <c r="F540" s="9" t="s">
        <v>1964</v>
      </c>
      <c r="H540" s="9"/>
    </row>
    <row r="541" ht="14.25" customHeight="1">
      <c r="C541" s="9" t="s">
        <v>1946</v>
      </c>
      <c r="D541" s="9" t="s">
        <v>1958</v>
      </c>
      <c r="E541" s="9" t="s">
        <v>1921</v>
      </c>
      <c r="F541" s="9" t="s">
        <v>1962</v>
      </c>
      <c r="H541" s="9"/>
    </row>
    <row r="542" ht="14.25" customHeight="1">
      <c r="C542" s="9" t="s">
        <v>1946</v>
      </c>
      <c r="D542" s="9" t="s">
        <v>1958</v>
      </c>
      <c r="E542" s="9" t="s">
        <v>1921</v>
      </c>
      <c r="F542" s="9" t="s">
        <v>1969</v>
      </c>
      <c r="H542" s="9"/>
    </row>
    <row r="543" ht="14.25" customHeight="1">
      <c r="C543" s="9" t="s">
        <v>1946</v>
      </c>
      <c r="D543" s="9" t="s">
        <v>1958</v>
      </c>
      <c r="E543" s="9" t="s">
        <v>1921</v>
      </c>
      <c r="F543" s="9" t="s">
        <v>1973</v>
      </c>
      <c r="H543" s="9"/>
    </row>
    <row r="544" ht="14.25" customHeight="1">
      <c r="C544" s="9" t="s">
        <v>1946</v>
      </c>
      <c r="D544" s="9" t="s">
        <v>1958</v>
      </c>
      <c r="E544" s="9" t="s">
        <v>1921</v>
      </c>
      <c r="F544" s="9" t="s">
        <v>1960</v>
      </c>
      <c r="H544" s="9"/>
    </row>
    <row r="545" ht="14.25" customHeight="1">
      <c r="C545" s="9" t="s">
        <v>1946</v>
      </c>
      <c r="D545" s="9" t="s">
        <v>1958</v>
      </c>
      <c r="E545" s="9" t="s">
        <v>1921</v>
      </c>
      <c r="F545" s="9" t="s">
        <v>1975</v>
      </c>
      <c r="H545" s="9"/>
    </row>
    <row r="546" ht="14.25" customHeight="1">
      <c r="C546" s="9" t="s">
        <v>1946</v>
      </c>
      <c r="D546" s="9" t="s">
        <v>1958</v>
      </c>
      <c r="E546" s="9" t="s">
        <v>1921</v>
      </c>
      <c r="F546" s="9" t="s">
        <v>1974</v>
      </c>
      <c r="H546" s="9"/>
    </row>
    <row r="547" ht="14.25" customHeight="1">
      <c r="C547" s="9" t="s">
        <v>1946</v>
      </c>
      <c r="D547" s="9" t="s">
        <v>2598</v>
      </c>
      <c r="E547" s="9" t="s">
        <v>1921</v>
      </c>
      <c r="F547" s="9" t="s">
        <v>2599</v>
      </c>
      <c r="H547" s="9"/>
    </row>
    <row r="548" ht="14.25" customHeight="1">
      <c r="C548" s="9" t="s">
        <v>1946</v>
      </c>
      <c r="D548" s="9" t="s">
        <v>2598</v>
      </c>
      <c r="E548" s="9" t="s">
        <v>1921</v>
      </c>
      <c r="F548" s="9" t="s">
        <v>2600</v>
      </c>
      <c r="H548" s="9"/>
    </row>
    <row r="549" ht="14.25" customHeight="1">
      <c r="C549" s="9" t="s">
        <v>2210</v>
      </c>
      <c r="D549" s="9" t="s">
        <v>1107</v>
      </c>
      <c r="E549" s="9" t="s">
        <v>1921</v>
      </c>
      <c r="F549" s="9" t="s">
        <v>2230</v>
      </c>
      <c r="H549" s="9"/>
    </row>
    <row r="550" ht="14.25" customHeight="1">
      <c r="C550" s="9" t="s">
        <v>2210</v>
      </c>
      <c r="D550" s="9" t="s">
        <v>1107</v>
      </c>
      <c r="E550" s="9" t="s">
        <v>1921</v>
      </c>
      <c r="F550" s="9" t="s">
        <v>2601</v>
      </c>
      <c r="H550" s="9"/>
    </row>
    <row r="551" ht="14.25" customHeight="1">
      <c r="C551" s="9" t="s">
        <v>2210</v>
      </c>
      <c r="D551" s="9" t="s">
        <v>1107</v>
      </c>
      <c r="E551" s="9" t="s">
        <v>1921</v>
      </c>
      <c r="F551" s="9" t="s">
        <v>2602</v>
      </c>
      <c r="H551" s="9"/>
    </row>
    <row r="552" ht="14.25" customHeight="1">
      <c r="C552" s="9" t="s">
        <v>2210</v>
      </c>
      <c r="D552" s="9" t="s">
        <v>1107</v>
      </c>
      <c r="E552" s="9" t="s">
        <v>1921</v>
      </c>
      <c r="F552" s="9" t="s">
        <v>2603</v>
      </c>
      <c r="H552" s="9"/>
    </row>
    <row r="553" ht="14.25" customHeight="1">
      <c r="C553" s="9" t="s">
        <v>2210</v>
      </c>
      <c r="D553" s="9" t="s">
        <v>1107</v>
      </c>
      <c r="E553" s="9" t="s">
        <v>1921</v>
      </c>
      <c r="F553" s="9" t="s">
        <v>2604</v>
      </c>
      <c r="H553" s="9"/>
    </row>
    <row r="554" ht="14.25" customHeight="1">
      <c r="C554" s="9" t="s">
        <v>2210</v>
      </c>
      <c r="D554" s="9" t="s">
        <v>1107</v>
      </c>
      <c r="E554" s="9" t="s">
        <v>1921</v>
      </c>
      <c r="F554" s="9" t="s">
        <v>2605</v>
      </c>
      <c r="H554" s="9"/>
    </row>
    <row r="555" ht="14.25" customHeight="1">
      <c r="C555" s="9" t="s">
        <v>2210</v>
      </c>
      <c r="D555" s="9" t="s">
        <v>1107</v>
      </c>
      <c r="E555" s="9" t="s">
        <v>1921</v>
      </c>
      <c r="F555" s="9" t="s">
        <v>2606</v>
      </c>
      <c r="H555" s="9"/>
    </row>
    <row r="556" ht="14.25" customHeight="1">
      <c r="C556" s="9" t="s">
        <v>2210</v>
      </c>
      <c r="D556" s="9" t="s">
        <v>1107</v>
      </c>
      <c r="E556" s="9" t="s">
        <v>1921</v>
      </c>
      <c r="F556" s="9" t="s">
        <v>2221</v>
      </c>
      <c r="H556" s="9"/>
    </row>
    <row r="557" ht="14.25" customHeight="1">
      <c r="C557" s="9" t="s">
        <v>2210</v>
      </c>
      <c r="D557" s="9" t="s">
        <v>1107</v>
      </c>
      <c r="E557" s="9" t="s">
        <v>1921</v>
      </c>
      <c r="F557" s="9" t="s">
        <v>2227</v>
      </c>
      <c r="H557" s="9"/>
    </row>
    <row r="558" ht="14.25" customHeight="1">
      <c r="C558" s="9" t="s">
        <v>2210</v>
      </c>
      <c r="D558" s="9" t="s">
        <v>1107</v>
      </c>
      <c r="E558" s="9" t="s">
        <v>1921</v>
      </c>
      <c r="F558" s="9" t="s">
        <v>2223</v>
      </c>
      <c r="H558" s="9"/>
    </row>
    <row r="559" ht="14.25" customHeight="1">
      <c r="C559" s="9" t="s">
        <v>2210</v>
      </c>
      <c r="D559" s="9" t="s">
        <v>1107</v>
      </c>
      <c r="E559" s="9" t="s">
        <v>1921</v>
      </c>
      <c r="F559" s="9" t="s">
        <v>2233</v>
      </c>
      <c r="H559" s="9"/>
    </row>
    <row r="560" ht="14.25" customHeight="1">
      <c r="C560" s="9" t="s">
        <v>2210</v>
      </c>
      <c r="D560" s="9" t="s">
        <v>1119</v>
      </c>
      <c r="E560" s="9" t="s">
        <v>1921</v>
      </c>
      <c r="F560" s="9" t="s">
        <v>2607</v>
      </c>
      <c r="H560" s="9"/>
    </row>
    <row r="561" ht="14.25" customHeight="1">
      <c r="C561" s="9" t="s">
        <v>2210</v>
      </c>
      <c r="D561" s="9" t="s">
        <v>1119</v>
      </c>
      <c r="E561" s="9" t="s">
        <v>1921</v>
      </c>
      <c r="F561" s="9" t="s">
        <v>2239</v>
      </c>
      <c r="H561" s="9"/>
    </row>
    <row r="562" ht="14.25" customHeight="1">
      <c r="C562" s="9" t="s">
        <v>2210</v>
      </c>
      <c r="D562" s="9" t="s">
        <v>1119</v>
      </c>
      <c r="E562" s="9" t="s">
        <v>1921</v>
      </c>
      <c r="F562" s="9" t="s">
        <v>2244</v>
      </c>
      <c r="H562" s="9"/>
    </row>
    <row r="563" ht="14.25" customHeight="1">
      <c r="C563" s="9" t="s">
        <v>2210</v>
      </c>
      <c r="D563" s="9" t="s">
        <v>1119</v>
      </c>
      <c r="E563" s="9" t="s">
        <v>1921</v>
      </c>
      <c r="F563" s="9" t="s">
        <v>2236</v>
      </c>
      <c r="H563" s="9"/>
    </row>
    <row r="564" ht="14.25" customHeight="1">
      <c r="C564" s="9" t="s">
        <v>2210</v>
      </c>
      <c r="D564" s="9" t="s">
        <v>1119</v>
      </c>
      <c r="E564" s="9" t="s">
        <v>1921</v>
      </c>
      <c r="F564" s="9" t="s">
        <v>2235</v>
      </c>
      <c r="H564" s="9"/>
    </row>
    <row r="565" ht="14.25" customHeight="1">
      <c r="C565" s="9" t="s">
        <v>2210</v>
      </c>
      <c r="D565" s="9" t="s">
        <v>1119</v>
      </c>
      <c r="E565" s="9" t="s">
        <v>1921</v>
      </c>
      <c r="F565" s="9" t="s">
        <v>2241</v>
      </c>
      <c r="H565" s="9"/>
    </row>
    <row r="566" ht="14.25" customHeight="1">
      <c r="C566" s="9" t="s">
        <v>2210</v>
      </c>
      <c r="D566" s="9" t="s">
        <v>1119</v>
      </c>
      <c r="E566" s="9" t="s">
        <v>1921</v>
      </c>
      <c r="F566" s="9" t="s">
        <v>2247</v>
      </c>
      <c r="H566" s="9"/>
    </row>
    <row r="567" ht="14.25" customHeight="1">
      <c r="C567" s="9" t="s">
        <v>2210</v>
      </c>
      <c r="D567" s="9" t="s">
        <v>1119</v>
      </c>
      <c r="E567" s="9" t="s">
        <v>1921</v>
      </c>
      <c r="F567" s="9" t="s">
        <v>2608</v>
      </c>
      <c r="H567" s="9"/>
    </row>
    <row r="568" ht="14.25" customHeight="1">
      <c r="C568" s="9" t="s">
        <v>2210</v>
      </c>
      <c r="D568" s="9" t="s">
        <v>1119</v>
      </c>
      <c r="E568" s="9" t="s">
        <v>1921</v>
      </c>
      <c r="F568" s="9" t="s">
        <v>2609</v>
      </c>
      <c r="H568" s="9"/>
    </row>
    <row r="569" ht="14.25" customHeight="1">
      <c r="C569" s="9" t="s">
        <v>2210</v>
      </c>
      <c r="D569" s="9" t="s">
        <v>1119</v>
      </c>
      <c r="E569" s="9" t="s">
        <v>1921</v>
      </c>
      <c r="F569" s="9" t="s">
        <v>2610</v>
      </c>
      <c r="H569" s="9"/>
    </row>
    <row r="570" ht="14.25" customHeight="1">
      <c r="C570" s="9" t="s">
        <v>2210</v>
      </c>
      <c r="D570" s="9" t="s">
        <v>1119</v>
      </c>
      <c r="E570" s="9" t="s">
        <v>1921</v>
      </c>
      <c r="F570" s="9" t="s">
        <v>2611</v>
      </c>
      <c r="H570" s="9"/>
    </row>
    <row r="571" ht="14.25" customHeight="1">
      <c r="C571" s="9" t="s">
        <v>2210</v>
      </c>
      <c r="D571" s="9" t="s">
        <v>1119</v>
      </c>
      <c r="E571" s="9" t="s">
        <v>1921</v>
      </c>
      <c r="F571" s="9" t="s">
        <v>2612</v>
      </c>
      <c r="H571" s="9"/>
    </row>
    <row r="572" ht="14.25" customHeight="1">
      <c r="C572" s="9" t="s">
        <v>2210</v>
      </c>
      <c r="D572" s="9" t="s">
        <v>1119</v>
      </c>
      <c r="E572" s="9" t="s">
        <v>1921</v>
      </c>
      <c r="F572" s="9" t="s">
        <v>2613</v>
      </c>
      <c r="H572" s="9"/>
    </row>
    <row r="573" ht="14.25" customHeight="1">
      <c r="C573" s="9" t="s">
        <v>2210</v>
      </c>
      <c r="D573" s="9" t="s">
        <v>1119</v>
      </c>
      <c r="E573" s="9" t="s">
        <v>1921</v>
      </c>
      <c r="F573" s="9" t="s">
        <v>2614</v>
      </c>
      <c r="H573" s="9"/>
    </row>
    <row r="574" ht="14.25" customHeight="1">
      <c r="C574" s="9" t="s">
        <v>2210</v>
      </c>
      <c r="D574" s="9" t="s">
        <v>1119</v>
      </c>
      <c r="E574" s="9" t="s">
        <v>1921</v>
      </c>
      <c r="F574" s="9" t="s">
        <v>2615</v>
      </c>
      <c r="H574" s="9"/>
    </row>
    <row r="575" ht="14.25" customHeight="1">
      <c r="C575" s="9" t="s">
        <v>2210</v>
      </c>
      <c r="D575" s="9" t="s">
        <v>1119</v>
      </c>
      <c r="E575" s="9" t="s">
        <v>1921</v>
      </c>
      <c r="F575" s="9" t="s">
        <v>2616</v>
      </c>
      <c r="H575" s="9"/>
    </row>
    <row r="576" ht="14.25" customHeight="1">
      <c r="C576" s="9" t="s">
        <v>2210</v>
      </c>
      <c r="D576" s="9" t="s">
        <v>1119</v>
      </c>
      <c r="E576" s="9" t="s">
        <v>1921</v>
      </c>
      <c r="F576" s="9" t="s">
        <v>2617</v>
      </c>
      <c r="H576" s="9"/>
    </row>
    <row r="577" ht="14.25" customHeight="1">
      <c r="C577" s="9" t="s">
        <v>2210</v>
      </c>
      <c r="D577" s="9" t="s">
        <v>2211</v>
      </c>
      <c r="E577" s="9" t="s">
        <v>1921</v>
      </c>
      <c r="F577" s="9" t="s">
        <v>2216</v>
      </c>
      <c r="H577" s="9"/>
    </row>
    <row r="578" ht="14.25" customHeight="1">
      <c r="C578" s="9" t="s">
        <v>2210</v>
      </c>
      <c r="D578" s="9" t="s">
        <v>2211</v>
      </c>
      <c r="E578" s="9" t="s">
        <v>1921</v>
      </c>
      <c r="F578" s="9" t="s">
        <v>2218</v>
      </c>
      <c r="H578" s="9"/>
    </row>
    <row r="579" ht="14.25" customHeight="1">
      <c r="C579" s="9" t="s">
        <v>2210</v>
      </c>
      <c r="D579" s="9" t="s">
        <v>2211</v>
      </c>
      <c r="E579" s="9" t="s">
        <v>1921</v>
      </c>
      <c r="F579" s="9" t="s">
        <v>2220</v>
      </c>
      <c r="H579" s="9"/>
    </row>
    <row r="580" ht="14.25" customHeight="1">
      <c r="C580" s="9" t="s">
        <v>2210</v>
      </c>
      <c r="D580" s="9" t="s">
        <v>2211</v>
      </c>
      <c r="E580" s="9" t="s">
        <v>1921</v>
      </c>
      <c r="F580" s="9" t="s">
        <v>2219</v>
      </c>
      <c r="H580" s="9"/>
    </row>
    <row r="581" ht="14.25" customHeight="1">
      <c r="C581" s="9" t="s">
        <v>2210</v>
      </c>
      <c r="D581" s="9" t="s">
        <v>2211</v>
      </c>
      <c r="E581" s="9" t="s">
        <v>1921</v>
      </c>
      <c r="F581" s="9" t="s">
        <v>2212</v>
      </c>
      <c r="H581" s="9"/>
    </row>
    <row r="582" ht="14.25" customHeight="1">
      <c r="C582" s="9" t="s">
        <v>1816</v>
      </c>
      <c r="D582" s="9" t="s">
        <v>2618</v>
      </c>
      <c r="E582" s="9" t="s">
        <v>1818</v>
      </c>
      <c r="F582" s="9" t="s">
        <v>2619</v>
      </c>
      <c r="H582" s="9"/>
    </row>
    <row r="583" ht="14.25" customHeight="1">
      <c r="C583" s="9" t="s">
        <v>1816</v>
      </c>
      <c r="D583" s="9" t="s">
        <v>2620</v>
      </c>
      <c r="E583" s="9" t="s">
        <v>1818</v>
      </c>
      <c r="F583" s="9" t="s">
        <v>2621</v>
      </c>
      <c r="H583" s="9"/>
    </row>
    <row r="584" ht="14.25" customHeight="1">
      <c r="C584" s="9" t="s">
        <v>1816</v>
      </c>
      <c r="D584" s="9" t="s">
        <v>2620</v>
      </c>
      <c r="E584" s="9" t="s">
        <v>1818</v>
      </c>
      <c r="F584" s="9" t="s">
        <v>2622</v>
      </c>
      <c r="H584" s="9"/>
    </row>
    <row r="585" ht="14.25" customHeight="1">
      <c r="C585" s="9" t="s">
        <v>1816</v>
      </c>
      <c r="D585" s="9" t="s">
        <v>2623</v>
      </c>
      <c r="E585" s="9" t="s">
        <v>1818</v>
      </c>
      <c r="F585" s="9" t="s">
        <v>2624</v>
      </c>
      <c r="H585" s="9"/>
    </row>
    <row r="586" ht="14.25" customHeight="1">
      <c r="C586" s="9" t="s">
        <v>1816</v>
      </c>
      <c r="D586" s="9" t="s">
        <v>2623</v>
      </c>
      <c r="E586" s="9" t="s">
        <v>1818</v>
      </c>
      <c r="F586" s="9" t="s">
        <v>2625</v>
      </c>
      <c r="H586" s="9"/>
    </row>
    <row r="587" ht="14.25" customHeight="1">
      <c r="C587" s="9" t="s">
        <v>1816</v>
      </c>
      <c r="D587" s="9" t="s">
        <v>2623</v>
      </c>
      <c r="E587" s="9" t="s">
        <v>1818</v>
      </c>
      <c r="F587" s="9" t="s">
        <v>2626</v>
      </c>
      <c r="H587" s="9"/>
    </row>
    <row r="588" ht="14.25" customHeight="1">
      <c r="C588" s="9" t="s">
        <v>1816</v>
      </c>
      <c r="D588" s="9" t="s">
        <v>2623</v>
      </c>
      <c r="E588" s="9" t="s">
        <v>1818</v>
      </c>
      <c r="F588" s="9" t="s">
        <v>2627</v>
      </c>
      <c r="H588" s="9"/>
    </row>
    <row r="589" ht="14.25" customHeight="1">
      <c r="C589" s="9" t="s">
        <v>1816</v>
      </c>
      <c r="D589" s="9" t="s">
        <v>2623</v>
      </c>
      <c r="E589" s="9" t="s">
        <v>1818</v>
      </c>
      <c r="F589" s="9" t="s">
        <v>2628</v>
      </c>
      <c r="H589" s="9"/>
    </row>
    <row r="590" ht="14.25" customHeight="1">
      <c r="C590" s="9" t="s">
        <v>1816</v>
      </c>
      <c r="D590" s="9" t="s">
        <v>2623</v>
      </c>
      <c r="E590" s="9" t="s">
        <v>1818</v>
      </c>
      <c r="F590" s="9" t="s">
        <v>2629</v>
      </c>
      <c r="H590" s="9"/>
    </row>
    <row r="591" ht="14.25" customHeight="1">
      <c r="C591" s="9" t="s">
        <v>1816</v>
      </c>
      <c r="D591" s="9" t="s">
        <v>2623</v>
      </c>
      <c r="E591" s="9" t="s">
        <v>1818</v>
      </c>
      <c r="F591" s="9" t="s">
        <v>2630</v>
      </c>
      <c r="H591" s="9"/>
    </row>
    <row r="592" ht="14.25" customHeight="1">
      <c r="C592" s="9" t="s">
        <v>1816</v>
      </c>
      <c r="D592" s="9" t="s">
        <v>2623</v>
      </c>
      <c r="E592" s="9" t="s">
        <v>1818</v>
      </c>
      <c r="F592" s="9" t="s">
        <v>2631</v>
      </c>
      <c r="H592" s="9"/>
    </row>
    <row r="593" ht="14.25" customHeight="1">
      <c r="C593" s="9" t="s">
        <v>1816</v>
      </c>
      <c r="D593" s="9" t="s">
        <v>2623</v>
      </c>
      <c r="E593" s="9" t="s">
        <v>1818</v>
      </c>
      <c r="F593" s="9" t="s">
        <v>2632</v>
      </c>
      <c r="H593" s="9"/>
    </row>
    <row r="594" ht="14.25" customHeight="1">
      <c r="C594" s="9" t="s">
        <v>1816</v>
      </c>
      <c r="D594" s="9" t="s">
        <v>2623</v>
      </c>
      <c r="E594" s="9" t="s">
        <v>1818</v>
      </c>
      <c r="F594" s="9" t="s">
        <v>2633</v>
      </c>
      <c r="H594" s="9"/>
    </row>
    <row r="595" ht="14.25" customHeight="1">
      <c r="C595" s="9" t="s">
        <v>1816</v>
      </c>
      <c r="D595" s="9" t="s">
        <v>2623</v>
      </c>
      <c r="E595" s="9" t="s">
        <v>1818</v>
      </c>
      <c r="F595" s="9" t="s">
        <v>2634</v>
      </c>
      <c r="H595" s="9"/>
    </row>
    <row r="596" ht="14.25" customHeight="1">
      <c r="C596" s="9" t="s">
        <v>1816</v>
      </c>
      <c r="D596" s="9" t="s">
        <v>2635</v>
      </c>
      <c r="E596" s="9" t="s">
        <v>1818</v>
      </c>
      <c r="F596" s="9" t="s">
        <v>2636</v>
      </c>
      <c r="H596" s="9"/>
    </row>
    <row r="597" ht="14.25" customHeight="1">
      <c r="C597" s="9" t="s">
        <v>1816</v>
      </c>
      <c r="D597" s="9" t="s">
        <v>2637</v>
      </c>
      <c r="E597" s="9" t="s">
        <v>1818</v>
      </c>
      <c r="F597" s="9" t="s">
        <v>2638</v>
      </c>
      <c r="H597" s="9"/>
    </row>
    <row r="598" ht="14.25" customHeight="1">
      <c r="C598" s="9" t="s">
        <v>1816</v>
      </c>
      <c r="D598" s="9" t="s">
        <v>2637</v>
      </c>
      <c r="E598" s="9" t="s">
        <v>1818</v>
      </c>
      <c r="F598" s="9" t="s">
        <v>2639</v>
      </c>
      <c r="H598" s="9"/>
    </row>
    <row r="599" ht="14.25" customHeight="1">
      <c r="C599" s="9" t="s">
        <v>1816</v>
      </c>
      <c r="D599" s="9" t="s">
        <v>2640</v>
      </c>
      <c r="E599" s="9" t="s">
        <v>1818</v>
      </c>
      <c r="F599" s="9" t="s">
        <v>2641</v>
      </c>
      <c r="H599" s="9"/>
    </row>
    <row r="600" ht="14.25" customHeight="1">
      <c r="C600" s="9" t="s">
        <v>1816</v>
      </c>
      <c r="D600" s="9" t="s">
        <v>2640</v>
      </c>
      <c r="E600" s="9" t="s">
        <v>1818</v>
      </c>
      <c r="F600" s="9" t="s">
        <v>2642</v>
      </c>
      <c r="H600" s="9"/>
    </row>
    <row r="601" ht="14.25" customHeight="1">
      <c r="C601" s="9" t="s">
        <v>1816</v>
      </c>
      <c r="D601" s="9" t="s">
        <v>2640</v>
      </c>
      <c r="E601" s="9" t="s">
        <v>1818</v>
      </c>
      <c r="F601" s="9" t="s">
        <v>2643</v>
      </c>
      <c r="H601" s="9"/>
    </row>
    <row r="602" ht="14.25" customHeight="1">
      <c r="C602" s="9" t="s">
        <v>1816</v>
      </c>
      <c r="D602" s="9" t="s">
        <v>2640</v>
      </c>
      <c r="E602" s="9" t="s">
        <v>1818</v>
      </c>
      <c r="F602" s="9" t="s">
        <v>2644</v>
      </c>
      <c r="H602" s="9"/>
    </row>
    <row r="603" ht="14.25" customHeight="1">
      <c r="C603" s="9" t="s">
        <v>1816</v>
      </c>
      <c r="D603" s="9" t="s">
        <v>2640</v>
      </c>
      <c r="E603" s="9" t="s">
        <v>1818</v>
      </c>
      <c r="F603" s="9" t="s">
        <v>2645</v>
      </c>
      <c r="H603" s="9"/>
    </row>
    <row r="604" ht="14.25" customHeight="1">
      <c r="C604" s="9" t="s">
        <v>1816</v>
      </c>
      <c r="D604" s="9" t="s">
        <v>2640</v>
      </c>
      <c r="E604" s="9" t="s">
        <v>1818</v>
      </c>
      <c r="F604" s="9" t="s">
        <v>2646</v>
      </c>
      <c r="H604" s="9"/>
    </row>
    <row r="605" ht="14.25" customHeight="1">
      <c r="C605" s="9" t="s">
        <v>1816</v>
      </c>
      <c r="D605" s="9" t="s">
        <v>2640</v>
      </c>
      <c r="E605" s="9" t="s">
        <v>1818</v>
      </c>
      <c r="F605" s="9" t="s">
        <v>2647</v>
      </c>
      <c r="H605" s="9"/>
    </row>
    <row r="606" ht="14.25" customHeight="1">
      <c r="C606" s="9" t="s">
        <v>1816</v>
      </c>
      <c r="D606" s="9" t="s">
        <v>2640</v>
      </c>
      <c r="E606" s="9" t="s">
        <v>1818</v>
      </c>
      <c r="F606" s="9" t="s">
        <v>2648</v>
      </c>
      <c r="H606" s="9"/>
    </row>
    <row r="607" ht="14.25" customHeight="1">
      <c r="C607" s="9" t="s">
        <v>1816</v>
      </c>
      <c r="D607" s="9" t="s">
        <v>2640</v>
      </c>
      <c r="E607" s="9" t="s">
        <v>1818</v>
      </c>
      <c r="F607" s="9" t="s">
        <v>2649</v>
      </c>
      <c r="H607" s="9"/>
    </row>
    <row r="608" ht="14.25" customHeight="1">
      <c r="C608" s="9" t="s">
        <v>1816</v>
      </c>
      <c r="D608" s="9" t="s">
        <v>2640</v>
      </c>
      <c r="E608" s="9" t="s">
        <v>1818</v>
      </c>
      <c r="F608" s="9" t="s">
        <v>2650</v>
      </c>
      <c r="H608" s="9"/>
    </row>
    <row r="609" ht="14.25" customHeight="1">
      <c r="C609" s="9" t="s">
        <v>1816</v>
      </c>
      <c r="D609" s="9" t="s">
        <v>726</v>
      </c>
      <c r="E609" s="9" t="s">
        <v>1818</v>
      </c>
      <c r="F609" s="9" t="s">
        <v>1887</v>
      </c>
      <c r="H609" s="9"/>
    </row>
    <row r="610" ht="14.25" customHeight="1">
      <c r="C610" s="9" t="s">
        <v>1816</v>
      </c>
      <c r="D610" s="9" t="s">
        <v>726</v>
      </c>
      <c r="E610" s="9" t="s">
        <v>1818</v>
      </c>
      <c r="F610" s="9" t="s">
        <v>1889</v>
      </c>
      <c r="H610" s="9"/>
    </row>
    <row r="611" ht="14.25" customHeight="1">
      <c r="C611" s="9" t="s">
        <v>1816</v>
      </c>
      <c r="D611" s="9" t="s">
        <v>726</v>
      </c>
      <c r="E611" s="9" t="s">
        <v>1818</v>
      </c>
      <c r="F611" s="9" t="s">
        <v>1890</v>
      </c>
      <c r="H611" s="9"/>
    </row>
    <row r="612" ht="14.25" customHeight="1">
      <c r="C612" s="9" t="s">
        <v>1816</v>
      </c>
      <c r="D612" s="9" t="s">
        <v>726</v>
      </c>
      <c r="E612" s="9" t="s">
        <v>1818</v>
      </c>
      <c r="F612" s="9" t="s">
        <v>2651</v>
      </c>
      <c r="H612" s="9"/>
    </row>
    <row r="613" ht="14.25" customHeight="1">
      <c r="C613" s="9" t="s">
        <v>1816</v>
      </c>
      <c r="D613" s="9" t="s">
        <v>729</v>
      </c>
      <c r="E613" s="9" t="s">
        <v>1818</v>
      </c>
      <c r="F613" s="9" t="s">
        <v>2652</v>
      </c>
      <c r="H613" s="9"/>
    </row>
    <row r="614" ht="14.25" customHeight="1">
      <c r="C614" s="9" t="s">
        <v>1816</v>
      </c>
      <c r="D614" s="9" t="s">
        <v>729</v>
      </c>
      <c r="E614" s="9" t="s">
        <v>1818</v>
      </c>
      <c r="F614" s="9" t="s">
        <v>2653</v>
      </c>
      <c r="H614" s="9"/>
    </row>
    <row r="615" ht="14.25" customHeight="1">
      <c r="C615" s="9" t="s">
        <v>1816</v>
      </c>
      <c r="D615" s="9" t="s">
        <v>729</v>
      </c>
      <c r="E615" s="9" t="s">
        <v>1818</v>
      </c>
      <c r="F615" s="9" t="s">
        <v>1884</v>
      </c>
      <c r="H615" s="9"/>
    </row>
    <row r="616" ht="14.25" customHeight="1">
      <c r="C616" s="9" t="s">
        <v>1816</v>
      </c>
      <c r="D616" s="9" t="s">
        <v>729</v>
      </c>
      <c r="E616" s="9" t="s">
        <v>1818</v>
      </c>
      <c r="F616" s="9" t="s">
        <v>1885</v>
      </c>
      <c r="H616" s="9"/>
    </row>
    <row r="617" ht="14.25" customHeight="1">
      <c r="C617" s="9" t="s">
        <v>1816</v>
      </c>
      <c r="D617" s="9" t="s">
        <v>730</v>
      </c>
      <c r="E617" s="9" t="s">
        <v>1818</v>
      </c>
      <c r="F617" s="9" t="s">
        <v>1892</v>
      </c>
      <c r="H617" s="9"/>
    </row>
    <row r="618" ht="14.25" customHeight="1">
      <c r="C618" s="9" t="s">
        <v>1816</v>
      </c>
      <c r="D618" s="9" t="s">
        <v>730</v>
      </c>
      <c r="E618" s="9" t="s">
        <v>1818</v>
      </c>
      <c r="F618" s="9" t="s">
        <v>1894</v>
      </c>
      <c r="H618" s="9"/>
    </row>
    <row r="619" ht="14.25" customHeight="1">
      <c r="C619" s="9" t="s">
        <v>1816</v>
      </c>
      <c r="D619" s="9" t="s">
        <v>730</v>
      </c>
      <c r="E619" s="9" t="s">
        <v>1818</v>
      </c>
      <c r="F619" s="9" t="s">
        <v>1895</v>
      </c>
      <c r="H619" s="9"/>
    </row>
    <row r="620" ht="14.25" customHeight="1">
      <c r="C620" s="9" t="s">
        <v>1816</v>
      </c>
      <c r="D620" s="9" t="s">
        <v>730</v>
      </c>
      <c r="E620" s="9" t="s">
        <v>1818</v>
      </c>
      <c r="F620" s="9" t="s">
        <v>1897</v>
      </c>
      <c r="H620" s="9"/>
    </row>
    <row r="621" ht="14.25" customHeight="1">
      <c r="C621" s="9" t="s">
        <v>1816</v>
      </c>
      <c r="D621" s="9" t="s">
        <v>730</v>
      </c>
      <c r="E621" s="9" t="s">
        <v>1818</v>
      </c>
      <c r="F621" s="9" t="s">
        <v>1899</v>
      </c>
      <c r="H621" s="9"/>
    </row>
    <row r="622" ht="14.25" customHeight="1">
      <c r="C622" s="9" t="s">
        <v>1816</v>
      </c>
      <c r="D622" s="9" t="s">
        <v>730</v>
      </c>
      <c r="E622" s="9" t="s">
        <v>1818</v>
      </c>
      <c r="F622" s="9" t="s">
        <v>1901</v>
      </c>
      <c r="H622" s="9"/>
    </row>
    <row r="623" ht="14.25" customHeight="1">
      <c r="C623" s="9" t="s">
        <v>1816</v>
      </c>
      <c r="D623" s="9" t="s">
        <v>732</v>
      </c>
      <c r="E623" s="9" t="s">
        <v>1818</v>
      </c>
      <c r="F623" s="9" t="s">
        <v>1902</v>
      </c>
      <c r="H623" s="9"/>
    </row>
    <row r="624" ht="14.25" customHeight="1">
      <c r="C624" s="9" t="s">
        <v>1816</v>
      </c>
      <c r="D624" s="9" t="s">
        <v>732</v>
      </c>
      <c r="E624" s="9" t="s">
        <v>1818</v>
      </c>
      <c r="F624" s="9" t="s">
        <v>1904</v>
      </c>
      <c r="H624" s="9"/>
    </row>
    <row r="625" ht="14.25" customHeight="1">
      <c r="C625" s="9" t="s">
        <v>1816</v>
      </c>
      <c r="D625" s="9" t="s">
        <v>732</v>
      </c>
      <c r="E625" s="9" t="s">
        <v>1818</v>
      </c>
      <c r="F625" s="9" t="s">
        <v>1906</v>
      </c>
      <c r="H625" s="9"/>
    </row>
    <row r="626" ht="14.25" customHeight="1">
      <c r="C626" s="9" t="s">
        <v>1816</v>
      </c>
      <c r="D626" s="9" t="s">
        <v>732</v>
      </c>
      <c r="E626" s="9" t="s">
        <v>1818</v>
      </c>
      <c r="F626" s="9" t="s">
        <v>1908</v>
      </c>
      <c r="H626" s="9"/>
    </row>
    <row r="627" ht="14.25" customHeight="1">
      <c r="C627" s="9" t="s">
        <v>1816</v>
      </c>
      <c r="D627" s="9" t="s">
        <v>732</v>
      </c>
      <c r="E627" s="9" t="s">
        <v>1818</v>
      </c>
      <c r="F627" s="9" t="s">
        <v>1909</v>
      </c>
      <c r="H627" s="9"/>
    </row>
    <row r="628" ht="14.25" customHeight="1">
      <c r="C628" s="9" t="s">
        <v>1816</v>
      </c>
      <c r="D628" s="9" t="s">
        <v>734</v>
      </c>
      <c r="E628" s="9" t="s">
        <v>1818</v>
      </c>
      <c r="F628" s="9" t="s">
        <v>1861</v>
      </c>
      <c r="H628" s="9"/>
    </row>
    <row r="629" ht="14.25" customHeight="1">
      <c r="C629" s="9" t="s">
        <v>1816</v>
      </c>
      <c r="D629" s="9" t="s">
        <v>734</v>
      </c>
      <c r="E629" s="9" t="s">
        <v>1818</v>
      </c>
      <c r="F629" s="9" t="s">
        <v>1864</v>
      </c>
      <c r="H629" s="9"/>
    </row>
    <row r="630" ht="14.25" customHeight="1">
      <c r="C630" s="9" t="s">
        <v>1816</v>
      </c>
      <c r="D630" s="9" t="s">
        <v>734</v>
      </c>
      <c r="E630" s="9" t="s">
        <v>1818</v>
      </c>
      <c r="F630" s="9" t="s">
        <v>1866</v>
      </c>
      <c r="H630" s="9"/>
    </row>
    <row r="631" ht="14.25" customHeight="1">
      <c r="C631" s="9" t="s">
        <v>1816</v>
      </c>
      <c r="D631" s="9" t="s">
        <v>734</v>
      </c>
      <c r="E631" s="9" t="s">
        <v>1818</v>
      </c>
      <c r="F631" s="9" t="s">
        <v>2654</v>
      </c>
      <c r="H631" s="9"/>
    </row>
    <row r="632" ht="14.25" customHeight="1">
      <c r="C632" s="9" t="s">
        <v>1816</v>
      </c>
      <c r="D632" s="9" t="s">
        <v>734</v>
      </c>
      <c r="E632" s="9" t="s">
        <v>1818</v>
      </c>
      <c r="F632" s="9" t="s">
        <v>2655</v>
      </c>
      <c r="H632" s="9"/>
    </row>
    <row r="633" ht="14.25" customHeight="1">
      <c r="C633" s="9" t="s">
        <v>1816</v>
      </c>
      <c r="D633" s="9" t="s">
        <v>741</v>
      </c>
      <c r="E633" s="9" t="s">
        <v>1818</v>
      </c>
      <c r="F633" s="9" t="s">
        <v>1919</v>
      </c>
      <c r="H633" s="9"/>
    </row>
    <row r="634" ht="14.25" customHeight="1">
      <c r="C634" s="9" t="s">
        <v>1816</v>
      </c>
      <c r="D634" s="9" t="s">
        <v>2656</v>
      </c>
      <c r="E634" s="9" t="s">
        <v>1818</v>
      </c>
      <c r="F634" s="9" t="s">
        <v>2657</v>
      </c>
      <c r="H634" s="9"/>
    </row>
    <row r="635" ht="14.25" customHeight="1">
      <c r="C635" s="9" t="s">
        <v>1816</v>
      </c>
      <c r="D635" s="9" t="s">
        <v>2656</v>
      </c>
      <c r="E635" s="9" t="s">
        <v>1818</v>
      </c>
      <c r="F635" s="9" t="s">
        <v>2658</v>
      </c>
      <c r="H635" s="9"/>
    </row>
    <row r="636" ht="14.25" customHeight="1">
      <c r="C636" s="9" t="s">
        <v>1816</v>
      </c>
      <c r="D636" s="9" t="s">
        <v>2656</v>
      </c>
      <c r="E636" s="9" t="s">
        <v>1818</v>
      </c>
      <c r="F636" s="9" t="s">
        <v>2659</v>
      </c>
      <c r="H636" s="9"/>
    </row>
    <row r="637" ht="14.25" customHeight="1">
      <c r="C637" s="9" t="s">
        <v>1816</v>
      </c>
      <c r="D637" s="9" t="s">
        <v>2656</v>
      </c>
      <c r="E637" s="9" t="s">
        <v>1818</v>
      </c>
      <c r="F637" s="9" t="s">
        <v>2660</v>
      </c>
      <c r="H637" s="9"/>
    </row>
    <row r="638" ht="14.25" customHeight="1">
      <c r="C638" s="9" t="s">
        <v>1816</v>
      </c>
      <c r="D638" s="9" t="s">
        <v>2656</v>
      </c>
      <c r="E638" s="9" t="s">
        <v>1818</v>
      </c>
      <c r="F638" s="9" t="s">
        <v>2661</v>
      </c>
      <c r="H638" s="9"/>
    </row>
    <row r="639" ht="14.25" customHeight="1">
      <c r="C639" s="9" t="s">
        <v>1816</v>
      </c>
      <c r="D639" s="9" t="s">
        <v>2656</v>
      </c>
      <c r="E639" s="9" t="s">
        <v>1818</v>
      </c>
      <c r="F639" s="9" t="s">
        <v>2662</v>
      </c>
      <c r="H639" s="9"/>
    </row>
    <row r="640" ht="14.25" customHeight="1">
      <c r="C640" s="9" t="s">
        <v>1816</v>
      </c>
      <c r="D640" s="9" t="s">
        <v>2656</v>
      </c>
      <c r="E640" s="9" t="s">
        <v>1818</v>
      </c>
      <c r="F640" s="9" t="s">
        <v>2663</v>
      </c>
      <c r="H640" s="9"/>
    </row>
    <row r="641" ht="14.25" customHeight="1">
      <c r="C641" s="9" t="s">
        <v>1816</v>
      </c>
      <c r="D641" s="9" t="s">
        <v>2656</v>
      </c>
      <c r="E641" s="9" t="s">
        <v>1818</v>
      </c>
      <c r="F641" s="9" t="s">
        <v>2664</v>
      </c>
      <c r="H641" s="9"/>
    </row>
    <row r="642" ht="14.25" customHeight="1">
      <c r="C642" s="9" t="s">
        <v>1816</v>
      </c>
      <c r="D642" s="9" t="s">
        <v>2656</v>
      </c>
      <c r="E642" s="9" t="s">
        <v>1818</v>
      </c>
      <c r="F642" s="9" t="s">
        <v>2665</v>
      </c>
      <c r="H642" s="9"/>
    </row>
    <row r="643" ht="14.25" customHeight="1">
      <c r="C643" s="9" t="s">
        <v>1816</v>
      </c>
      <c r="D643" s="9" t="s">
        <v>2656</v>
      </c>
      <c r="E643" s="9" t="s">
        <v>1818</v>
      </c>
      <c r="F643" s="9" t="s">
        <v>2666</v>
      </c>
      <c r="H643" s="9"/>
    </row>
    <row r="644" ht="14.25" customHeight="1">
      <c r="C644" s="9" t="s">
        <v>1816</v>
      </c>
      <c r="D644" s="9" t="s">
        <v>2656</v>
      </c>
      <c r="E644" s="9" t="s">
        <v>1818</v>
      </c>
      <c r="F644" s="9" t="s">
        <v>2667</v>
      </c>
      <c r="H644" s="9"/>
    </row>
    <row r="645" ht="14.25" customHeight="1">
      <c r="C645" s="9" t="s">
        <v>1816</v>
      </c>
      <c r="D645" s="9" t="s">
        <v>2656</v>
      </c>
      <c r="E645" s="9" t="s">
        <v>1818</v>
      </c>
      <c r="F645" s="9" t="s">
        <v>2668</v>
      </c>
      <c r="H645" s="9"/>
    </row>
    <row r="646" ht="14.25" customHeight="1">
      <c r="C646" s="9" t="s">
        <v>1816</v>
      </c>
      <c r="D646" s="9" t="s">
        <v>2656</v>
      </c>
      <c r="E646" s="9" t="s">
        <v>1818</v>
      </c>
      <c r="F646" s="9" t="s">
        <v>2669</v>
      </c>
      <c r="H646" s="9"/>
    </row>
    <row r="647" ht="14.25" customHeight="1">
      <c r="C647" s="9" t="s">
        <v>1816</v>
      </c>
      <c r="D647" s="9" t="s">
        <v>744</v>
      </c>
      <c r="E647" s="9" t="s">
        <v>1818</v>
      </c>
      <c r="F647" s="9" t="s">
        <v>1875</v>
      </c>
      <c r="H647" s="9"/>
    </row>
    <row r="648" ht="14.25" customHeight="1">
      <c r="C648" s="9" t="s">
        <v>1816</v>
      </c>
      <c r="D648" s="9" t="s">
        <v>744</v>
      </c>
      <c r="E648" s="9" t="s">
        <v>1818</v>
      </c>
      <c r="F648" s="9" t="s">
        <v>1877</v>
      </c>
      <c r="H648" s="9"/>
    </row>
    <row r="649" ht="14.25" customHeight="1">
      <c r="C649" s="9" t="s">
        <v>1816</v>
      </c>
      <c r="D649" s="9" t="s">
        <v>1867</v>
      </c>
      <c r="E649" s="9" t="s">
        <v>1818</v>
      </c>
      <c r="F649" s="9" t="s">
        <v>1868</v>
      </c>
      <c r="H649" s="9"/>
    </row>
    <row r="650" ht="14.25" customHeight="1">
      <c r="C650" s="9" t="s">
        <v>1816</v>
      </c>
      <c r="D650" s="9" t="s">
        <v>1867</v>
      </c>
      <c r="E650" s="9" t="s">
        <v>1818</v>
      </c>
      <c r="F650" s="9" t="s">
        <v>1870</v>
      </c>
      <c r="H650" s="9"/>
    </row>
    <row r="651" ht="14.25" customHeight="1">
      <c r="C651" s="9" t="s">
        <v>1816</v>
      </c>
      <c r="D651" s="9" t="s">
        <v>1867</v>
      </c>
      <c r="E651" s="9" t="s">
        <v>1818</v>
      </c>
      <c r="F651" s="9" t="s">
        <v>1872</v>
      </c>
      <c r="H651" s="9"/>
    </row>
    <row r="652" ht="14.25" customHeight="1">
      <c r="C652" s="9" t="s">
        <v>1816</v>
      </c>
      <c r="D652" s="9" t="s">
        <v>1867</v>
      </c>
      <c r="E652" s="9" t="s">
        <v>1818</v>
      </c>
      <c r="F652" s="9" t="s">
        <v>1874</v>
      </c>
      <c r="H652" s="9"/>
    </row>
    <row r="653" ht="14.25" customHeight="1">
      <c r="C653" s="9" t="s">
        <v>1816</v>
      </c>
      <c r="D653" s="9" t="s">
        <v>2670</v>
      </c>
      <c r="E653" s="9" t="s">
        <v>1818</v>
      </c>
      <c r="F653" s="9" t="s">
        <v>2671</v>
      </c>
      <c r="H653" s="9"/>
    </row>
    <row r="654" ht="14.25" customHeight="1">
      <c r="C654" s="9" t="s">
        <v>1816</v>
      </c>
      <c r="D654" s="9" t="s">
        <v>2672</v>
      </c>
      <c r="E654" s="9" t="s">
        <v>1818</v>
      </c>
      <c r="F654" s="9" t="s">
        <v>2673</v>
      </c>
      <c r="H654" s="9"/>
    </row>
    <row r="655" ht="14.25" customHeight="1">
      <c r="C655" s="9" t="s">
        <v>1816</v>
      </c>
      <c r="D655" s="9" t="s">
        <v>2672</v>
      </c>
      <c r="E655" s="9" t="s">
        <v>1818</v>
      </c>
      <c r="F655" s="9" t="s">
        <v>2674</v>
      </c>
      <c r="H655" s="9"/>
    </row>
    <row r="656" ht="14.25" customHeight="1">
      <c r="C656" s="9" t="s">
        <v>1816</v>
      </c>
      <c r="D656" s="9" t="s">
        <v>2672</v>
      </c>
      <c r="E656" s="9" t="s">
        <v>1818</v>
      </c>
      <c r="F656" s="9" t="s">
        <v>2675</v>
      </c>
      <c r="H656" s="9"/>
    </row>
    <row r="657" ht="14.25" customHeight="1">
      <c r="C657" s="9" t="s">
        <v>1816</v>
      </c>
      <c r="D657" s="9" t="s">
        <v>2672</v>
      </c>
      <c r="E657" s="9" t="s">
        <v>1818</v>
      </c>
      <c r="F657" s="9" t="s">
        <v>2676</v>
      </c>
      <c r="H657" s="9"/>
    </row>
    <row r="658" ht="14.25" customHeight="1">
      <c r="C658" s="9" t="s">
        <v>1816</v>
      </c>
      <c r="D658" s="9" t="s">
        <v>2677</v>
      </c>
      <c r="E658" s="9" t="s">
        <v>1818</v>
      </c>
      <c r="F658" s="9" t="s">
        <v>2678</v>
      </c>
      <c r="H658" s="9"/>
    </row>
    <row r="659" ht="14.25" customHeight="1">
      <c r="C659" s="9" t="s">
        <v>1816</v>
      </c>
      <c r="D659" s="9" t="s">
        <v>2677</v>
      </c>
      <c r="E659" s="9" t="s">
        <v>1818</v>
      </c>
      <c r="F659" s="9" t="s">
        <v>2679</v>
      </c>
      <c r="H659" s="9"/>
    </row>
    <row r="660" ht="14.25" customHeight="1">
      <c r="C660" s="9" t="s">
        <v>1816</v>
      </c>
      <c r="D660" s="9" t="s">
        <v>2677</v>
      </c>
      <c r="E660" s="9" t="s">
        <v>1818</v>
      </c>
      <c r="F660" s="9" t="s">
        <v>2680</v>
      </c>
      <c r="H660" s="9"/>
    </row>
    <row r="661" ht="14.25" customHeight="1">
      <c r="C661" s="9" t="s">
        <v>1816</v>
      </c>
      <c r="D661" s="9" t="s">
        <v>2677</v>
      </c>
      <c r="E661" s="9" t="s">
        <v>1818</v>
      </c>
      <c r="F661" s="9" t="s">
        <v>2681</v>
      </c>
      <c r="H661" s="9"/>
    </row>
    <row r="662" ht="14.25" customHeight="1">
      <c r="C662" s="9" t="s">
        <v>1816</v>
      </c>
      <c r="D662" s="9" t="s">
        <v>2677</v>
      </c>
      <c r="E662" s="9" t="s">
        <v>1818</v>
      </c>
      <c r="F662" s="9" t="s">
        <v>2682</v>
      </c>
      <c r="H662" s="9"/>
    </row>
    <row r="663" ht="14.25" customHeight="1">
      <c r="C663" s="9" t="s">
        <v>1816</v>
      </c>
      <c r="D663" s="9" t="s">
        <v>2683</v>
      </c>
      <c r="E663" s="9" t="s">
        <v>1818</v>
      </c>
      <c r="F663" s="9" t="s">
        <v>2684</v>
      </c>
      <c r="H663" s="9"/>
    </row>
    <row r="664" ht="14.25" customHeight="1">
      <c r="C664" s="9" t="s">
        <v>1816</v>
      </c>
      <c r="D664" s="9" t="s">
        <v>2683</v>
      </c>
      <c r="E664" s="9" t="s">
        <v>1818</v>
      </c>
      <c r="F664" s="9" t="s">
        <v>2685</v>
      </c>
      <c r="H664" s="9"/>
    </row>
    <row r="665" ht="14.25" customHeight="1">
      <c r="C665" s="9" t="s">
        <v>1816</v>
      </c>
      <c r="D665" s="9" t="s">
        <v>2683</v>
      </c>
      <c r="E665" s="9" t="s">
        <v>1818</v>
      </c>
      <c r="F665" s="9" t="s">
        <v>2686</v>
      </c>
      <c r="H665" s="9"/>
    </row>
    <row r="666" ht="14.25" customHeight="1">
      <c r="C666" s="9" t="s">
        <v>1816</v>
      </c>
      <c r="D666" s="9" t="s">
        <v>2683</v>
      </c>
      <c r="E666" s="9" t="s">
        <v>1818</v>
      </c>
      <c r="F666" s="9" t="s">
        <v>2687</v>
      </c>
      <c r="H666" s="9"/>
    </row>
    <row r="667" ht="14.25" customHeight="1">
      <c r="C667" s="9" t="s">
        <v>1816</v>
      </c>
      <c r="D667" s="9" t="s">
        <v>2683</v>
      </c>
      <c r="E667" s="9" t="s">
        <v>1818</v>
      </c>
      <c r="F667" s="9" t="s">
        <v>2688</v>
      </c>
      <c r="H667" s="9"/>
    </row>
    <row r="668" ht="14.25" customHeight="1">
      <c r="C668" s="9" t="s">
        <v>1816</v>
      </c>
      <c r="D668" s="9" t="s">
        <v>2683</v>
      </c>
      <c r="E668" s="9" t="s">
        <v>1818</v>
      </c>
      <c r="F668" s="9" t="s">
        <v>2689</v>
      </c>
      <c r="H668" s="9"/>
    </row>
    <row r="669" ht="14.25" customHeight="1">
      <c r="C669" s="9" t="s">
        <v>1816</v>
      </c>
      <c r="D669" s="9" t="s">
        <v>2683</v>
      </c>
      <c r="E669" s="9" t="s">
        <v>1818</v>
      </c>
      <c r="F669" s="9" t="s">
        <v>2690</v>
      </c>
      <c r="H669" s="9"/>
    </row>
    <row r="670" ht="14.25" customHeight="1">
      <c r="C670" s="9" t="s">
        <v>1816</v>
      </c>
      <c r="D670" s="9" t="s">
        <v>2683</v>
      </c>
      <c r="E670" s="9" t="s">
        <v>1818</v>
      </c>
      <c r="F670" s="9" t="s">
        <v>2691</v>
      </c>
      <c r="H670" s="9"/>
    </row>
    <row r="671" ht="14.25" customHeight="1">
      <c r="C671" s="9" t="s">
        <v>1816</v>
      </c>
      <c r="D671" s="9" t="s">
        <v>2683</v>
      </c>
      <c r="E671" s="9" t="s">
        <v>1818</v>
      </c>
      <c r="F671" s="9" t="s">
        <v>2692</v>
      </c>
      <c r="H671" s="9"/>
    </row>
    <row r="672" ht="14.25" customHeight="1">
      <c r="C672" s="9" t="s">
        <v>1816</v>
      </c>
      <c r="D672" s="9" t="s">
        <v>2683</v>
      </c>
      <c r="E672" s="9" t="s">
        <v>1818</v>
      </c>
      <c r="F672" s="9" t="s">
        <v>2693</v>
      </c>
      <c r="H672" s="9"/>
    </row>
    <row r="673" ht="14.25" customHeight="1">
      <c r="C673" s="9" t="s">
        <v>1816</v>
      </c>
      <c r="D673" s="9" t="s">
        <v>2694</v>
      </c>
      <c r="E673" s="9" t="s">
        <v>1818</v>
      </c>
      <c r="F673" s="9" t="s">
        <v>2695</v>
      </c>
      <c r="H673" s="9"/>
    </row>
    <row r="674" ht="14.25" customHeight="1">
      <c r="C674" s="9" t="s">
        <v>1816</v>
      </c>
      <c r="D674" s="9" t="s">
        <v>2694</v>
      </c>
      <c r="E674" s="9" t="s">
        <v>1818</v>
      </c>
      <c r="F674" s="9" t="s">
        <v>2696</v>
      </c>
      <c r="H674" s="9"/>
    </row>
    <row r="675" ht="14.25" customHeight="1">
      <c r="C675" s="9" t="s">
        <v>1816</v>
      </c>
      <c r="D675" s="9" t="s">
        <v>2694</v>
      </c>
      <c r="E675" s="9" t="s">
        <v>1818</v>
      </c>
      <c r="F675" s="9" t="s">
        <v>2697</v>
      </c>
      <c r="H675" s="9"/>
    </row>
    <row r="676" ht="14.25" customHeight="1">
      <c r="C676" s="9" t="s">
        <v>1816</v>
      </c>
      <c r="D676" s="9" t="s">
        <v>2698</v>
      </c>
      <c r="E676" s="9" t="s">
        <v>1818</v>
      </c>
      <c r="F676" s="9" t="s">
        <v>2699</v>
      </c>
      <c r="H676" s="9"/>
    </row>
    <row r="677" ht="14.25" customHeight="1">
      <c r="C677" s="9" t="s">
        <v>1816</v>
      </c>
      <c r="D677" s="9" t="s">
        <v>2698</v>
      </c>
      <c r="E677" s="9" t="s">
        <v>1818</v>
      </c>
      <c r="F677" s="9" t="s">
        <v>2700</v>
      </c>
      <c r="H677" s="9"/>
    </row>
    <row r="678" ht="14.25" customHeight="1">
      <c r="C678" s="9" t="s">
        <v>1816</v>
      </c>
      <c r="D678" s="9" t="s">
        <v>2698</v>
      </c>
      <c r="E678" s="9" t="s">
        <v>1818</v>
      </c>
      <c r="F678" s="9" t="s">
        <v>2701</v>
      </c>
      <c r="H678" s="9"/>
    </row>
    <row r="679" ht="14.25" customHeight="1">
      <c r="C679" s="9" t="s">
        <v>1816</v>
      </c>
      <c r="D679" s="9" t="s">
        <v>2698</v>
      </c>
      <c r="E679" s="9" t="s">
        <v>1818</v>
      </c>
      <c r="F679" s="9" t="s">
        <v>2702</v>
      </c>
      <c r="H679" s="9"/>
    </row>
    <row r="680" ht="14.25" customHeight="1">
      <c r="C680" s="9" t="s">
        <v>1816</v>
      </c>
      <c r="D680" s="9" t="s">
        <v>2698</v>
      </c>
      <c r="E680" s="9" t="s">
        <v>1818</v>
      </c>
      <c r="F680" s="9" t="s">
        <v>2703</v>
      </c>
      <c r="H680" s="9"/>
    </row>
    <row r="681" ht="14.25" customHeight="1">
      <c r="C681" s="9" t="s">
        <v>1816</v>
      </c>
      <c r="D681" s="9" t="s">
        <v>2698</v>
      </c>
      <c r="E681" s="9" t="s">
        <v>1818</v>
      </c>
      <c r="F681" s="9" t="s">
        <v>2704</v>
      </c>
      <c r="H681" s="9"/>
    </row>
    <row r="682" ht="14.25" customHeight="1">
      <c r="C682" s="9" t="s">
        <v>1816</v>
      </c>
      <c r="D682" s="9" t="s">
        <v>2698</v>
      </c>
      <c r="E682" s="9" t="s">
        <v>1818</v>
      </c>
      <c r="F682" s="9" t="s">
        <v>2705</v>
      </c>
      <c r="H682" s="9"/>
    </row>
    <row r="683" ht="14.25" customHeight="1">
      <c r="C683" s="9" t="s">
        <v>1816</v>
      </c>
      <c r="D683" s="9" t="s">
        <v>2706</v>
      </c>
      <c r="E683" s="9" t="s">
        <v>1818</v>
      </c>
      <c r="F683" s="9" t="s">
        <v>2707</v>
      </c>
      <c r="H683" s="9"/>
    </row>
    <row r="684" ht="14.25" customHeight="1">
      <c r="C684" s="9" t="s">
        <v>1816</v>
      </c>
      <c r="D684" s="9" t="s">
        <v>2708</v>
      </c>
      <c r="E684" s="9" t="s">
        <v>1818</v>
      </c>
      <c r="F684" s="9" t="s">
        <v>2709</v>
      </c>
      <c r="H684" s="9"/>
    </row>
    <row r="685" ht="14.25" customHeight="1">
      <c r="C685" s="9" t="s">
        <v>1816</v>
      </c>
      <c r="D685" s="9" t="s">
        <v>2708</v>
      </c>
      <c r="E685" s="9" t="s">
        <v>1818</v>
      </c>
      <c r="F685" s="9" t="s">
        <v>2710</v>
      </c>
      <c r="H685" s="9"/>
    </row>
    <row r="686" ht="14.25" customHeight="1">
      <c r="C686" s="9" t="s">
        <v>1816</v>
      </c>
      <c r="D686" s="9" t="s">
        <v>2708</v>
      </c>
      <c r="E686" s="9" t="s">
        <v>1818</v>
      </c>
      <c r="F686" s="9" t="s">
        <v>2711</v>
      </c>
      <c r="H686" s="9"/>
    </row>
    <row r="687" ht="14.25" customHeight="1">
      <c r="C687" s="9" t="s">
        <v>1816</v>
      </c>
      <c r="D687" s="9" t="s">
        <v>2708</v>
      </c>
      <c r="E687" s="9" t="s">
        <v>1818</v>
      </c>
      <c r="F687" s="9" t="s">
        <v>2712</v>
      </c>
      <c r="H687" s="9"/>
    </row>
    <row r="688" ht="14.25" customHeight="1">
      <c r="C688" s="9" t="s">
        <v>1816</v>
      </c>
      <c r="D688" s="9" t="s">
        <v>2708</v>
      </c>
      <c r="E688" s="9" t="s">
        <v>1818</v>
      </c>
      <c r="F688" s="9" t="s">
        <v>2713</v>
      </c>
      <c r="H688" s="9"/>
    </row>
    <row r="689" ht="14.25" customHeight="1">
      <c r="C689" s="9" t="s">
        <v>1816</v>
      </c>
      <c r="D689" s="9" t="s">
        <v>719</v>
      </c>
      <c r="E689" s="9" t="s">
        <v>2714</v>
      </c>
      <c r="F689" s="9" t="s">
        <v>1836</v>
      </c>
      <c r="H689" s="9"/>
    </row>
    <row r="690" ht="14.25" customHeight="1">
      <c r="C690" s="9" t="s">
        <v>1816</v>
      </c>
      <c r="D690" s="9" t="s">
        <v>719</v>
      </c>
      <c r="E690" s="9" t="s">
        <v>2714</v>
      </c>
      <c r="F690" s="9" t="s">
        <v>1838</v>
      </c>
      <c r="H690" s="9"/>
    </row>
    <row r="691" ht="14.25" customHeight="1">
      <c r="C691" s="9" t="s">
        <v>1816</v>
      </c>
      <c r="D691" s="9" t="s">
        <v>719</v>
      </c>
      <c r="E691" s="9" t="s">
        <v>2714</v>
      </c>
      <c r="F691" s="9" t="s">
        <v>1833</v>
      </c>
      <c r="H691" s="9"/>
    </row>
    <row r="692" ht="14.25" customHeight="1">
      <c r="C692" s="9" t="s">
        <v>1816</v>
      </c>
      <c r="D692" s="9" t="s">
        <v>719</v>
      </c>
      <c r="E692" s="9" t="s">
        <v>2714</v>
      </c>
      <c r="F692" s="9" t="s">
        <v>1835</v>
      </c>
      <c r="H692" s="9"/>
    </row>
    <row r="693" ht="14.25" customHeight="1">
      <c r="C693" s="9" t="s">
        <v>1816</v>
      </c>
      <c r="D693" s="9" t="s">
        <v>719</v>
      </c>
      <c r="E693" s="9" t="s">
        <v>2714</v>
      </c>
      <c r="F693" s="9" t="s">
        <v>1839</v>
      </c>
      <c r="H693" s="9"/>
    </row>
    <row r="694" ht="14.25" customHeight="1">
      <c r="C694" s="9" t="s">
        <v>1816</v>
      </c>
      <c r="D694" s="9" t="s">
        <v>722</v>
      </c>
      <c r="E694" s="9" t="s">
        <v>2714</v>
      </c>
      <c r="F694" s="9" t="s">
        <v>1827</v>
      </c>
      <c r="H694" s="9"/>
    </row>
    <row r="695" ht="14.25" customHeight="1">
      <c r="C695" s="9" t="s">
        <v>1816</v>
      </c>
      <c r="D695" s="9" t="s">
        <v>722</v>
      </c>
      <c r="E695" s="9" t="s">
        <v>2714</v>
      </c>
      <c r="F695" s="9" t="s">
        <v>1829</v>
      </c>
      <c r="H695" s="9"/>
    </row>
    <row r="696" ht="14.25" customHeight="1">
      <c r="C696" s="9" t="s">
        <v>1816</v>
      </c>
      <c r="D696" s="9" t="s">
        <v>722</v>
      </c>
      <c r="E696" s="9" t="s">
        <v>2714</v>
      </c>
      <c r="F696" s="9" t="s">
        <v>1830</v>
      </c>
      <c r="H696" s="9"/>
    </row>
    <row r="697" ht="14.25" customHeight="1">
      <c r="C697" s="9" t="s">
        <v>1816</v>
      </c>
      <c r="D697" s="9" t="s">
        <v>722</v>
      </c>
      <c r="E697" s="9" t="s">
        <v>2714</v>
      </c>
      <c r="F697" s="9" t="s">
        <v>1832</v>
      </c>
      <c r="H697" s="9"/>
    </row>
    <row r="698" ht="14.25" customHeight="1">
      <c r="C698" s="9" t="s">
        <v>1816</v>
      </c>
      <c r="D698" s="9" t="s">
        <v>1817</v>
      </c>
      <c r="E698" s="9" t="s">
        <v>2714</v>
      </c>
      <c r="F698" s="9" t="s">
        <v>1819</v>
      </c>
      <c r="H698" s="9"/>
    </row>
    <row r="699" ht="14.25" customHeight="1">
      <c r="C699" s="9" t="s">
        <v>1816</v>
      </c>
      <c r="D699" s="9" t="s">
        <v>1817</v>
      </c>
      <c r="E699" s="9" t="s">
        <v>2714</v>
      </c>
      <c r="F699" s="9" t="s">
        <v>1822</v>
      </c>
      <c r="H699" s="9"/>
    </row>
    <row r="700" ht="14.25" customHeight="1">
      <c r="C700" s="9" t="s">
        <v>1816</v>
      </c>
      <c r="D700" s="9" t="s">
        <v>1817</v>
      </c>
      <c r="E700" s="9" t="s">
        <v>2714</v>
      </c>
      <c r="F700" s="9" t="s">
        <v>1824</v>
      </c>
      <c r="H700" s="9"/>
    </row>
    <row r="701" ht="14.25" customHeight="1">
      <c r="C701" s="9" t="s">
        <v>1816</v>
      </c>
      <c r="D701" s="9" t="s">
        <v>1817</v>
      </c>
      <c r="E701" s="9" t="s">
        <v>2714</v>
      </c>
      <c r="F701" s="9" t="s">
        <v>1825</v>
      </c>
      <c r="H701" s="9"/>
    </row>
    <row r="702" ht="14.25" customHeight="1">
      <c r="C702" s="9" t="s">
        <v>1816</v>
      </c>
      <c r="D702" s="9" t="s">
        <v>734</v>
      </c>
      <c r="E702" s="9" t="s">
        <v>2714</v>
      </c>
      <c r="F702" s="9" t="s">
        <v>1861</v>
      </c>
      <c r="H702" s="9"/>
    </row>
    <row r="703" ht="14.25" customHeight="1">
      <c r="C703" s="9" t="s">
        <v>1816</v>
      </c>
      <c r="D703" s="9" t="s">
        <v>734</v>
      </c>
      <c r="E703" s="9" t="s">
        <v>2714</v>
      </c>
      <c r="F703" s="9" t="s">
        <v>1864</v>
      </c>
      <c r="H703" s="9"/>
    </row>
    <row r="704" ht="14.25" customHeight="1">
      <c r="C704" s="9" t="s">
        <v>1816</v>
      </c>
      <c r="D704" s="9" t="s">
        <v>734</v>
      </c>
      <c r="E704" s="9" t="s">
        <v>2714</v>
      </c>
      <c r="F704" s="9" t="s">
        <v>1866</v>
      </c>
      <c r="H704" s="9"/>
    </row>
    <row r="705" ht="14.25" customHeight="1">
      <c r="C705" s="9" t="s">
        <v>1816</v>
      </c>
      <c r="D705" s="9" t="s">
        <v>734</v>
      </c>
      <c r="E705" s="9" t="s">
        <v>2714</v>
      </c>
      <c r="F705" s="9" t="s">
        <v>2654</v>
      </c>
      <c r="H705" s="9"/>
    </row>
    <row r="706" ht="14.25" customHeight="1">
      <c r="C706" s="9" t="s">
        <v>1816</v>
      </c>
      <c r="D706" s="9" t="s">
        <v>734</v>
      </c>
      <c r="E706" s="9" t="s">
        <v>2714</v>
      </c>
      <c r="F706" s="9" t="s">
        <v>2655</v>
      </c>
      <c r="H706" s="9"/>
    </row>
    <row r="707" ht="14.25" customHeight="1">
      <c r="C707" s="9" t="s">
        <v>1816</v>
      </c>
      <c r="D707" s="9" t="s">
        <v>737</v>
      </c>
      <c r="E707" s="9" t="s">
        <v>2714</v>
      </c>
      <c r="F707" s="9" t="s">
        <v>1853</v>
      </c>
      <c r="H707" s="9"/>
    </row>
    <row r="708" ht="14.25" customHeight="1">
      <c r="C708" s="9" t="s">
        <v>1816</v>
      </c>
      <c r="D708" s="9" t="s">
        <v>737</v>
      </c>
      <c r="E708" s="9" t="s">
        <v>2714</v>
      </c>
      <c r="F708" s="9" t="s">
        <v>1854</v>
      </c>
      <c r="H708" s="9"/>
    </row>
    <row r="709" ht="14.25" customHeight="1">
      <c r="C709" s="9" t="s">
        <v>1816</v>
      </c>
      <c r="D709" s="9" t="s">
        <v>737</v>
      </c>
      <c r="E709" s="9" t="s">
        <v>2714</v>
      </c>
      <c r="F709" s="9" t="s">
        <v>1856</v>
      </c>
      <c r="H709" s="9"/>
    </row>
    <row r="710" ht="14.25" customHeight="1">
      <c r="C710" s="9" t="s">
        <v>1816</v>
      </c>
      <c r="D710" s="9" t="s">
        <v>737</v>
      </c>
      <c r="E710" s="9" t="s">
        <v>2714</v>
      </c>
      <c r="F710" s="9" t="s">
        <v>1858</v>
      </c>
      <c r="H710" s="9"/>
    </row>
    <row r="711" ht="14.25" customHeight="1">
      <c r="C711" s="9" t="s">
        <v>1816</v>
      </c>
      <c r="D711" s="9" t="s">
        <v>737</v>
      </c>
      <c r="E711" s="9" t="s">
        <v>2714</v>
      </c>
      <c r="F711" s="9" t="s">
        <v>1859</v>
      </c>
      <c r="H711" s="9"/>
    </row>
    <row r="712" ht="14.25" customHeight="1">
      <c r="C712" s="9" t="s">
        <v>1816</v>
      </c>
      <c r="D712" s="9" t="s">
        <v>740</v>
      </c>
      <c r="E712" s="9" t="s">
        <v>2714</v>
      </c>
      <c r="F712" s="9" t="s">
        <v>1849</v>
      </c>
      <c r="H712" s="9"/>
    </row>
    <row r="713" ht="14.25" customHeight="1">
      <c r="C713" s="9" t="s">
        <v>1816</v>
      </c>
      <c r="D713" s="9" t="s">
        <v>740</v>
      </c>
      <c r="E713" s="9" t="s">
        <v>2714</v>
      </c>
      <c r="F713" s="9" t="s">
        <v>1850</v>
      </c>
      <c r="H713" s="9"/>
    </row>
    <row r="714" ht="14.25" customHeight="1">
      <c r="C714" s="9" t="s">
        <v>1816</v>
      </c>
      <c r="D714" s="9" t="s">
        <v>740</v>
      </c>
      <c r="E714" s="9" t="s">
        <v>2714</v>
      </c>
      <c r="F714" s="9" t="s">
        <v>1851</v>
      </c>
      <c r="H714" s="9"/>
    </row>
    <row r="715" ht="14.25" customHeight="1">
      <c r="C715" s="9" t="s">
        <v>1816</v>
      </c>
      <c r="D715" s="9" t="s">
        <v>742</v>
      </c>
      <c r="E715" s="9" t="s">
        <v>2714</v>
      </c>
      <c r="F715" s="9" t="s">
        <v>1845</v>
      </c>
      <c r="H715" s="9"/>
    </row>
    <row r="716" ht="14.25" customHeight="1">
      <c r="C716" s="9" t="s">
        <v>1816</v>
      </c>
      <c r="D716" s="9" t="s">
        <v>742</v>
      </c>
      <c r="E716" s="9" t="s">
        <v>2714</v>
      </c>
      <c r="F716" s="9" t="s">
        <v>1846</v>
      </c>
      <c r="H716" s="9"/>
    </row>
    <row r="717" ht="14.25" customHeight="1">
      <c r="C717" s="9" t="s">
        <v>1816</v>
      </c>
      <c r="D717" s="9" t="s">
        <v>742</v>
      </c>
      <c r="E717" s="9" t="s">
        <v>2714</v>
      </c>
      <c r="F717" s="9" t="s">
        <v>1844</v>
      </c>
      <c r="H717" s="9"/>
    </row>
    <row r="718" ht="14.25" customHeight="1">
      <c r="C718" s="9" t="s">
        <v>1816</v>
      </c>
      <c r="D718" s="9" t="s">
        <v>742</v>
      </c>
      <c r="E718" s="9" t="s">
        <v>2714</v>
      </c>
      <c r="F718" s="9" t="s">
        <v>1847</v>
      </c>
      <c r="H718" s="9"/>
    </row>
    <row r="719" ht="14.25" customHeight="1">
      <c r="C719" s="9" t="s">
        <v>1816</v>
      </c>
      <c r="D719" s="9" t="s">
        <v>742</v>
      </c>
      <c r="E719" s="9" t="s">
        <v>2714</v>
      </c>
      <c r="F719" s="9" t="s">
        <v>1842</v>
      </c>
      <c r="H719" s="9"/>
    </row>
    <row r="720" ht="14.25" customHeight="1">
      <c r="C720" s="9" t="s">
        <v>1816</v>
      </c>
      <c r="D720" s="9" t="s">
        <v>743</v>
      </c>
      <c r="E720" s="9" t="s">
        <v>2714</v>
      </c>
      <c r="F720" s="9" t="s">
        <v>1843</v>
      </c>
      <c r="H720" s="9"/>
    </row>
    <row r="721" ht="14.25" customHeight="1">
      <c r="C721" s="9" t="s">
        <v>1816</v>
      </c>
      <c r="D721" s="9" t="s">
        <v>743</v>
      </c>
      <c r="E721" s="9" t="s">
        <v>2714</v>
      </c>
      <c r="F721" s="9" t="s">
        <v>1840</v>
      </c>
      <c r="H721" s="9"/>
    </row>
    <row r="722" ht="14.25" customHeight="1">
      <c r="C722" s="9" t="s">
        <v>1816</v>
      </c>
      <c r="D722" s="9" t="s">
        <v>743</v>
      </c>
      <c r="E722" s="9" t="s">
        <v>2714</v>
      </c>
      <c r="F722" s="9" t="s">
        <v>1841</v>
      </c>
      <c r="H722" s="9"/>
    </row>
    <row r="723" ht="14.25" customHeight="1">
      <c r="C723" s="9" t="s">
        <v>1816</v>
      </c>
      <c r="D723" s="9" t="s">
        <v>743</v>
      </c>
      <c r="E723" s="9" t="s">
        <v>2714</v>
      </c>
      <c r="F723" s="9" t="s">
        <v>1842</v>
      </c>
      <c r="H723" s="9"/>
    </row>
    <row r="724" ht="14.25" customHeight="1">
      <c r="C724" s="9" t="s">
        <v>1447</v>
      </c>
      <c r="D724" s="9" t="s">
        <v>1063</v>
      </c>
      <c r="E724" s="9" t="s">
        <v>2714</v>
      </c>
      <c r="F724" s="9" t="s">
        <v>1492</v>
      </c>
      <c r="H724" s="9"/>
    </row>
    <row r="725" ht="14.25" customHeight="1">
      <c r="C725" s="9" t="s">
        <v>1447</v>
      </c>
      <c r="D725" s="9" t="s">
        <v>1063</v>
      </c>
      <c r="E725" s="9" t="s">
        <v>2714</v>
      </c>
      <c r="F725" s="9" t="s">
        <v>1491</v>
      </c>
      <c r="H725" s="9"/>
    </row>
    <row r="726" ht="14.25" customHeight="1">
      <c r="C726" s="9" t="s">
        <v>1447</v>
      </c>
      <c r="D726" s="9" t="s">
        <v>1063</v>
      </c>
      <c r="E726" s="9" t="s">
        <v>2714</v>
      </c>
      <c r="F726" s="9" t="s">
        <v>1490</v>
      </c>
      <c r="H726" s="9"/>
    </row>
    <row r="727" ht="14.25" customHeight="1">
      <c r="C727" s="9" t="s">
        <v>1447</v>
      </c>
      <c r="D727" s="9" t="s">
        <v>1063</v>
      </c>
      <c r="E727" s="9" t="s">
        <v>2714</v>
      </c>
      <c r="F727" s="9" t="s">
        <v>1489</v>
      </c>
      <c r="H727" s="9"/>
    </row>
    <row r="728" ht="14.25" customHeight="1">
      <c r="C728" s="9" t="s">
        <v>1447</v>
      </c>
      <c r="D728" s="9" t="s">
        <v>1066</v>
      </c>
      <c r="E728" s="9" t="s">
        <v>2714</v>
      </c>
      <c r="F728" s="9" t="s">
        <v>1531</v>
      </c>
      <c r="H728" s="9"/>
    </row>
    <row r="729" ht="14.25" customHeight="1">
      <c r="C729" s="9" t="s">
        <v>1447</v>
      </c>
      <c r="D729" s="9" t="s">
        <v>1066</v>
      </c>
      <c r="E729" s="9" t="s">
        <v>2714</v>
      </c>
      <c r="F729" s="9" t="s">
        <v>1530</v>
      </c>
      <c r="H729" s="9"/>
    </row>
    <row r="730" ht="14.25" customHeight="1">
      <c r="C730" s="9" t="s">
        <v>1447</v>
      </c>
      <c r="D730" s="9" t="s">
        <v>1066</v>
      </c>
      <c r="E730" s="9" t="s">
        <v>2714</v>
      </c>
      <c r="F730" s="9" t="s">
        <v>1532</v>
      </c>
      <c r="H730" s="9"/>
    </row>
    <row r="731" ht="14.25" customHeight="1">
      <c r="C731" s="9" t="s">
        <v>1447</v>
      </c>
      <c r="D731" s="9" t="s">
        <v>1066</v>
      </c>
      <c r="E731" s="9" t="s">
        <v>2714</v>
      </c>
      <c r="F731" s="9" t="s">
        <v>2715</v>
      </c>
      <c r="H731" s="9"/>
    </row>
    <row r="732" ht="14.25" customHeight="1">
      <c r="C732" s="9" t="s">
        <v>1796</v>
      </c>
      <c r="D732" s="9" t="s">
        <v>716</v>
      </c>
      <c r="E732" s="9" t="s">
        <v>1798</v>
      </c>
      <c r="F732" s="9" t="s">
        <v>1910</v>
      </c>
      <c r="H732" s="9"/>
    </row>
    <row r="733" ht="14.25" customHeight="1">
      <c r="C733" s="9" t="s">
        <v>1796</v>
      </c>
      <c r="D733" s="9" t="s">
        <v>716</v>
      </c>
      <c r="E733" s="9" t="s">
        <v>1798</v>
      </c>
      <c r="F733" s="9" t="s">
        <v>1915</v>
      </c>
      <c r="H733" s="9"/>
    </row>
    <row r="734" ht="14.25" customHeight="1">
      <c r="C734" s="9" t="s">
        <v>1796</v>
      </c>
      <c r="D734" s="9" t="s">
        <v>716</v>
      </c>
      <c r="E734" s="9" t="s">
        <v>1798</v>
      </c>
      <c r="F734" s="9" t="s">
        <v>2716</v>
      </c>
      <c r="H734" s="9"/>
    </row>
    <row r="735" ht="14.25" customHeight="1">
      <c r="C735" s="9" t="s">
        <v>1796</v>
      </c>
      <c r="D735" s="9" t="s">
        <v>716</v>
      </c>
      <c r="E735" s="9" t="s">
        <v>1798</v>
      </c>
      <c r="F735" s="9" t="s">
        <v>1912</v>
      </c>
      <c r="H735" s="9"/>
    </row>
    <row r="736" ht="14.25" customHeight="1">
      <c r="C736" s="9" t="s">
        <v>1796</v>
      </c>
      <c r="D736" s="9" t="s">
        <v>716</v>
      </c>
      <c r="E736" s="9" t="s">
        <v>1798</v>
      </c>
      <c r="F736" s="9" t="s">
        <v>1907</v>
      </c>
      <c r="H736" s="9"/>
    </row>
    <row r="737" ht="14.25" customHeight="1">
      <c r="C737" s="9" t="s">
        <v>1796</v>
      </c>
      <c r="D737" s="9" t="s">
        <v>716</v>
      </c>
      <c r="E737" s="9" t="s">
        <v>1798</v>
      </c>
      <c r="F737" s="9" t="s">
        <v>1925</v>
      </c>
      <c r="H737" s="9"/>
    </row>
    <row r="738" ht="14.25" customHeight="1">
      <c r="C738" s="9" t="s">
        <v>1796</v>
      </c>
      <c r="D738" s="9" t="s">
        <v>716</v>
      </c>
      <c r="E738" s="9" t="s">
        <v>1798</v>
      </c>
      <c r="F738" s="9" t="s">
        <v>2717</v>
      </c>
      <c r="H738" s="9"/>
    </row>
    <row r="739" ht="14.25" customHeight="1">
      <c r="C739" s="9" t="s">
        <v>1796</v>
      </c>
      <c r="D739" s="9" t="s">
        <v>716</v>
      </c>
      <c r="E739" s="9" t="s">
        <v>1798</v>
      </c>
      <c r="F739" s="9" t="s">
        <v>1905</v>
      </c>
      <c r="H739" s="9"/>
    </row>
    <row r="740" ht="14.25" customHeight="1">
      <c r="C740" s="9" t="s">
        <v>1796</v>
      </c>
      <c r="D740" s="9" t="s">
        <v>716</v>
      </c>
      <c r="E740" s="9" t="s">
        <v>1798</v>
      </c>
      <c r="F740" s="9" t="s">
        <v>1918</v>
      </c>
      <c r="H740" s="9"/>
    </row>
    <row r="741" ht="14.25" customHeight="1">
      <c r="C741" s="9" t="s">
        <v>1796</v>
      </c>
      <c r="D741" s="9" t="s">
        <v>716</v>
      </c>
      <c r="E741" s="9" t="s">
        <v>1798</v>
      </c>
      <c r="F741" s="9" t="s">
        <v>1815</v>
      </c>
      <c r="H741" s="9"/>
    </row>
    <row r="742" ht="14.25" customHeight="1">
      <c r="C742" s="9" t="s">
        <v>1796</v>
      </c>
      <c r="D742" s="9" t="s">
        <v>716</v>
      </c>
      <c r="E742" s="9" t="s">
        <v>1798</v>
      </c>
      <c r="F742" s="9" t="s">
        <v>2718</v>
      </c>
      <c r="H742" s="9"/>
    </row>
    <row r="743" ht="14.25" customHeight="1">
      <c r="C743" s="9" t="s">
        <v>1796</v>
      </c>
      <c r="D743" s="9" t="s">
        <v>716</v>
      </c>
      <c r="E743" s="9" t="s">
        <v>1798</v>
      </c>
      <c r="F743" s="9" t="s">
        <v>1810</v>
      </c>
      <c r="H743" s="9"/>
    </row>
    <row r="744" ht="14.25" customHeight="1">
      <c r="C744" s="9" t="s">
        <v>1796</v>
      </c>
      <c r="D744" s="9" t="s">
        <v>1197</v>
      </c>
      <c r="E744" s="9" t="s">
        <v>1798</v>
      </c>
      <c r="F744" s="9" t="s">
        <v>1935</v>
      </c>
      <c r="H744" s="9"/>
    </row>
    <row r="745" ht="14.25" customHeight="1">
      <c r="C745" s="9" t="s">
        <v>1796</v>
      </c>
      <c r="D745" s="9" t="s">
        <v>1197</v>
      </c>
      <c r="E745" s="9" t="s">
        <v>1798</v>
      </c>
      <c r="F745" s="9" t="s">
        <v>1932</v>
      </c>
      <c r="H745" s="9"/>
    </row>
    <row r="746" ht="14.25" customHeight="1">
      <c r="C746" s="9" t="s">
        <v>1796</v>
      </c>
      <c r="D746" s="9" t="s">
        <v>1197</v>
      </c>
      <c r="E746" s="9" t="s">
        <v>1798</v>
      </c>
      <c r="F746" s="9" t="s">
        <v>2719</v>
      </c>
      <c r="H746" s="9"/>
    </row>
    <row r="747" ht="14.25" customHeight="1">
      <c r="C747" s="9" t="s">
        <v>1796</v>
      </c>
      <c r="D747" s="9" t="s">
        <v>1197</v>
      </c>
      <c r="E747" s="9" t="s">
        <v>1798</v>
      </c>
      <c r="F747" s="9" t="s">
        <v>1940</v>
      </c>
      <c r="H747" s="9"/>
    </row>
    <row r="748" ht="14.25" customHeight="1">
      <c r="C748" s="9" t="s">
        <v>1796</v>
      </c>
      <c r="D748" s="9" t="s">
        <v>1197</v>
      </c>
      <c r="E748" s="9" t="s">
        <v>1798</v>
      </c>
      <c r="F748" s="9" t="s">
        <v>2720</v>
      </c>
      <c r="H748" s="9"/>
    </row>
    <row r="749" ht="14.25" customHeight="1">
      <c r="C749" s="9" t="s">
        <v>1796</v>
      </c>
      <c r="D749" s="9" t="s">
        <v>1197</v>
      </c>
      <c r="E749" s="9" t="s">
        <v>1798</v>
      </c>
      <c r="F749" s="9" t="s">
        <v>1937</v>
      </c>
      <c r="H749" s="9"/>
    </row>
    <row r="750" ht="14.25" customHeight="1">
      <c r="C750" s="9" t="s">
        <v>1796</v>
      </c>
      <c r="D750" s="9" t="s">
        <v>1197</v>
      </c>
      <c r="E750" s="9" t="s">
        <v>1798</v>
      </c>
      <c r="F750" s="9" t="s">
        <v>2721</v>
      </c>
      <c r="H750" s="9"/>
    </row>
    <row r="751" ht="14.25" customHeight="1">
      <c r="C751" s="9" t="s">
        <v>1796</v>
      </c>
      <c r="D751" s="9" t="s">
        <v>1197</v>
      </c>
      <c r="E751" s="9" t="s">
        <v>1798</v>
      </c>
      <c r="F751" s="9" t="s">
        <v>2722</v>
      </c>
      <c r="H751" s="9"/>
    </row>
    <row r="752" ht="14.25" customHeight="1">
      <c r="C752" s="9" t="s">
        <v>1796</v>
      </c>
      <c r="D752" s="9" t="s">
        <v>1197</v>
      </c>
      <c r="E752" s="9" t="s">
        <v>1798</v>
      </c>
      <c r="F752" s="9" t="s">
        <v>2723</v>
      </c>
      <c r="H752" s="9"/>
    </row>
    <row r="753" ht="14.25" customHeight="1">
      <c r="C753" s="9" t="s">
        <v>1796</v>
      </c>
      <c r="D753" s="9" t="s">
        <v>1197</v>
      </c>
      <c r="E753" s="9" t="s">
        <v>1798</v>
      </c>
      <c r="F753" s="9" t="s">
        <v>2724</v>
      </c>
      <c r="H753" s="9"/>
    </row>
    <row r="754" ht="14.25" customHeight="1">
      <c r="C754" s="9" t="s">
        <v>1796</v>
      </c>
      <c r="D754" s="9" t="s">
        <v>1197</v>
      </c>
      <c r="E754" s="9" t="s">
        <v>1798</v>
      </c>
      <c r="F754" s="9" t="s">
        <v>2725</v>
      </c>
      <c r="H754" s="9"/>
    </row>
    <row r="755" ht="14.25" customHeight="1">
      <c r="C755" s="9" t="s">
        <v>2726</v>
      </c>
      <c r="D755" s="9" t="s">
        <v>2683</v>
      </c>
      <c r="E755" s="9" t="s">
        <v>1798</v>
      </c>
      <c r="F755" s="9" t="s">
        <v>2684</v>
      </c>
      <c r="H755" s="9"/>
    </row>
    <row r="756" ht="14.25" customHeight="1">
      <c r="C756" s="9" t="s">
        <v>2726</v>
      </c>
      <c r="D756" s="9" t="s">
        <v>2683</v>
      </c>
      <c r="E756" s="9" t="s">
        <v>1798</v>
      </c>
      <c r="F756" s="9" t="s">
        <v>2685</v>
      </c>
      <c r="H756" s="9"/>
    </row>
    <row r="757" ht="14.25" customHeight="1">
      <c r="C757" s="9" t="s">
        <v>2726</v>
      </c>
      <c r="D757" s="9" t="s">
        <v>2683</v>
      </c>
      <c r="E757" s="9" t="s">
        <v>1798</v>
      </c>
      <c r="F757" s="9" t="s">
        <v>2686</v>
      </c>
      <c r="H757" s="9"/>
    </row>
    <row r="758" ht="14.25" customHeight="1">
      <c r="C758" s="9" t="s">
        <v>2726</v>
      </c>
      <c r="D758" s="9" t="s">
        <v>2683</v>
      </c>
      <c r="E758" s="9" t="s">
        <v>1798</v>
      </c>
      <c r="F758" s="9" t="s">
        <v>2687</v>
      </c>
      <c r="H758" s="9"/>
    </row>
    <row r="759" ht="14.25" customHeight="1">
      <c r="C759" s="9" t="s">
        <v>2726</v>
      </c>
      <c r="D759" s="9" t="s">
        <v>2683</v>
      </c>
      <c r="E759" s="9" t="s">
        <v>1798</v>
      </c>
      <c r="F759" s="9" t="s">
        <v>2688</v>
      </c>
      <c r="H759" s="9"/>
    </row>
    <row r="760" ht="14.25" customHeight="1">
      <c r="C760" s="9" t="s">
        <v>2726</v>
      </c>
      <c r="D760" s="9" t="s">
        <v>2683</v>
      </c>
      <c r="E760" s="9" t="s">
        <v>1798</v>
      </c>
      <c r="F760" s="9" t="s">
        <v>2689</v>
      </c>
      <c r="H760" s="9"/>
    </row>
    <row r="761" ht="14.25" customHeight="1">
      <c r="C761" s="9" t="s">
        <v>2726</v>
      </c>
      <c r="D761" s="9" t="s">
        <v>2683</v>
      </c>
      <c r="E761" s="9" t="s">
        <v>1798</v>
      </c>
      <c r="F761" s="9" t="s">
        <v>2690</v>
      </c>
      <c r="H761" s="9"/>
    </row>
    <row r="762" ht="14.25" customHeight="1">
      <c r="C762" s="9" t="s">
        <v>2726</v>
      </c>
      <c r="D762" s="9" t="s">
        <v>2683</v>
      </c>
      <c r="E762" s="9" t="s">
        <v>1798</v>
      </c>
      <c r="F762" s="9" t="s">
        <v>2691</v>
      </c>
      <c r="H762" s="9"/>
    </row>
    <row r="763" ht="14.25" customHeight="1">
      <c r="C763" s="9" t="s">
        <v>2726</v>
      </c>
      <c r="D763" s="9" t="s">
        <v>2683</v>
      </c>
      <c r="E763" s="9" t="s">
        <v>1798</v>
      </c>
      <c r="F763" s="9" t="s">
        <v>2692</v>
      </c>
      <c r="H763" s="9"/>
    </row>
    <row r="764" ht="14.25" customHeight="1">
      <c r="C764" s="9" t="s">
        <v>2726</v>
      </c>
      <c r="D764" s="9" t="s">
        <v>2683</v>
      </c>
      <c r="E764" s="9" t="s">
        <v>1798</v>
      </c>
      <c r="F764" s="9" t="s">
        <v>2693</v>
      </c>
      <c r="H764" s="9"/>
    </row>
    <row r="765" ht="14.25" customHeight="1">
      <c r="C765" s="9" t="s">
        <v>2187</v>
      </c>
      <c r="D765" s="9" t="s">
        <v>2226</v>
      </c>
      <c r="E765" s="9" t="s">
        <v>2081</v>
      </c>
      <c r="F765" s="9" t="s">
        <v>2222</v>
      </c>
      <c r="H765" s="9"/>
    </row>
    <row r="766" ht="14.25" customHeight="1">
      <c r="C766" s="9" t="s">
        <v>2187</v>
      </c>
      <c r="D766" s="9" t="s">
        <v>2226</v>
      </c>
      <c r="E766" s="9" t="s">
        <v>2081</v>
      </c>
      <c r="F766" s="9" t="s">
        <v>2224</v>
      </c>
      <c r="H766" s="9"/>
    </row>
    <row r="767" ht="14.25" customHeight="1">
      <c r="C767" s="9" t="s">
        <v>2187</v>
      </c>
      <c r="D767" s="9" t="s">
        <v>2226</v>
      </c>
      <c r="E767" s="9" t="s">
        <v>2081</v>
      </c>
      <c r="F767" s="9" t="s">
        <v>2228</v>
      </c>
      <c r="H767" s="9"/>
    </row>
    <row r="768" ht="14.25" customHeight="1">
      <c r="C768" s="9" t="s">
        <v>2187</v>
      </c>
      <c r="D768" s="9" t="s">
        <v>847</v>
      </c>
      <c r="E768" s="9" t="s">
        <v>2081</v>
      </c>
      <c r="F768" s="9" t="s">
        <v>2279</v>
      </c>
      <c r="H768" s="9"/>
    </row>
    <row r="769" ht="14.25" customHeight="1">
      <c r="C769" s="9" t="s">
        <v>2187</v>
      </c>
      <c r="D769" s="9" t="s">
        <v>847</v>
      </c>
      <c r="E769" s="9" t="s">
        <v>2081</v>
      </c>
      <c r="F769" s="9" t="s">
        <v>2281</v>
      </c>
      <c r="H769" s="9"/>
    </row>
    <row r="770" ht="14.25" customHeight="1">
      <c r="C770" s="9" t="s">
        <v>2187</v>
      </c>
      <c r="D770" s="9" t="s">
        <v>847</v>
      </c>
      <c r="E770" s="9" t="s">
        <v>2081</v>
      </c>
      <c r="F770" s="9" t="s">
        <v>2282</v>
      </c>
      <c r="H770" s="9"/>
    </row>
    <row r="771" ht="14.25" customHeight="1">
      <c r="C771" s="9" t="s">
        <v>2187</v>
      </c>
      <c r="D771" s="9" t="s">
        <v>847</v>
      </c>
      <c r="E771" s="9" t="s">
        <v>2081</v>
      </c>
      <c r="F771" s="9" t="s">
        <v>2283</v>
      </c>
      <c r="H771" s="9"/>
    </row>
    <row r="772" ht="14.25" customHeight="1">
      <c r="C772" s="9" t="s">
        <v>2187</v>
      </c>
      <c r="D772" s="9" t="s">
        <v>853</v>
      </c>
      <c r="E772" s="9" t="s">
        <v>2081</v>
      </c>
      <c r="F772" s="9" t="s">
        <v>2229</v>
      </c>
      <c r="H772" s="9"/>
    </row>
    <row r="773" ht="14.25" customHeight="1">
      <c r="C773" s="9" t="s">
        <v>2187</v>
      </c>
      <c r="D773" s="9" t="s">
        <v>853</v>
      </c>
      <c r="E773" s="9" t="s">
        <v>2081</v>
      </c>
      <c r="F773" s="9" t="s">
        <v>2231</v>
      </c>
      <c r="H773" s="9"/>
    </row>
    <row r="774" ht="14.25" customHeight="1">
      <c r="C774" s="9" t="s">
        <v>2187</v>
      </c>
      <c r="D774" s="9" t="s">
        <v>853</v>
      </c>
      <c r="E774" s="9" t="s">
        <v>2081</v>
      </c>
      <c r="F774" s="9" t="s">
        <v>2232</v>
      </c>
      <c r="H774" s="9"/>
    </row>
    <row r="775" ht="14.25" customHeight="1">
      <c r="C775" s="9" t="s">
        <v>2187</v>
      </c>
      <c r="D775" s="9" t="s">
        <v>853</v>
      </c>
      <c r="E775" s="9" t="s">
        <v>2081</v>
      </c>
      <c r="F775" s="9" t="s">
        <v>2234</v>
      </c>
      <c r="H775" s="9"/>
    </row>
    <row r="776" ht="14.25" customHeight="1">
      <c r="C776" s="9" t="s">
        <v>2187</v>
      </c>
      <c r="D776" s="9" t="s">
        <v>856</v>
      </c>
      <c r="E776" s="9" t="s">
        <v>2081</v>
      </c>
      <c r="F776" s="9" t="s">
        <v>2229</v>
      </c>
      <c r="H776" s="9"/>
    </row>
    <row r="777" ht="14.25" customHeight="1">
      <c r="C777" s="9" t="s">
        <v>2187</v>
      </c>
      <c r="D777" s="9" t="s">
        <v>856</v>
      </c>
      <c r="E777" s="9" t="s">
        <v>2081</v>
      </c>
      <c r="F777" s="9" t="s">
        <v>2231</v>
      </c>
      <c r="H777" s="9"/>
    </row>
    <row r="778" ht="14.25" customHeight="1">
      <c r="C778" s="9" t="s">
        <v>2187</v>
      </c>
      <c r="D778" s="9" t="s">
        <v>856</v>
      </c>
      <c r="E778" s="9" t="s">
        <v>2081</v>
      </c>
      <c r="F778" s="9" t="s">
        <v>2232</v>
      </c>
      <c r="H778" s="9"/>
    </row>
    <row r="779" ht="14.25" customHeight="1">
      <c r="C779" s="9" t="s">
        <v>2187</v>
      </c>
      <c r="D779" s="9" t="s">
        <v>856</v>
      </c>
      <c r="E779" s="9" t="s">
        <v>2081</v>
      </c>
      <c r="F779" s="9" t="s">
        <v>2234</v>
      </c>
      <c r="H779" s="9"/>
    </row>
    <row r="780" ht="14.25" customHeight="1">
      <c r="C780" s="9" t="s">
        <v>2187</v>
      </c>
      <c r="D780" s="9" t="s">
        <v>868</v>
      </c>
      <c r="E780" s="9" t="s">
        <v>2081</v>
      </c>
      <c r="F780" s="9" t="s">
        <v>2248</v>
      </c>
      <c r="H780" s="9"/>
    </row>
    <row r="781" ht="14.25" customHeight="1">
      <c r="C781" s="9" t="s">
        <v>2187</v>
      </c>
      <c r="D781" s="9" t="s">
        <v>868</v>
      </c>
      <c r="E781" s="9" t="s">
        <v>2081</v>
      </c>
      <c r="F781" s="9" t="s">
        <v>2249</v>
      </c>
      <c r="H781" s="9"/>
    </row>
    <row r="782" ht="14.25" customHeight="1">
      <c r="C782" s="9" t="s">
        <v>2187</v>
      </c>
      <c r="D782" s="9" t="s">
        <v>868</v>
      </c>
      <c r="E782" s="9" t="s">
        <v>2081</v>
      </c>
      <c r="F782" s="9" t="s">
        <v>2251</v>
      </c>
      <c r="H782" s="9"/>
    </row>
    <row r="783" ht="14.25" customHeight="1">
      <c r="C783" s="9" t="s">
        <v>2187</v>
      </c>
      <c r="D783" s="9" t="s">
        <v>868</v>
      </c>
      <c r="E783" s="9" t="s">
        <v>2081</v>
      </c>
      <c r="F783" s="9" t="s">
        <v>2252</v>
      </c>
      <c r="H783" s="9"/>
    </row>
    <row r="784" ht="14.25" customHeight="1">
      <c r="C784" s="9" t="s">
        <v>2187</v>
      </c>
      <c r="D784" s="9" t="s">
        <v>868</v>
      </c>
      <c r="E784" s="9" t="s">
        <v>2081</v>
      </c>
      <c r="F784" s="9" t="s">
        <v>2254</v>
      </c>
      <c r="H784" s="9"/>
    </row>
    <row r="785" ht="14.25" customHeight="1">
      <c r="C785" s="9" t="s">
        <v>2187</v>
      </c>
      <c r="D785" s="9" t="s">
        <v>873</v>
      </c>
      <c r="E785" s="9" t="s">
        <v>2081</v>
      </c>
      <c r="F785" s="9" t="s">
        <v>2248</v>
      </c>
      <c r="H785" s="9"/>
    </row>
    <row r="786" ht="14.25" customHeight="1">
      <c r="C786" s="9" t="s">
        <v>2187</v>
      </c>
      <c r="D786" s="9" t="s">
        <v>873</v>
      </c>
      <c r="E786" s="9" t="s">
        <v>2081</v>
      </c>
      <c r="F786" s="9" t="s">
        <v>2249</v>
      </c>
      <c r="H786" s="9"/>
    </row>
    <row r="787" ht="14.25" customHeight="1">
      <c r="C787" s="9" t="s">
        <v>2187</v>
      </c>
      <c r="D787" s="9" t="s">
        <v>873</v>
      </c>
      <c r="E787" s="9" t="s">
        <v>2081</v>
      </c>
      <c r="F787" s="9" t="s">
        <v>2251</v>
      </c>
      <c r="H787" s="9"/>
    </row>
    <row r="788" ht="14.25" customHeight="1">
      <c r="C788" s="9" t="s">
        <v>2187</v>
      </c>
      <c r="D788" s="9" t="s">
        <v>873</v>
      </c>
      <c r="E788" s="9" t="s">
        <v>2081</v>
      </c>
      <c r="F788" s="9" t="s">
        <v>2257</v>
      </c>
      <c r="H788" s="9"/>
    </row>
    <row r="789" ht="14.25" customHeight="1">
      <c r="C789" s="9" t="s">
        <v>2187</v>
      </c>
      <c r="D789" s="9" t="s">
        <v>873</v>
      </c>
      <c r="E789" s="9" t="s">
        <v>2081</v>
      </c>
      <c r="F789" s="9" t="s">
        <v>2258</v>
      </c>
      <c r="H789" s="9"/>
    </row>
    <row r="790" ht="14.25" customHeight="1">
      <c r="C790" s="9" t="s">
        <v>2187</v>
      </c>
      <c r="D790" s="9" t="s">
        <v>878</v>
      </c>
      <c r="E790" s="9" t="s">
        <v>2081</v>
      </c>
      <c r="F790" s="9" t="s">
        <v>2199</v>
      </c>
      <c r="H790" s="9"/>
    </row>
    <row r="791" ht="14.25" customHeight="1">
      <c r="C791" s="9" t="s">
        <v>2187</v>
      </c>
      <c r="D791" s="9" t="s">
        <v>878</v>
      </c>
      <c r="E791" s="9" t="s">
        <v>2081</v>
      </c>
      <c r="F791" s="9" t="s">
        <v>2200</v>
      </c>
      <c r="H791" s="9"/>
    </row>
    <row r="792" ht="14.25" customHeight="1">
      <c r="C792" s="9" t="s">
        <v>2187</v>
      </c>
      <c r="D792" s="9" t="s">
        <v>878</v>
      </c>
      <c r="E792" s="9" t="s">
        <v>2081</v>
      </c>
      <c r="F792" s="9" t="s">
        <v>2202</v>
      </c>
      <c r="H792" s="9"/>
    </row>
    <row r="793" ht="14.25" customHeight="1">
      <c r="C793" s="9" t="s">
        <v>2187</v>
      </c>
      <c r="D793" s="9" t="s">
        <v>2260</v>
      </c>
      <c r="E793" s="9" t="s">
        <v>2081</v>
      </c>
      <c r="F793" s="9" t="s">
        <v>2261</v>
      </c>
      <c r="H793" s="9"/>
    </row>
    <row r="794" ht="14.25" customHeight="1">
      <c r="C794" s="9" t="s">
        <v>2187</v>
      </c>
      <c r="D794" s="9" t="s">
        <v>2260</v>
      </c>
      <c r="E794" s="9" t="s">
        <v>2081</v>
      </c>
      <c r="F794" s="9" t="s">
        <v>2262</v>
      </c>
      <c r="H794" s="9"/>
    </row>
    <row r="795" ht="14.25" customHeight="1">
      <c r="C795" s="9" t="s">
        <v>2187</v>
      </c>
      <c r="D795" s="9" t="s">
        <v>2260</v>
      </c>
      <c r="E795" s="9" t="s">
        <v>2081</v>
      </c>
      <c r="F795" s="9" t="s">
        <v>2264</v>
      </c>
      <c r="H795" s="9"/>
    </row>
    <row r="796" ht="14.25" customHeight="1">
      <c r="C796" s="9" t="s">
        <v>2187</v>
      </c>
      <c r="D796" s="9" t="s">
        <v>2260</v>
      </c>
      <c r="E796" s="9" t="s">
        <v>2081</v>
      </c>
      <c r="F796" s="9" t="s">
        <v>2265</v>
      </c>
      <c r="H796" s="9"/>
    </row>
    <row r="797" ht="14.25" customHeight="1">
      <c r="C797" s="9" t="s">
        <v>2187</v>
      </c>
      <c r="D797" s="9" t="s">
        <v>2260</v>
      </c>
      <c r="E797" s="9" t="s">
        <v>2081</v>
      </c>
      <c r="F797" s="9" t="s">
        <v>2267</v>
      </c>
      <c r="H797" s="9"/>
    </row>
    <row r="798" ht="14.25" customHeight="1">
      <c r="C798" s="9" t="s">
        <v>2187</v>
      </c>
      <c r="D798" s="9" t="s">
        <v>887</v>
      </c>
      <c r="E798" s="9" t="s">
        <v>2081</v>
      </c>
      <c r="F798" s="9" t="s">
        <v>2242</v>
      </c>
      <c r="H798" s="9"/>
    </row>
    <row r="799" ht="14.25" customHeight="1">
      <c r="C799" s="9" t="s">
        <v>2187</v>
      </c>
      <c r="D799" s="9" t="s">
        <v>887</v>
      </c>
      <c r="E799" s="9" t="s">
        <v>2081</v>
      </c>
      <c r="F799" s="9" t="s">
        <v>2243</v>
      </c>
      <c r="H799" s="9"/>
    </row>
    <row r="800" ht="14.25" customHeight="1">
      <c r="C800" s="9" t="s">
        <v>2187</v>
      </c>
      <c r="D800" s="9" t="s">
        <v>887</v>
      </c>
      <c r="E800" s="9" t="s">
        <v>2081</v>
      </c>
      <c r="F800" s="9" t="s">
        <v>2245</v>
      </c>
      <c r="H800" s="9"/>
    </row>
    <row r="801" ht="14.25" customHeight="1">
      <c r="C801" s="9" t="s">
        <v>2187</v>
      </c>
      <c r="D801" s="9" t="s">
        <v>887</v>
      </c>
      <c r="E801" s="9" t="s">
        <v>2081</v>
      </c>
      <c r="F801" s="9" t="s">
        <v>2246</v>
      </c>
      <c r="H801" s="9"/>
    </row>
    <row r="802" ht="14.25" customHeight="1">
      <c r="C802" s="9" t="s">
        <v>2187</v>
      </c>
      <c r="D802" s="9" t="s">
        <v>891</v>
      </c>
      <c r="E802" s="9" t="s">
        <v>2081</v>
      </c>
      <c r="F802" s="9" t="s">
        <v>2237</v>
      </c>
      <c r="H802" s="9"/>
    </row>
    <row r="803" ht="14.25" customHeight="1">
      <c r="C803" s="9" t="s">
        <v>2187</v>
      </c>
      <c r="D803" s="9" t="s">
        <v>891</v>
      </c>
      <c r="E803" s="9" t="s">
        <v>2081</v>
      </c>
      <c r="F803" s="9" t="s">
        <v>2238</v>
      </c>
      <c r="H803" s="9"/>
    </row>
    <row r="804" ht="14.25" customHeight="1">
      <c r="C804" s="9" t="s">
        <v>2187</v>
      </c>
      <c r="D804" s="9" t="s">
        <v>891</v>
      </c>
      <c r="E804" s="9" t="s">
        <v>2081</v>
      </c>
      <c r="F804" s="9" t="s">
        <v>2240</v>
      </c>
      <c r="H804" s="9"/>
    </row>
    <row r="805" ht="14.25" customHeight="1">
      <c r="C805" s="9" t="s">
        <v>2187</v>
      </c>
      <c r="D805" s="9" t="s">
        <v>893</v>
      </c>
      <c r="E805" s="9" t="s">
        <v>2081</v>
      </c>
      <c r="F805" s="9" t="s">
        <v>2237</v>
      </c>
      <c r="H805" s="9"/>
    </row>
    <row r="806" ht="14.25" customHeight="1">
      <c r="C806" s="9" t="s">
        <v>2187</v>
      </c>
      <c r="D806" s="9" t="s">
        <v>893</v>
      </c>
      <c r="E806" s="9" t="s">
        <v>2081</v>
      </c>
      <c r="F806" s="9" t="s">
        <v>2238</v>
      </c>
      <c r="H806" s="9"/>
    </row>
    <row r="807" ht="14.25" customHeight="1">
      <c r="C807" s="9" t="s">
        <v>2187</v>
      </c>
      <c r="D807" s="9" t="s">
        <v>893</v>
      </c>
      <c r="E807" s="9" t="s">
        <v>2081</v>
      </c>
      <c r="F807" s="9" t="s">
        <v>2240</v>
      </c>
      <c r="H807" s="9"/>
    </row>
    <row r="808" ht="14.25" customHeight="1">
      <c r="C808" s="9" t="s">
        <v>2187</v>
      </c>
      <c r="D808" s="9" t="s">
        <v>900</v>
      </c>
      <c r="E808" s="9" t="s">
        <v>2081</v>
      </c>
      <c r="F808" s="9" t="s">
        <v>2222</v>
      </c>
      <c r="H808" s="9"/>
    </row>
    <row r="809" ht="14.25" customHeight="1">
      <c r="C809" s="9" t="s">
        <v>2187</v>
      </c>
      <c r="D809" s="9" t="s">
        <v>900</v>
      </c>
      <c r="E809" s="9" t="s">
        <v>2081</v>
      </c>
      <c r="F809" s="9" t="s">
        <v>2224</v>
      </c>
      <c r="H809" s="9"/>
    </row>
    <row r="810" ht="14.25" customHeight="1">
      <c r="C810" s="9" t="s">
        <v>2187</v>
      </c>
      <c r="D810" s="9" t="s">
        <v>900</v>
      </c>
      <c r="E810" s="9" t="s">
        <v>2081</v>
      </c>
      <c r="F810" s="9" t="s">
        <v>2225</v>
      </c>
      <c r="H810" s="9"/>
    </row>
    <row r="811" ht="14.25" customHeight="1">
      <c r="C811" s="9" t="s">
        <v>2187</v>
      </c>
      <c r="D811" s="9" t="s">
        <v>912</v>
      </c>
      <c r="E811" s="9" t="s">
        <v>2081</v>
      </c>
      <c r="F811" s="9" t="s">
        <v>2189</v>
      </c>
      <c r="H811" s="9"/>
    </row>
    <row r="812" ht="14.25" customHeight="1">
      <c r="C812" s="9" t="s">
        <v>2187</v>
      </c>
      <c r="D812" s="9" t="s">
        <v>912</v>
      </c>
      <c r="E812" s="9" t="s">
        <v>2081</v>
      </c>
      <c r="F812" s="9" t="s">
        <v>2190</v>
      </c>
      <c r="H812" s="9"/>
    </row>
    <row r="813" ht="14.25" customHeight="1">
      <c r="C813" s="9" t="s">
        <v>2187</v>
      </c>
      <c r="D813" s="9" t="s">
        <v>917</v>
      </c>
      <c r="E813" s="9" t="s">
        <v>2081</v>
      </c>
      <c r="F813" s="9" t="s">
        <v>2193</v>
      </c>
      <c r="H813" s="9"/>
    </row>
    <row r="814" ht="14.25" customHeight="1">
      <c r="C814" s="9" t="s">
        <v>2187</v>
      </c>
      <c r="D814" s="9" t="s">
        <v>917</v>
      </c>
      <c r="E814" s="9" t="s">
        <v>2081</v>
      </c>
      <c r="F814" s="9" t="s">
        <v>2194</v>
      </c>
      <c r="H814" s="9"/>
    </row>
    <row r="815" ht="14.25" customHeight="1">
      <c r="C815" s="9" t="s">
        <v>2187</v>
      </c>
      <c r="D815" s="9" t="s">
        <v>917</v>
      </c>
      <c r="E815" s="9" t="s">
        <v>2081</v>
      </c>
      <c r="F815" s="9" t="s">
        <v>2195</v>
      </c>
      <c r="H815" s="9"/>
    </row>
    <row r="816" ht="14.25" customHeight="1">
      <c r="C816" s="9" t="s">
        <v>2187</v>
      </c>
      <c r="D816" s="9" t="s">
        <v>917</v>
      </c>
      <c r="E816" s="9" t="s">
        <v>2081</v>
      </c>
      <c r="F816" s="9" t="s">
        <v>2197</v>
      </c>
      <c r="H816" s="9"/>
    </row>
    <row r="817" ht="14.25" customHeight="1">
      <c r="C817" s="9" t="s">
        <v>2187</v>
      </c>
      <c r="D817" s="9" t="s">
        <v>921</v>
      </c>
      <c r="E817" s="9" t="s">
        <v>2081</v>
      </c>
      <c r="F817" s="9" t="s">
        <v>2191</v>
      </c>
      <c r="H817" s="9"/>
    </row>
    <row r="818" ht="14.25" customHeight="1">
      <c r="C818" s="9" t="s">
        <v>2187</v>
      </c>
      <c r="D818" s="9" t="s">
        <v>921</v>
      </c>
      <c r="E818" s="9" t="s">
        <v>2081</v>
      </c>
      <c r="F818" s="9" t="s">
        <v>2192</v>
      </c>
      <c r="H818" s="9"/>
    </row>
    <row r="819" ht="14.25" customHeight="1">
      <c r="C819" s="9" t="s">
        <v>2187</v>
      </c>
      <c r="D819" s="9" t="s">
        <v>924</v>
      </c>
      <c r="E819" s="9" t="s">
        <v>2081</v>
      </c>
      <c r="F819" s="9" t="s">
        <v>2268</v>
      </c>
      <c r="H819" s="9"/>
    </row>
    <row r="820" ht="14.25" customHeight="1">
      <c r="C820" s="9" t="s">
        <v>2187</v>
      </c>
      <c r="D820" s="9" t="s">
        <v>924</v>
      </c>
      <c r="E820" s="9" t="s">
        <v>2081</v>
      </c>
      <c r="F820" s="9" t="s">
        <v>2270</v>
      </c>
      <c r="H820" s="9"/>
    </row>
    <row r="821" ht="14.25" customHeight="1">
      <c r="C821" s="9" t="s">
        <v>2187</v>
      </c>
      <c r="D821" s="9" t="s">
        <v>924</v>
      </c>
      <c r="E821" s="9" t="s">
        <v>2081</v>
      </c>
      <c r="F821" s="9" t="s">
        <v>2271</v>
      </c>
      <c r="H821" s="9"/>
    </row>
    <row r="822" ht="14.25" customHeight="1">
      <c r="C822" s="9" t="s">
        <v>2187</v>
      </c>
      <c r="D822" s="9" t="s">
        <v>928</v>
      </c>
      <c r="E822" s="9" t="s">
        <v>2081</v>
      </c>
      <c r="F822" s="9" t="s">
        <v>2203</v>
      </c>
      <c r="H822" s="9"/>
    </row>
    <row r="823" ht="14.25" customHeight="1">
      <c r="C823" s="9" t="s">
        <v>2187</v>
      </c>
      <c r="D823" s="9" t="s">
        <v>928</v>
      </c>
      <c r="E823" s="9" t="s">
        <v>2081</v>
      </c>
      <c r="F823" s="9" t="s">
        <v>2205</v>
      </c>
      <c r="H823" s="9"/>
    </row>
    <row r="824" ht="14.25" customHeight="1">
      <c r="C824" s="9" t="s">
        <v>2187</v>
      </c>
      <c r="D824" s="9" t="s">
        <v>928</v>
      </c>
      <c r="E824" s="9" t="s">
        <v>2081</v>
      </c>
      <c r="F824" s="9" t="s">
        <v>2206</v>
      </c>
      <c r="H824" s="9"/>
    </row>
    <row r="825" ht="14.25" customHeight="1">
      <c r="C825" s="9" t="s">
        <v>2187</v>
      </c>
      <c r="D825" s="9" t="s">
        <v>928</v>
      </c>
      <c r="E825" s="9" t="s">
        <v>2081</v>
      </c>
      <c r="F825" s="9" t="s">
        <v>2208</v>
      </c>
      <c r="H825" s="9"/>
    </row>
    <row r="826" ht="14.25" customHeight="1">
      <c r="C826" s="9" t="s">
        <v>2187</v>
      </c>
      <c r="D826" s="9" t="s">
        <v>928</v>
      </c>
      <c r="E826" s="9" t="s">
        <v>2081</v>
      </c>
      <c r="F826" s="9" t="s">
        <v>2209</v>
      </c>
      <c r="H826" s="9"/>
    </row>
    <row r="827" ht="14.25" customHeight="1">
      <c r="C827" s="9" t="s">
        <v>2187</v>
      </c>
      <c r="D827" s="9" t="s">
        <v>928</v>
      </c>
      <c r="E827" s="9" t="s">
        <v>2081</v>
      </c>
      <c r="F827" s="9" t="s">
        <v>2213</v>
      </c>
      <c r="H827" s="9"/>
    </row>
    <row r="828" ht="14.25" customHeight="1">
      <c r="C828" s="9" t="s">
        <v>2187</v>
      </c>
      <c r="D828" s="9" t="s">
        <v>928</v>
      </c>
      <c r="E828" s="9" t="s">
        <v>2081</v>
      </c>
      <c r="F828" s="9" t="s">
        <v>2214</v>
      </c>
      <c r="H828" s="9"/>
    </row>
    <row r="829" ht="14.25" customHeight="1">
      <c r="C829" s="9" t="s">
        <v>2187</v>
      </c>
      <c r="D829" s="9" t="s">
        <v>928</v>
      </c>
      <c r="E829" s="9" t="s">
        <v>2081</v>
      </c>
      <c r="F829" s="9" t="s">
        <v>2215</v>
      </c>
      <c r="H829" s="9"/>
    </row>
    <row r="830" ht="14.25" customHeight="1">
      <c r="C830" s="9" t="s">
        <v>2187</v>
      </c>
      <c r="D830" s="9" t="s">
        <v>928</v>
      </c>
      <c r="E830" s="9" t="s">
        <v>2081</v>
      </c>
      <c r="F830" s="9" t="s">
        <v>2217</v>
      </c>
      <c r="H830" s="9"/>
    </row>
    <row r="831" ht="14.25" customHeight="1">
      <c r="C831" s="9" t="s">
        <v>2187</v>
      </c>
      <c r="D831" s="9" t="s">
        <v>931</v>
      </c>
      <c r="E831" s="9" t="s">
        <v>2081</v>
      </c>
      <c r="F831" s="9" t="s">
        <v>2203</v>
      </c>
      <c r="H831" s="9"/>
    </row>
    <row r="832" ht="14.25" customHeight="1">
      <c r="C832" s="9" t="s">
        <v>2187</v>
      </c>
      <c r="D832" s="9" t="s">
        <v>931</v>
      </c>
      <c r="E832" s="9" t="s">
        <v>2081</v>
      </c>
      <c r="F832" s="9" t="s">
        <v>2205</v>
      </c>
      <c r="H832" s="9"/>
    </row>
    <row r="833" ht="14.25" customHeight="1">
      <c r="C833" s="9" t="s">
        <v>2187</v>
      </c>
      <c r="D833" s="9" t="s">
        <v>931</v>
      </c>
      <c r="E833" s="9" t="s">
        <v>2081</v>
      </c>
      <c r="F833" s="9" t="s">
        <v>2206</v>
      </c>
      <c r="H833" s="9"/>
    </row>
    <row r="834" ht="14.25" customHeight="1">
      <c r="C834" s="9" t="s">
        <v>2187</v>
      </c>
      <c r="D834" s="9" t="s">
        <v>931</v>
      </c>
      <c r="E834" s="9" t="s">
        <v>2081</v>
      </c>
      <c r="F834" s="9" t="s">
        <v>2208</v>
      </c>
      <c r="H834" s="9"/>
    </row>
    <row r="835" ht="14.25" customHeight="1">
      <c r="C835" s="9" t="s">
        <v>2187</v>
      </c>
      <c r="D835" s="9" t="s">
        <v>931</v>
      </c>
      <c r="E835" s="9" t="s">
        <v>2081</v>
      </c>
      <c r="F835" s="9" t="s">
        <v>2209</v>
      </c>
      <c r="H835" s="9"/>
    </row>
    <row r="836" ht="14.25" customHeight="1">
      <c r="C836" s="9" t="s">
        <v>2187</v>
      </c>
      <c r="D836" s="9" t="s">
        <v>931</v>
      </c>
      <c r="E836" s="9" t="s">
        <v>2081</v>
      </c>
      <c r="F836" s="9" t="s">
        <v>2213</v>
      </c>
      <c r="H836" s="9"/>
    </row>
    <row r="837" ht="14.25" customHeight="1">
      <c r="C837" s="9" t="s">
        <v>2187</v>
      </c>
      <c r="D837" s="9" t="s">
        <v>931</v>
      </c>
      <c r="E837" s="9" t="s">
        <v>2081</v>
      </c>
      <c r="F837" s="9" t="s">
        <v>2214</v>
      </c>
      <c r="H837" s="9"/>
    </row>
    <row r="838" ht="14.25" customHeight="1">
      <c r="C838" s="9" t="s">
        <v>2187</v>
      </c>
      <c r="D838" s="9" t="s">
        <v>931</v>
      </c>
      <c r="E838" s="9" t="s">
        <v>2081</v>
      </c>
      <c r="F838" s="9" t="s">
        <v>2215</v>
      </c>
      <c r="H838" s="9"/>
    </row>
    <row r="839" ht="14.25" customHeight="1">
      <c r="C839" s="9" t="s">
        <v>2187</v>
      </c>
      <c r="D839" s="9" t="s">
        <v>931</v>
      </c>
      <c r="E839" s="9" t="s">
        <v>2081</v>
      </c>
      <c r="F839" s="9" t="s">
        <v>2217</v>
      </c>
      <c r="H839" s="9"/>
    </row>
    <row r="840" ht="14.25" customHeight="1">
      <c r="C840" s="9" t="s">
        <v>2187</v>
      </c>
      <c r="D840" s="9" t="s">
        <v>933</v>
      </c>
      <c r="E840" s="9" t="s">
        <v>2081</v>
      </c>
      <c r="F840" s="9" t="s">
        <v>2273</v>
      </c>
      <c r="H840" s="9"/>
    </row>
    <row r="841" ht="14.25" customHeight="1">
      <c r="C841" s="9" t="s">
        <v>2187</v>
      </c>
      <c r="D841" s="9" t="s">
        <v>933</v>
      </c>
      <c r="E841" s="9" t="s">
        <v>2081</v>
      </c>
      <c r="F841" s="9" t="s">
        <v>2274</v>
      </c>
      <c r="H841" s="9"/>
    </row>
    <row r="842" ht="14.25" customHeight="1">
      <c r="C842" s="9" t="s">
        <v>2187</v>
      </c>
      <c r="D842" s="9" t="s">
        <v>933</v>
      </c>
      <c r="E842" s="9" t="s">
        <v>2081</v>
      </c>
      <c r="F842" s="9" t="s">
        <v>2275</v>
      </c>
      <c r="H842" s="9"/>
    </row>
    <row r="843" ht="14.25" customHeight="1">
      <c r="C843" s="9" t="s">
        <v>2187</v>
      </c>
      <c r="D843" s="9" t="s">
        <v>933</v>
      </c>
      <c r="E843" s="9" t="s">
        <v>2081</v>
      </c>
      <c r="F843" s="9" t="s">
        <v>2276</v>
      </c>
      <c r="H843" s="9"/>
    </row>
    <row r="844" ht="14.25" customHeight="1">
      <c r="C844" s="9" t="s">
        <v>2187</v>
      </c>
      <c r="D844" s="9" t="s">
        <v>933</v>
      </c>
      <c r="E844" s="9" t="s">
        <v>2081</v>
      </c>
      <c r="F844" s="9" t="s">
        <v>2278</v>
      </c>
      <c r="H844" s="9"/>
    </row>
    <row r="845" ht="14.25" customHeight="1">
      <c r="C845" s="9" t="s">
        <v>2187</v>
      </c>
      <c r="D845" s="9" t="s">
        <v>979</v>
      </c>
      <c r="E845" s="9" t="s">
        <v>2081</v>
      </c>
      <c r="F845" s="9" t="s">
        <v>2727</v>
      </c>
      <c r="H845" s="9"/>
    </row>
    <row r="846" ht="14.25" customHeight="1">
      <c r="C846" s="9" t="s">
        <v>2187</v>
      </c>
      <c r="D846" s="9" t="s">
        <v>979</v>
      </c>
      <c r="E846" s="9" t="s">
        <v>2081</v>
      </c>
      <c r="F846" s="9" t="s">
        <v>2330</v>
      </c>
      <c r="H846" s="9"/>
    </row>
    <row r="847" ht="14.25" customHeight="1">
      <c r="C847" s="9" t="s">
        <v>2187</v>
      </c>
      <c r="D847" s="9" t="s">
        <v>979</v>
      </c>
      <c r="E847" s="9" t="s">
        <v>2081</v>
      </c>
      <c r="F847" s="9" t="s">
        <v>2728</v>
      </c>
      <c r="H847" s="9"/>
    </row>
    <row r="848" ht="14.25" customHeight="1">
      <c r="C848" s="9" t="s">
        <v>2187</v>
      </c>
      <c r="D848" s="9" t="s">
        <v>979</v>
      </c>
      <c r="E848" s="9" t="s">
        <v>2081</v>
      </c>
      <c r="F848" s="9" t="s">
        <v>2729</v>
      </c>
      <c r="H848" s="9"/>
    </row>
    <row r="849" ht="14.25" customHeight="1">
      <c r="C849" s="9" t="s">
        <v>2187</v>
      </c>
      <c r="D849" s="9" t="s">
        <v>979</v>
      </c>
      <c r="E849" s="9" t="s">
        <v>2081</v>
      </c>
      <c r="F849" s="9" t="s">
        <v>2318</v>
      </c>
      <c r="H849" s="9"/>
    </row>
    <row r="850" ht="14.25" customHeight="1">
      <c r="C850" s="9" t="s">
        <v>2187</v>
      </c>
      <c r="D850" s="9" t="s">
        <v>979</v>
      </c>
      <c r="E850" s="9" t="s">
        <v>2081</v>
      </c>
      <c r="F850" s="9" t="s">
        <v>2337</v>
      </c>
      <c r="H850" s="9"/>
    </row>
    <row r="851" ht="14.25" customHeight="1">
      <c r="C851" s="9" t="s">
        <v>2187</v>
      </c>
      <c r="D851" s="9" t="s">
        <v>979</v>
      </c>
      <c r="E851" s="9" t="s">
        <v>2081</v>
      </c>
      <c r="F851" s="9" t="s">
        <v>2730</v>
      </c>
      <c r="H851" s="9"/>
    </row>
    <row r="852" ht="14.25" customHeight="1">
      <c r="C852" s="9" t="s">
        <v>2187</v>
      </c>
      <c r="D852" s="9" t="s">
        <v>979</v>
      </c>
      <c r="E852" s="9" t="s">
        <v>2081</v>
      </c>
      <c r="F852" s="9" t="s">
        <v>2731</v>
      </c>
      <c r="H852" s="9"/>
    </row>
    <row r="853" ht="14.25" customHeight="1">
      <c r="C853" s="9" t="s">
        <v>2187</v>
      </c>
      <c r="D853" s="9" t="s">
        <v>979</v>
      </c>
      <c r="E853" s="9" t="s">
        <v>2081</v>
      </c>
      <c r="F853" s="9" t="s">
        <v>2732</v>
      </c>
      <c r="H853" s="9"/>
    </row>
    <row r="854" ht="14.25" customHeight="1">
      <c r="C854" s="9" t="s">
        <v>2187</v>
      </c>
      <c r="D854" s="9" t="s">
        <v>979</v>
      </c>
      <c r="E854" s="9" t="s">
        <v>2081</v>
      </c>
      <c r="F854" s="9" t="s">
        <v>2733</v>
      </c>
      <c r="H854" s="9"/>
    </row>
    <row r="855" ht="14.25" customHeight="1">
      <c r="C855" s="9" t="s">
        <v>2187</v>
      </c>
      <c r="D855" s="9" t="s">
        <v>979</v>
      </c>
      <c r="E855" s="9" t="s">
        <v>2081</v>
      </c>
      <c r="F855" s="9" t="s">
        <v>2734</v>
      </c>
      <c r="H855" s="9"/>
    </row>
    <row r="856" ht="14.25" customHeight="1">
      <c r="C856" s="9" t="s">
        <v>2187</v>
      </c>
      <c r="D856" s="9" t="s">
        <v>979</v>
      </c>
      <c r="E856" s="9" t="s">
        <v>2081</v>
      </c>
      <c r="F856" s="9" t="s">
        <v>2735</v>
      </c>
      <c r="H856" s="9"/>
    </row>
    <row r="857" ht="14.25" customHeight="1">
      <c r="C857" s="9" t="s">
        <v>2187</v>
      </c>
      <c r="D857" s="9" t="s">
        <v>979</v>
      </c>
      <c r="E857" s="9" t="s">
        <v>2081</v>
      </c>
      <c r="F857" s="9" t="s">
        <v>2736</v>
      </c>
      <c r="H857" s="9"/>
    </row>
    <row r="858" ht="14.25" customHeight="1">
      <c r="C858" s="9" t="s">
        <v>2187</v>
      </c>
      <c r="D858" s="9" t="s">
        <v>979</v>
      </c>
      <c r="E858" s="9" t="s">
        <v>2081</v>
      </c>
      <c r="F858" s="9" t="s">
        <v>2316</v>
      </c>
      <c r="H858" s="9"/>
    </row>
    <row r="859" ht="14.25" customHeight="1">
      <c r="C859" s="9" t="s">
        <v>2187</v>
      </c>
      <c r="D859" s="9" t="s">
        <v>979</v>
      </c>
      <c r="E859" s="9" t="s">
        <v>2081</v>
      </c>
      <c r="F859" s="9" t="s">
        <v>2737</v>
      </c>
      <c r="H859" s="9"/>
    </row>
    <row r="860" ht="14.25" customHeight="1">
      <c r="C860" s="9" t="s">
        <v>2187</v>
      </c>
      <c r="D860" s="9" t="s">
        <v>979</v>
      </c>
      <c r="E860" s="9" t="s">
        <v>2081</v>
      </c>
      <c r="F860" s="9" t="s">
        <v>2329</v>
      </c>
      <c r="H860" s="9"/>
    </row>
    <row r="861" ht="14.25" customHeight="1">
      <c r="C861" s="9" t="s">
        <v>2187</v>
      </c>
      <c r="D861" s="9" t="s">
        <v>979</v>
      </c>
      <c r="E861" s="9" t="s">
        <v>2081</v>
      </c>
      <c r="F861" s="9" t="s">
        <v>2738</v>
      </c>
      <c r="H861" s="9"/>
    </row>
    <row r="862" ht="14.25" customHeight="1">
      <c r="C862" s="9" t="s">
        <v>2187</v>
      </c>
      <c r="D862" s="9" t="s">
        <v>979</v>
      </c>
      <c r="E862" s="9" t="s">
        <v>2081</v>
      </c>
      <c r="F862" s="9" t="s">
        <v>2739</v>
      </c>
      <c r="H862" s="9"/>
    </row>
    <row r="863" ht="14.25" customHeight="1">
      <c r="C863" s="9" t="s">
        <v>2187</v>
      </c>
      <c r="D863" s="9" t="s">
        <v>979</v>
      </c>
      <c r="E863" s="9" t="s">
        <v>2081</v>
      </c>
      <c r="F863" s="9" t="s">
        <v>2740</v>
      </c>
      <c r="H863" s="9"/>
    </row>
    <row r="864" ht="14.25" customHeight="1">
      <c r="C864" s="9" t="s">
        <v>2187</v>
      </c>
      <c r="D864" s="9" t="s">
        <v>979</v>
      </c>
      <c r="E864" s="9" t="s">
        <v>2081</v>
      </c>
      <c r="F864" s="9" t="s">
        <v>2343</v>
      </c>
      <c r="H864" s="9"/>
    </row>
    <row r="865" ht="14.25" customHeight="1">
      <c r="C865" s="9" t="s">
        <v>2187</v>
      </c>
      <c r="D865" s="9" t="s">
        <v>979</v>
      </c>
      <c r="E865" s="9" t="s">
        <v>2081</v>
      </c>
      <c r="F865" s="9" t="s">
        <v>2341</v>
      </c>
      <c r="H865" s="9"/>
    </row>
    <row r="866" ht="14.25" customHeight="1">
      <c r="C866" s="9" t="s">
        <v>2187</v>
      </c>
      <c r="D866" s="9" t="s">
        <v>979</v>
      </c>
      <c r="E866" s="9" t="s">
        <v>2081</v>
      </c>
      <c r="F866" s="9" t="s">
        <v>2346</v>
      </c>
      <c r="H866" s="9"/>
    </row>
    <row r="867" ht="14.25" customHeight="1">
      <c r="C867" s="9" t="s">
        <v>2187</v>
      </c>
      <c r="D867" s="9" t="s">
        <v>979</v>
      </c>
      <c r="E867" s="9" t="s">
        <v>2081</v>
      </c>
      <c r="F867" s="9" t="s">
        <v>2741</v>
      </c>
      <c r="H867" s="9"/>
    </row>
    <row r="868" ht="14.25" customHeight="1">
      <c r="C868" s="9" t="s">
        <v>2187</v>
      </c>
      <c r="D868" s="9" t="s">
        <v>979</v>
      </c>
      <c r="E868" s="9" t="s">
        <v>2081</v>
      </c>
      <c r="F868" s="9" t="s">
        <v>2742</v>
      </c>
      <c r="H868" s="9"/>
    </row>
    <row r="869" ht="14.25" customHeight="1">
      <c r="C869" s="9" t="s">
        <v>2187</v>
      </c>
      <c r="D869" s="9" t="s">
        <v>1007</v>
      </c>
      <c r="E869" s="9" t="s">
        <v>2081</v>
      </c>
      <c r="F869" s="9" t="s">
        <v>2407</v>
      </c>
      <c r="H869" s="9"/>
    </row>
    <row r="870" ht="14.25" customHeight="1">
      <c r="C870" s="9" t="s">
        <v>2187</v>
      </c>
      <c r="D870" s="9" t="s">
        <v>1007</v>
      </c>
      <c r="E870" s="9" t="s">
        <v>2081</v>
      </c>
      <c r="F870" s="9" t="s">
        <v>2743</v>
      </c>
      <c r="H870" s="9"/>
    </row>
    <row r="871" ht="14.25" customHeight="1">
      <c r="C871" s="9" t="s">
        <v>2187</v>
      </c>
      <c r="D871" s="9" t="s">
        <v>1007</v>
      </c>
      <c r="E871" s="9" t="s">
        <v>2081</v>
      </c>
      <c r="F871" s="9" t="s">
        <v>2744</v>
      </c>
      <c r="H871" s="9"/>
    </row>
    <row r="872" ht="14.25" customHeight="1">
      <c r="C872" s="9" t="s">
        <v>2187</v>
      </c>
      <c r="D872" s="9" t="s">
        <v>1007</v>
      </c>
      <c r="E872" s="9" t="s">
        <v>2081</v>
      </c>
      <c r="F872" s="9" t="s">
        <v>2441</v>
      </c>
      <c r="H872" s="9"/>
    </row>
    <row r="873" ht="14.25" customHeight="1">
      <c r="C873" s="9" t="s">
        <v>2187</v>
      </c>
      <c r="D873" s="9" t="s">
        <v>1007</v>
      </c>
      <c r="E873" s="9" t="s">
        <v>2081</v>
      </c>
      <c r="F873" s="9" t="s">
        <v>2430</v>
      </c>
      <c r="H873" s="9"/>
    </row>
    <row r="874" ht="14.25" customHeight="1">
      <c r="C874" s="9" t="s">
        <v>2187</v>
      </c>
      <c r="D874" s="9" t="s">
        <v>1007</v>
      </c>
      <c r="E874" s="9" t="s">
        <v>2081</v>
      </c>
      <c r="F874" s="9" t="s">
        <v>2413</v>
      </c>
      <c r="H874" s="9"/>
    </row>
    <row r="875" ht="14.25" customHeight="1">
      <c r="C875" s="9" t="s">
        <v>2187</v>
      </c>
      <c r="D875" s="9" t="s">
        <v>1007</v>
      </c>
      <c r="E875" s="9" t="s">
        <v>2081</v>
      </c>
      <c r="F875" s="9" t="s">
        <v>2406</v>
      </c>
      <c r="H875" s="9"/>
    </row>
    <row r="876" ht="14.25" customHeight="1">
      <c r="C876" s="9" t="s">
        <v>2187</v>
      </c>
      <c r="D876" s="9" t="s">
        <v>1007</v>
      </c>
      <c r="E876" s="9" t="s">
        <v>2081</v>
      </c>
      <c r="F876" s="9" t="s">
        <v>2418</v>
      </c>
      <c r="H876" s="9"/>
    </row>
    <row r="877" ht="14.25" customHeight="1">
      <c r="C877" s="9" t="s">
        <v>2187</v>
      </c>
      <c r="D877" s="9" t="s">
        <v>1007</v>
      </c>
      <c r="E877" s="9" t="s">
        <v>2081</v>
      </c>
      <c r="F877" s="9" t="s">
        <v>2425</v>
      </c>
      <c r="H877" s="9"/>
    </row>
    <row r="878" ht="14.25" customHeight="1">
      <c r="C878" s="9" t="s">
        <v>2187</v>
      </c>
      <c r="D878" s="9" t="s">
        <v>1007</v>
      </c>
      <c r="E878" s="9" t="s">
        <v>2081</v>
      </c>
      <c r="F878" s="9" t="s">
        <v>2385</v>
      </c>
      <c r="H878" s="9"/>
    </row>
    <row r="879" ht="14.25" customHeight="1">
      <c r="C879" s="9" t="s">
        <v>2187</v>
      </c>
      <c r="D879" s="9" t="s">
        <v>1007</v>
      </c>
      <c r="E879" s="9" t="s">
        <v>2081</v>
      </c>
      <c r="F879" s="9" t="s">
        <v>2745</v>
      </c>
      <c r="H879" s="9"/>
    </row>
    <row r="880" ht="14.25" customHeight="1">
      <c r="C880" s="9" t="s">
        <v>2187</v>
      </c>
      <c r="D880" s="9" t="s">
        <v>1007</v>
      </c>
      <c r="E880" s="9" t="s">
        <v>2081</v>
      </c>
      <c r="F880" s="9" t="s">
        <v>2409</v>
      </c>
      <c r="H880" s="9"/>
    </row>
    <row r="881" ht="14.25" customHeight="1">
      <c r="C881" s="9" t="s">
        <v>2187</v>
      </c>
      <c r="D881" s="9" t="s">
        <v>1007</v>
      </c>
      <c r="E881" s="9" t="s">
        <v>2081</v>
      </c>
      <c r="F881" s="9" t="s">
        <v>2422</v>
      </c>
      <c r="H881" s="9"/>
    </row>
    <row r="882" ht="14.25" customHeight="1">
      <c r="C882" s="9" t="s">
        <v>2187</v>
      </c>
      <c r="D882" s="9" t="s">
        <v>2354</v>
      </c>
      <c r="E882" s="9" t="s">
        <v>2081</v>
      </c>
      <c r="F882" s="9" t="s">
        <v>2355</v>
      </c>
      <c r="H882" s="9"/>
    </row>
    <row r="883" ht="14.25" customHeight="1">
      <c r="C883" s="9" t="s">
        <v>2187</v>
      </c>
      <c r="D883" s="9" t="s">
        <v>2354</v>
      </c>
      <c r="E883" s="9" t="s">
        <v>2081</v>
      </c>
      <c r="F883" s="9" t="s">
        <v>2361</v>
      </c>
      <c r="H883" s="9"/>
    </row>
    <row r="884" ht="14.25" customHeight="1">
      <c r="C884" s="9" t="s">
        <v>2187</v>
      </c>
      <c r="D884" s="9" t="s">
        <v>2354</v>
      </c>
      <c r="E884" s="9" t="s">
        <v>2081</v>
      </c>
      <c r="F884" s="9" t="s">
        <v>2357</v>
      </c>
      <c r="H884" s="9"/>
    </row>
    <row r="885" ht="14.25" customHeight="1">
      <c r="C885" s="9" t="s">
        <v>2187</v>
      </c>
      <c r="D885" s="9" t="s">
        <v>2354</v>
      </c>
      <c r="E885" s="9" t="s">
        <v>2081</v>
      </c>
      <c r="F885" s="9" t="s">
        <v>2746</v>
      </c>
      <c r="H885" s="9"/>
    </row>
    <row r="886" ht="14.25" customHeight="1">
      <c r="C886" s="9" t="s">
        <v>2187</v>
      </c>
      <c r="D886" s="9" t="s">
        <v>2354</v>
      </c>
      <c r="E886" s="9" t="s">
        <v>2081</v>
      </c>
      <c r="F886" s="9" t="s">
        <v>2370</v>
      </c>
      <c r="H886" s="9"/>
    </row>
    <row r="887" ht="14.25" customHeight="1">
      <c r="C887" s="9" t="s">
        <v>2187</v>
      </c>
      <c r="D887" s="9" t="s">
        <v>2354</v>
      </c>
      <c r="E887" s="9" t="s">
        <v>2081</v>
      </c>
      <c r="F887" s="9" t="s">
        <v>2364</v>
      </c>
      <c r="H887" s="9"/>
    </row>
    <row r="888" ht="14.25" customHeight="1">
      <c r="C888" s="9" t="s">
        <v>2187</v>
      </c>
      <c r="D888" s="9" t="s">
        <v>2354</v>
      </c>
      <c r="E888" s="9" t="s">
        <v>2081</v>
      </c>
      <c r="F888" s="9" t="s">
        <v>2747</v>
      </c>
      <c r="H888" s="9"/>
    </row>
    <row r="889" ht="14.25" customHeight="1">
      <c r="C889" s="9" t="s">
        <v>2187</v>
      </c>
      <c r="D889" s="9" t="s">
        <v>2354</v>
      </c>
      <c r="E889" s="9" t="s">
        <v>2081</v>
      </c>
      <c r="F889" s="9" t="s">
        <v>2369</v>
      </c>
      <c r="H889" s="9"/>
    </row>
    <row r="890" ht="14.25" customHeight="1">
      <c r="C890" s="9" t="s">
        <v>2187</v>
      </c>
      <c r="D890" s="9" t="s">
        <v>1056</v>
      </c>
      <c r="E890" s="9" t="s">
        <v>2081</v>
      </c>
      <c r="F890" s="9" t="s">
        <v>2459</v>
      </c>
      <c r="H890" s="9"/>
    </row>
    <row r="891" ht="14.25" customHeight="1">
      <c r="C891" s="9" t="s">
        <v>2187</v>
      </c>
      <c r="D891" s="9" t="s">
        <v>1056</v>
      </c>
      <c r="E891" s="9" t="s">
        <v>2081</v>
      </c>
      <c r="F891" s="9" t="s">
        <v>2748</v>
      </c>
      <c r="H891" s="9"/>
    </row>
    <row r="892" ht="14.25" customHeight="1">
      <c r="C892" s="9" t="s">
        <v>2187</v>
      </c>
      <c r="D892" s="9" t="s">
        <v>1056</v>
      </c>
      <c r="E892" s="9" t="s">
        <v>2081</v>
      </c>
      <c r="F892" s="9" t="s">
        <v>2476</v>
      </c>
      <c r="H892" s="9"/>
    </row>
    <row r="893" ht="14.25" customHeight="1">
      <c r="C893" s="9" t="s">
        <v>2187</v>
      </c>
      <c r="D893" s="9" t="s">
        <v>1056</v>
      </c>
      <c r="E893" s="9" t="s">
        <v>2081</v>
      </c>
      <c r="F893" s="9" t="s">
        <v>2441</v>
      </c>
      <c r="H893" s="9"/>
    </row>
    <row r="894" ht="14.25" customHeight="1">
      <c r="C894" s="9" t="s">
        <v>2187</v>
      </c>
      <c r="D894" s="9" t="s">
        <v>1056</v>
      </c>
      <c r="E894" s="9" t="s">
        <v>2081</v>
      </c>
      <c r="F894" s="9" t="s">
        <v>2456</v>
      </c>
      <c r="H894" s="9"/>
    </row>
    <row r="895" ht="14.25" customHeight="1">
      <c r="C895" s="9" t="s">
        <v>2187</v>
      </c>
      <c r="D895" s="9" t="s">
        <v>1056</v>
      </c>
      <c r="E895" s="9" t="s">
        <v>2081</v>
      </c>
      <c r="F895" s="9" t="s">
        <v>2448</v>
      </c>
      <c r="H895" s="9"/>
    </row>
    <row r="896" ht="14.25" customHeight="1">
      <c r="C896" s="9" t="s">
        <v>2187</v>
      </c>
      <c r="D896" s="9" t="s">
        <v>1056</v>
      </c>
      <c r="E896" s="9" t="s">
        <v>2081</v>
      </c>
      <c r="F896" s="9" t="s">
        <v>2467</v>
      </c>
      <c r="H896" s="9"/>
    </row>
    <row r="897" ht="14.25" customHeight="1">
      <c r="C897" s="9" t="s">
        <v>2187</v>
      </c>
      <c r="D897" s="9" t="s">
        <v>1056</v>
      </c>
      <c r="E897" s="9" t="s">
        <v>2081</v>
      </c>
      <c r="F897" s="9" t="s">
        <v>2463</v>
      </c>
      <c r="H897" s="9"/>
    </row>
    <row r="898" ht="14.25" customHeight="1">
      <c r="C898" s="9" t="s">
        <v>2187</v>
      </c>
      <c r="D898" s="9" t="s">
        <v>1056</v>
      </c>
      <c r="E898" s="9" t="s">
        <v>2081</v>
      </c>
      <c r="F898" s="9" t="s">
        <v>2445</v>
      </c>
      <c r="H898" s="9"/>
    </row>
    <row r="899" ht="14.25" customHeight="1">
      <c r="C899" s="9" t="s">
        <v>2187</v>
      </c>
      <c r="D899" s="9" t="s">
        <v>1056</v>
      </c>
      <c r="E899" s="9" t="s">
        <v>2081</v>
      </c>
      <c r="F899" s="9" t="s">
        <v>2452</v>
      </c>
      <c r="H899" s="9"/>
    </row>
    <row r="900" ht="14.25" customHeight="1">
      <c r="C900" s="9" t="s">
        <v>2187</v>
      </c>
      <c r="D900" s="9" t="s">
        <v>1098</v>
      </c>
      <c r="E900" s="9" t="s">
        <v>2081</v>
      </c>
      <c r="F900" s="9" t="s">
        <v>2277</v>
      </c>
      <c r="H900" s="9"/>
    </row>
    <row r="901" ht="14.25" customHeight="1">
      <c r="C901" s="9" t="s">
        <v>2187</v>
      </c>
      <c r="D901" s="9" t="s">
        <v>1098</v>
      </c>
      <c r="E901" s="9" t="s">
        <v>2081</v>
      </c>
      <c r="F901" s="9" t="s">
        <v>2749</v>
      </c>
      <c r="H901" s="9"/>
    </row>
    <row r="902" ht="14.25" customHeight="1">
      <c r="C902" s="9" t="s">
        <v>2187</v>
      </c>
      <c r="D902" s="9" t="s">
        <v>1098</v>
      </c>
      <c r="E902" s="9" t="s">
        <v>2081</v>
      </c>
      <c r="F902" s="9" t="s">
        <v>2280</v>
      </c>
      <c r="H902" s="9"/>
    </row>
    <row r="903" ht="14.25" customHeight="1">
      <c r="C903" s="9" t="s">
        <v>2187</v>
      </c>
      <c r="D903" s="9" t="s">
        <v>1098</v>
      </c>
      <c r="E903" s="9" t="s">
        <v>2081</v>
      </c>
      <c r="F903" s="9" t="s">
        <v>2272</v>
      </c>
      <c r="H903" s="9"/>
    </row>
    <row r="904" ht="14.25" customHeight="1">
      <c r="C904" s="9" t="s">
        <v>2187</v>
      </c>
      <c r="D904" s="9" t="s">
        <v>1098</v>
      </c>
      <c r="E904" s="9" t="s">
        <v>2081</v>
      </c>
      <c r="F904" s="9" t="s">
        <v>2750</v>
      </c>
      <c r="H904" s="9"/>
    </row>
    <row r="905" ht="14.25" customHeight="1">
      <c r="C905" s="9" t="s">
        <v>2187</v>
      </c>
      <c r="D905" s="9" t="s">
        <v>1098</v>
      </c>
      <c r="E905" s="9" t="s">
        <v>2081</v>
      </c>
      <c r="F905" s="9" t="s">
        <v>2751</v>
      </c>
      <c r="H905" s="9"/>
    </row>
    <row r="906" ht="14.25" customHeight="1">
      <c r="C906" s="9" t="s">
        <v>2187</v>
      </c>
      <c r="D906" s="9" t="s">
        <v>1098</v>
      </c>
      <c r="E906" s="9" t="s">
        <v>2081</v>
      </c>
      <c r="F906" s="9" t="s">
        <v>2269</v>
      </c>
      <c r="H906" s="9"/>
    </row>
    <row r="907" ht="14.25" customHeight="1">
      <c r="C907" s="9" t="s">
        <v>2187</v>
      </c>
      <c r="D907" s="9" t="s">
        <v>1098</v>
      </c>
      <c r="E907" s="9" t="s">
        <v>2081</v>
      </c>
      <c r="F907" s="9" t="s">
        <v>2266</v>
      </c>
      <c r="H907" s="9"/>
    </row>
    <row r="908" ht="14.25" customHeight="1">
      <c r="C908" s="9" t="s">
        <v>2187</v>
      </c>
      <c r="D908" s="9" t="s">
        <v>1098</v>
      </c>
      <c r="E908" s="9" t="s">
        <v>2081</v>
      </c>
      <c r="F908" s="9" t="s">
        <v>2752</v>
      </c>
      <c r="H908" s="9"/>
    </row>
    <row r="909" ht="14.25" customHeight="1">
      <c r="C909" s="9" t="s">
        <v>2187</v>
      </c>
      <c r="D909" s="9" t="s">
        <v>1098</v>
      </c>
      <c r="E909" s="9" t="s">
        <v>2081</v>
      </c>
      <c r="F909" s="9" t="s">
        <v>2263</v>
      </c>
      <c r="H909" s="9"/>
    </row>
    <row r="910" ht="14.25" customHeight="1">
      <c r="C910" s="9" t="s">
        <v>2187</v>
      </c>
      <c r="D910" s="9" t="s">
        <v>1100</v>
      </c>
      <c r="E910" s="9" t="s">
        <v>2081</v>
      </c>
      <c r="F910" s="9" t="s">
        <v>2297</v>
      </c>
      <c r="H910" s="9"/>
    </row>
    <row r="911" ht="14.25" customHeight="1">
      <c r="C911" s="9" t="s">
        <v>2187</v>
      </c>
      <c r="D911" s="9" t="s">
        <v>1100</v>
      </c>
      <c r="E911" s="9" t="s">
        <v>2081</v>
      </c>
      <c r="F911" s="9" t="s">
        <v>2293</v>
      </c>
      <c r="H911" s="9"/>
    </row>
    <row r="912" ht="14.25" customHeight="1">
      <c r="C912" s="9" t="s">
        <v>2187</v>
      </c>
      <c r="D912" s="9" t="s">
        <v>1100</v>
      </c>
      <c r="E912" s="9" t="s">
        <v>2081</v>
      </c>
      <c r="F912" s="9" t="s">
        <v>2295</v>
      </c>
      <c r="H912" s="9"/>
    </row>
    <row r="913" ht="14.25" customHeight="1">
      <c r="C913" s="9" t="s">
        <v>2187</v>
      </c>
      <c r="D913" s="9" t="s">
        <v>1100</v>
      </c>
      <c r="E913" s="9" t="s">
        <v>2081</v>
      </c>
      <c r="F913" s="9" t="s">
        <v>2291</v>
      </c>
      <c r="H913" s="9"/>
    </row>
    <row r="914" ht="14.25" customHeight="1">
      <c r="C914" s="9" t="s">
        <v>2187</v>
      </c>
      <c r="D914" s="9" t="s">
        <v>1100</v>
      </c>
      <c r="E914" s="9" t="s">
        <v>2081</v>
      </c>
      <c r="F914" s="9" t="s">
        <v>2290</v>
      </c>
      <c r="H914" s="9"/>
    </row>
    <row r="915" ht="14.25" customHeight="1">
      <c r="C915" s="9" t="s">
        <v>2187</v>
      </c>
      <c r="D915" s="9" t="s">
        <v>1100</v>
      </c>
      <c r="E915" s="9" t="s">
        <v>2081</v>
      </c>
      <c r="F915" s="9" t="s">
        <v>2753</v>
      </c>
      <c r="H915" s="9"/>
    </row>
    <row r="916" ht="14.25" customHeight="1">
      <c r="C916" s="9" t="s">
        <v>2187</v>
      </c>
      <c r="D916" s="9" t="s">
        <v>1100</v>
      </c>
      <c r="E916" s="9" t="s">
        <v>2081</v>
      </c>
      <c r="F916" s="9" t="s">
        <v>2298</v>
      </c>
      <c r="H916" s="9"/>
    </row>
    <row r="917" ht="14.25" customHeight="1">
      <c r="C917" s="9" t="s">
        <v>2187</v>
      </c>
      <c r="D917" s="9" t="s">
        <v>1100</v>
      </c>
      <c r="E917" s="9" t="s">
        <v>2081</v>
      </c>
      <c r="F917" s="9" t="s">
        <v>2287</v>
      </c>
      <c r="H917" s="9"/>
    </row>
    <row r="918" ht="14.25" customHeight="1">
      <c r="C918" s="9" t="s">
        <v>2187</v>
      </c>
      <c r="D918" s="9" t="s">
        <v>1100</v>
      </c>
      <c r="E918" s="9" t="s">
        <v>2081</v>
      </c>
      <c r="F918" s="9" t="s">
        <v>2288</v>
      </c>
      <c r="H918" s="9"/>
    </row>
    <row r="919" ht="14.25" customHeight="1">
      <c r="C919" s="9" t="s">
        <v>2187</v>
      </c>
      <c r="D919" s="9" t="s">
        <v>2371</v>
      </c>
      <c r="E919" s="9" t="s">
        <v>2081</v>
      </c>
      <c r="F919" s="9" t="s">
        <v>2380</v>
      </c>
      <c r="H919" s="9"/>
    </row>
    <row r="920" ht="14.25" customHeight="1">
      <c r="C920" s="9" t="s">
        <v>2187</v>
      </c>
      <c r="D920" s="9" t="s">
        <v>2371</v>
      </c>
      <c r="E920" s="9" t="s">
        <v>2081</v>
      </c>
      <c r="F920" s="9" t="s">
        <v>2374</v>
      </c>
      <c r="H920" s="9"/>
    </row>
    <row r="921" ht="14.25" customHeight="1">
      <c r="C921" s="9" t="s">
        <v>2187</v>
      </c>
      <c r="D921" s="9" t="s">
        <v>2371</v>
      </c>
      <c r="E921" s="9" t="s">
        <v>2081</v>
      </c>
      <c r="F921" s="9" t="s">
        <v>2384</v>
      </c>
      <c r="H921" s="9"/>
    </row>
    <row r="922" ht="14.25" customHeight="1">
      <c r="C922" s="9" t="s">
        <v>2187</v>
      </c>
      <c r="D922" s="9" t="s">
        <v>2371</v>
      </c>
      <c r="E922" s="9" t="s">
        <v>2081</v>
      </c>
      <c r="F922" s="9" t="s">
        <v>2372</v>
      </c>
      <c r="H922" s="9"/>
    </row>
    <row r="923" ht="14.25" customHeight="1">
      <c r="C923" s="9" t="s">
        <v>2187</v>
      </c>
      <c r="D923" s="9" t="s">
        <v>2371</v>
      </c>
      <c r="E923" s="9" t="s">
        <v>2081</v>
      </c>
      <c r="F923" s="9" t="s">
        <v>2379</v>
      </c>
      <c r="H923" s="9"/>
    </row>
    <row r="924" ht="14.25" customHeight="1">
      <c r="C924" s="9" t="s">
        <v>2187</v>
      </c>
      <c r="D924" s="9" t="s">
        <v>2371</v>
      </c>
      <c r="E924" s="9" t="s">
        <v>2081</v>
      </c>
      <c r="F924" s="9" t="s">
        <v>2373</v>
      </c>
      <c r="H924" s="9"/>
    </row>
    <row r="925" ht="14.25" customHeight="1">
      <c r="C925" s="9" t="s">
        <v>2187</v>
      </c>
      <c r="D925" s="9" t="s">
        <v>2371</v>
      </c>
      <c r="E925" s="9" t="s">
        <v>2081</v>
      </c>
      <c r="F925" s="9" t="s">
        <v>2375</v>
      </c>
      <c r="H925" s="9"/>
    </row>
    <row r="926" ht="14.25" customHeight="1">
      <c r="C926" s="9" t="s">
        <v>2187</v>
      </c>
      <c r="D926" s="9" t="s">
        <v>2371</v>
      </c>
      <c r="E926" s="9" t="s">
        <v>2081</v>
      </c>
      <c r="F926" s="9" t="s">
        <v>2377</v>
      </c>
      <c r="H926" s="9"/>
    </row>
    <row r="927" ht="14.25" customHeight="1">
      <c r="C927" s="9" t="s">
        <v>2187</v>
      </c>
      <c r="D927" s="9" t="s">
        <v>2371</v>
      </c>
      <c r="E927" s="9" t="s">
        <v>2081</v>
      </c>
      <c r="F927" s="9" t="s">
        <v>2381</v>
      </c>
      <c r="H927" s="9"/>
    </row>
    <row r="928" ht="14.25" customHeight="1">
      <c r="C928" s="9" t="s">
        <v>2187</v>
      </c>
      <c r="D928" s="9" t="s">
        <v>2371</v>
      </c>
      <c r="E928" s="9" t="s">
        <v>2081</v>
      </c>
      <c r="F928" s="9" t="s">
        <v>2376</v>
      </c>
      <c r="H928" s="9"/>
    </row>
    <row r="929" ht="14.25" customHeight="1">
      <c r="C929" s="9" t="s">
        <v>2187</v>
      </c>
      <c r="D929" s="9" t="s">
        <v>2371</v>
      </c>
      <c r="E929" s="9" t="s">
        <v>2081</v>
      </c>
      <c r="F929" s="9" t="s">
        <v>2382</v>
      </c>
      <c r="H929" s="9"/>
    </row>
    <row r="930" ht="14.25" customHeight="1">
      <c r="C930" s="9" t="s">
        <v>2187</v>
      </c>
      <c r="D930" s="9" t="s">
        <v>2371</v>
      </c>
      <c r="E930" s="9" t="s">
        <v>2081</v>
      </c>
      <c r="F930" s="9" t="s">
        <v>2378</v>
      </c>
      <c r="H930" s="9"/>
    </row>
    <row r="931" ht="14.25" customHeight="1">
      <c r="C931" s="9" t="s">
        <v>2187</v>
      </c>
      <c r="D931" s="9" t="s">
        <v>2371</v>
      </c>
      <c r="E931" s="9" t="s">
        <v>2081</v>
      </c>
      <c r="F931" s="9" t="s">
        <v>2754</v>
      </c>
      <c r="H931" s="9"/>
    </row>
    <row r="932" ht="14.25" customHeight="1">
      <c r="C932" s="9" t="s">
        <v>2187</v>
      </c>
      <c r="D932" s="9" t="s">
        <v>2371</v>
      </c>
      <c r="E932" s="9" t="s">
        <v>2081</v>
      </c>
      <c r="F932" s="9" t="s">
        <v>2383</v>
      </c>
      <c r="H932" s="9"/>
    </row>
    <row r="933" ht="14.25" customHeight="1">
      <c r="C933" s="9" t="s">
        <v>2187</v>
      </c>
      <c r="D933" s="9" t="s">
        <v>2299</v>
      </c>
      <c r="E933" s="9" t="s">
        <v>2081</v>
      </c>
      <c r="F933" s="9" t="s">
        <v>2306</v>
      </c>
      <c r="H933" s="9"/>
    </row>
    <row r="934" ht="14.25" customHeight="1">
      <c r="C934" s="9" t="s">
        <v>2187</v>
      </c>
      <c r="D934" s="9" t="s">
        <v>2299</v>
      </c>
      <c r="E934" s="9" t="s">
        <v>2081</v>
      </c>
      <c r="F934" s="9" t="s">
        <v>2307</v>
      </c>
      <c r="H934" s="9"/>
    </row>
    <row r="935" ht="14.25" customHeight="1">
      <c r="C935" s="9" t="s">
        <v>2187</v>
      </c>
      <c r="D935" s="9" t="s">
        <v>2299</v>
      </c>
      <c r="E935" s="9" t="s">
        <v>2081</v>
      </c>
      <c r="F935" s="9" t="s">
        <v>2755</v>
      </c>
      <c r="H935" s="9"/>
    </row>
    <row r="936" ht="14.25" customHeight="1">
      <c r="C936" s="9" t="s">
        <v>2187</v>
      </c>
      <c r="D936" s="9" t="s">
        <v>2299</v>
      </c>
      <c r="E936" s="9" t="s">
        <v>2081</v>
      </c>
      <c r="F936" s="9" t="s">
        <v>2305</v>
      </c>
      <c r="H936" s="9"/>
    </row>
    <row r="937" ht="14.25" customHeight="1">
      <c r="C937" s="9" t="s">
        <v>2187</v>
      </c>
      <c r="D937" s="9" t="s">
        <v>2299</v>
      </c>
      <c r="E937" s="9" t="s">
        <v>2081</v>
      </c>
      <c r="F937" s="9" t="s">
        <v>2311</v>
      </c>
      <c r="H937" s="9"/>
    </row>
    <row r="938" ht="14.25" customHeight="1">
      <c r="C938" s="9" t="s">
        <v>2187</v>
      </c>
      <c r="D938" s="9" t="s">
        <v>2299</v>
      </c>
      <c r="E938" s="9" t="s">
        <v>2081</v>
      </c>
      <c r="F938" s="9" t="s">
        <v>2310</v>
      </c>
      <c r="H938" s="9"/>
    </row>
    <row r="939" ht="14.25" customHeight="1">
      <c r="C939" s="9" t="s">
        <v>2187</v>
      </c>
      <c r="D939" s="9" t="s">
        <v>2299</v>
      </c>
      <c r="E939" s="9" t="s">
        <v>2081</v>
      </c>
      <c r="F939" s="9" t="s">
        <v>2303</v>
      </c>
      <c r="H939" s="9"/>
    </row>
    <row r="940" ht="14.25" customHeight="1">
      <c r="C940" s="9" t="s">
        <v>2187</v>
      </c>
      <c r="D940" s="9" t="s">
        <v>2299</v>
      </c>
      <c r="E940" s="9" t="s">
        <v>2081</v>
      </c>
      <c r="F940" s="9" t="s">
        <v>2302</v>
      </c>
      <c r="H940" s="9"/>
    </row>
    <row r="941" ht="14.25" customHeight="1">
      <c r="C941" s="9" t="s">
        <v>2187</v>
      </c>
      <c r="D941" s="9" t="s">
        <v>2299</v>
      </c>
      <c r="E941" s="9" t="s">
        <v>2081</v>
      </c>
      <c r="F941" s="9" t="s">
        <v>2304</v>
      </c>
      <c r="H941" s="9"/>
    </row>
    <row r="942" ht="14.25" customHeight="1">
      <c r="C942" s="9" t="s">
        <v>2187</v>
      </c>
      <c r="D942" s="9" t="s">
        <v>2299</v>
      </c>
      <c r="E942" s="9" t="s">
        <v>2081</v>
      </c>
      <c r="F942" s="9" t="s">
        <v>2300</v>
      </c>
      <c r="H942" s="9"/>
    </row>
    <row r="943" ht="14.25" customHeight="1">
      <c r="C943" s="9" t="s">
        <v>2187</v>
      </c>
      <c r="D943" s="9" t="s">
        <v>2299</v>
      </c>
      <c r="E943" s="9" t="s">
        <v>2081</v>
      </c>
      <c r="F943" s="9" t="s">
        <v>2312</v>
      </c>
      <c r="H943" s="9"/>
    </row>
    <row r="944" ht="14.25" customHeight="1">
      <c r="C944" s="9" t="s">
        <v>2187</v>
      </c>
      <c r="D944" s="9" t="s">
        <v>2299</v>
      </c>
      <c r="E944" s="9" t="s">
        <v>2081</v>
      </c>
      <c r="F944" s="9" t="s">
        <v>2756</v>
      </c>
      <c r="H944" s="9"/>
    </row>
    <row r="945" ht="14.25" customHeight="1">
      <c r="C945" s="9" t="s">
        <v>2080</v>
      </c>
      <c r="D945" s="9" t="s">
        <v>2757</v>
      </c>
      <c r="E945" s="9" t="s">
        <v>2081</v>
      </c>
      <c r="F945" s="9" t="s">
        <v>2123</v>
      </c>
      <c r="H945" s="9"/>
    </row>
    <row r="946" ht="14.25" customHeight="1">
      <c r="C946" s="9" t="s">
        <v>2080</v>
      </c>
      <c r="D946" s="9" t="s">
        <v>2757</v>
      </c>
      <c r="E946" s="9" t="s">
        <v>2081</v>
      </c>
      <c r="F946" s="9" t="s">
        <v>2124</v>
      </c>
      <c r="H946" s="9"/>
    </row>
    <row r="947" ht="14.25" customHeight="1">
      <c r="C947" s="9" t="s">
        <v>2080</v>
      </c>
      <c r="D947" s="9" t="s">
        <v>2757</v>
      </c>
      <c r="E947" s="9" t="s">
        <v>2081</v>
      </c>
      <c r="F947" s="9" t="s">
        <v>2120</v>
      </c>
      <c r="H947" s="9"/>
    </row>
    <row r="948" ht="14.25" customHeight="1">
      <c r="C948" s="9" t="s">
        <v>2080</v>
      </c>
      <c r="D948" s="9" t="s">
        <v>2757</v>
      </c>
      <c r="E948" s="9" t="s">
        <v>2081</v>
      </c>
      <c r="F948" s="9" t="s">
        <v>2126</v>
      </c>
      <c r="H948" s="9"/>
    </row>
    <row r="949" ht="14.25" customHeight="1">
      <c r="C949" s="9" t="s">
        <v>2080</v>
      </c>
      <c r="D949" s="9" t="s">
        <v>2757</v>
      </c>
      <c r="E949" s="9" t="s">
        <v>2081</v>
      </c>
      <c r="F949" s="9" t="s">
        <v>2119</v>
      </c>
      <c r="H949" s="9"/>
    </row>
    <row r="950" ht="14.25" customHeight="1">
      <c r="C950" s="9" t="s">
        <v>2080</v>
      </c>
      <c r="D950" s="9" t="s">
        <v>2758</v>
      </c>
      <c r="E950" s="9" t="s">
        <v>2081</v>
      </c>
      <c r="F950" s="9" t="s">
        <v>2111</v>
      </c>
      <c r="H950" s="9"/>
    </row>
    <row r="951" ht="14.25" customHeight="1">
      <c r="C951" s="9" t="s">
        <v>2080</v>
      </c>
      <c r="D951" s="9" t="s">
        <v>2758</v>
      </c>
      <c r="E951" s="9" t="s">
        <v>2081</v>
      </c>
      <c r="F951" s="9" t="s">
        <v>2100</v>
      </c>
      <c r="H951" s="9"/>
    </row>
    <row r="952" ht="14.25" customHeight="1">
      <c r="C952" s="9" t="s">
        <v>2080</v>
      </c>
      <c r="D952" s="9" t="s">
        <v>2758</v>
      </c>
      <c r="E952" s="9" t="s">
        <v>2081</v>
      </c>
      <c r="F952" s="9" t="s">
        <v>2114</v>
      </c>
      <c r="H952" s="9"/>
    </row>
    <row r="953" ht="14.25" customHeight="1">
      <c r="C953" s="9" t="s">
        <v>2080</v>
      </c>
      <c r="D953" s="9" t="s">
        <v>2758</v>
      </c>
      <c r="E953" s="9" t="s">
        <v>2081</v>
      </c>
      <c r="F953" s="9" t="s">
        <v>2104</v>
      </c>
      <c r="H953" s="9"/>
    </row>
    <row r="954" ht="14.25" customHeight="1">
      <c r="C954" s="9" t="s">
        <v>2080</v>
      </c>
      <c r="D954" s="9" t="s">
        <v>2758</v>
      </c>
      <c r="E954" s="9" t="s">
        <v>2081</v>
      </c>
      <c r="F954" s="9" t="s">
        <v>2105</v>
      </c>
      <c r="H954" s="9"/>
    </row>
    <row r="955" ht="14.25" customHeight="1">
      <c r="C955" s="9" t="s">
        <v>2080</v>
      </c>
      <c r="D955" s="9" t="s">
        <v>2758</v>
      </c>
      <c r="E955" s="9" t="s">
        <v>2081</v>
      </c>
      <c r="F955" s="9" t="s">
        <v>2108</v>
      </c>
      <c r="H955" s="9"/>
    </row>
    <row r="956" ht="14.25" customHeight="1">
      <c r="C956" s="9" t="s">
        <v>2080</v>
      </c>
      <c r="D956" s="9" t="s">
        <v>2758</v>
      </c>
      <c r="E956" s="9" t="s">
        <v>2081</v>
      </c>
      <c r="F956" s="9" t="s">
        <v>2107</v>
      </c>
      <c r="H956" s="9"/>
    </row>
    <row r="957" ht="14.25" customHeight="1">
      <c r="C957" s="9" t="s">
        <v>2080</v>
      </c>
      <c r="D957" s="9" t="s">
        <v>2758</v>
      </c>
      <c r="E957" s="9" t="s">
        <v>2081</v>
      </c>
      <c r="F957" s="9" t="s">
        <v>2115</v>
      </c>
      <c r="H957" s="9"/>
    </row>
    <row r="958" ht="14.25" customHeight="1">
      <c r="C958" s="9" t="s">
        <v>2080</v>
      </c>
      <c r="D958" s="9" t="s">
        <v>2758</v>
      </c>
      <c r="E958" s="9" t="s">
        <v>2081</v>
      </c>
      <c r="F958" s="9" t="s">
        <v>2110</v>
      </c>
      <c r="H958" s="9"/>
    </row>
    <row r="959" ht="14.25" customHeight="1">
      <c r="C959" s="9" t="s">
        <v>2080</v>
      </c>
      <c r="D959" s="9" t="s">
        <v>2758</v>
      </c>
      <c r="E959" s="9" t="s">
        <v>2081</v>
      </c>
      <c r="F959" s="9" t="s">
        <v>2101</v>
      </c>
      <c r="H959" s="9"/>
    </row>
    <row r="960" ht="14.25" customHeight="1">
      <c r="C960" s="9" t="s">
        <v>2080</v>
      </c>
      <c r="D960" s="9" t="s">
        <v>2758</v>
      </c>
      <c r="E960" s="9" t="s">
        <v>2081</v>
      </c>
      <c r="F960" s="9" t="s">
        <v>2103</v>
      </c>
      <c r="H960" s="9"/>
    </row>
    <row r="961" ht="14.25" customHeight="1">
      <c r="C961" s="9" t="s">
        <v>2080</v>
      </c>
      <c r="D961" s="9" t="s">
        <v>2758</v>
      </c>
      <c r="E961" s="9" t="s">
        <v>2081</v>
      </c>
      <c r="F961" s="9" t="s">
        <v>2098</v>
      </c>
      <c r="H961" s="9"/>
    </row>
    <row r="962" ht="14.25" customHeight="1">
      <c r="C962" s="9" t="s">
        <v>2080</v>
      </c>
      <c r="D962" s="9" t="s">
        <v>2758</v>
      </c>
      <c r="E962" s="9" t="s">
        <v>2081</v>
      </c>
      <c r="F962" s="9" t="s">
        <v>2097</v>
      </c>
      <c r="H962" s="9"/>
    </row>
    <row r="963" ht="14.25" customHeight="1">
      <c r="C963" s="9" t="s">
        <v>2080</v>
      </c>
      <c r="D963" s="9" t="s">
        <v>2758</v>
      </c>
      <c r="E963" s="9" t="s">
        <v>2081</v>
      </c>
      <c r="F963" s="9" t="s">
        <v>2113</v>
      </c>
      <c r="H963" s="9"/>
    </row>
    <row r="964" ht="14.25" customHeight="1">
      <c r="C964" s="9" t="s">
        <v>2080</v>
      </c>
      <c r="D964" s="9" t="s">
        <v>2759</v>
      </c>
      <c r="E964" s="9" t="s">
        <v>2081</v>
      </c>
      <c r="F964" s="9" t="s">
        <v>2130</v>
      </c>
      <c r="H964" s="9"/>
    </row>
    <row r="965" ht="14.25" customHeight="1">
      <c r="C965" s="9" t="s">
        <v>2080</v>
      </c>
      <c r="D965" s="9" t="s">
        <v>2759</v>
      </c>
      <c r="E965" s="9" t="s">
        <v>2081</v>
      </c>
      <c r="F965" s="9" t="s">
        <v>2134</v>
      </c>
      <c r="H965" s="9"/>
    </row>
    <row r="966" ht="14.25" customHeight="1">
      <c r="C966" s="9" t="s">
        <v>2080</v>
      </c>
      <c r="D966" s="9" t="s">
        <v>2759</v>
      </c>
      <c r="E966" s="9" t="s">
        <v>2081</v>
      </c>
      <c r="F966" s="9" t="s">
        <v>2131</v>
      </c>
      <c r="H966" s="9"/>
    </row>
    <row r="967" ht="14.25" customHeight="1">
      <c r="C967" s="9" t="s">
        <v>2080</v>
      </c>
      <c r="D967" s="9" t="s">
        <v>2759</v>
      </c>
      <c r="E967" s="9" t="s">
        <v>2081</v>
      </c>
      <c r="F967" s="9" t="s">
        <v>2133</v>
      </c>
      <c r="H967" s="9"/>
    </row>
    <row r="968" ht="14.25" customHeight="1">
      <c r="C968" s="9" t="s">
        <v>2080</v>
      </c>
      <c r="D968" s="9" t="s">
        <v>2759</v>
      </c>
      <c r="E968" s="9" t="s">
        <v>2081</v>
      </c>
      <c r="F968" s="9" t="s">
        <v>2115</v>
      </c>
      <c r="H968" s="9"/>
    </row>
    <row r="969" ht="14.25" customHeight="1">
      <c r="C969" s="9" t="s">
        <v>2080</v>
      </c>
      <c r="D969" s="9" t="s">
        <v>2759</v>
      </c>
      <c r="E969" s="9" t="s">
        <v>2081</v>
      </c>
      <c r="F969" s="9" t="s">
        <v>2128</v>
      </c>
      <c r="H969" s="9"/>
    </row>
    <row r="970" ht="14.25" customHeight="1">
      <c r="C970" s="9" t="s">
        <v>2080</v>
      </c>
      <c r="D970" s="9" t="s">
        <v>2760</v>
      </c>
      <c r="E970" s="9" t="s">
        <v>2081</v>
      </c>
      <c r="F970" s="9" t="s">
        <v>2138</v>
      </c>
      <c r="H970" s="9"/>
    </row>
    <row r="971" ht="14.25" customHeight="1">
      <c r="C971" s="9" t="s">
        <v>2080</v>
      </c>
      <c r="D971" s="9" t="s">
        <v>2760</v>
      </c>
      <c r="E971" s="9" t="s">
        <v>2081</v>
      </c>
      <c r="F971" s="9" t="s">
        <v>2142</v>
      </c>
      <c r="H971" s="9"/>
    </row>
    <row r="972" ht="14.25" customHeight="1">
      <c r="C972" s="9" t="s">
        <v>2080</v>
      </c>
      <c r="D972" s="9" t="s">
        <v>2760</v>
      </c>
      <c r="E972" s="9" t="s">
        <v>2081</v>
      </c>
      <c r="F972" s="9" t="s">
        <v>2140</v>
      </c>
      <c r="H972" s="9"/>
    </row>
    <row r="973" ht="14.25" customHeight="1">
      <c r="C973" s="9" t="s">
        <v>2080</v>
      </c>
      <c r="D973" s="9" t="s">
        <v>2760</v>
      </c>
      <c r="E973" s="9" t="s">
        <v>2081</v>
      </c>
      <c r="F973" s="9" t="s">
        <v>2115</v>
      </c>
      <c r="H973" s="9"/>
    </row>
    <row r="974" ht="14.25" customHeight="1">
      <c r="C974" s="9" t="s">
        <v>2080</v>
      </c>
      <c r="D974" s="9" t="s">
        <v>2760</v>
      </c>
      <c r="E974" s="9" t="s">
        <v>2081</v>
      </c>
      <c r="F974" s="9" t="s">
        <v>2139</v>
      </c>
      <c r="H974" s="9"/>
    </row>
    <row r="975" ht="14.25" customHeight="1">
      <c r="C975" s="9" t="s">
        <v>2080</v>
      </c>
      <c r="D975" s="9" t="s">
        <v>2761</v>
      </c>
      <c r="E975" s="9" t="s">
        <v>2081</v>
      </c>
      <c r="F975" s="9" t="s">
        <v>2186</v>
      </c>
      <c r="H975" s="9"/>
    </row>
    <row r="976" ht="14.25" customHeight="1">
      <c r="C976" s="9" t="s">
        <v>2080</v>
      </c>
      <c r="D976" s="9" t="s">
        <v>2761</v>
      </c>
      <c r="E976" s="9" t="s">
        <v>2081</v>
      </c>
      <c r="F976" s="9" t="s">
        <v>2184</v>
      </c>
      <c r="H976" s="9"/>
    </row>
    <row r="977" ht="14.25" customHeight="1">
      <c r="C977" s="9" t="s">
        <v>2080</v>
      </c>
      <c r="D977" s="9" t="s">
        <v>2761</v>
      </c>
      <c r="E977" s="9" t="s">
        <v>2081</v>
      </c>
      <c r="F977" s="9" t="s">
        <v>2183</v>
      </c>
      <c r="H977" s="9"/>
    </row>
    <row r="978" ht="14.25" customHeight="1">
      <c r="C978" s="9" t="s">
        <v>2080</v>
      </c>
      <c r="D978" s="9" t="s">
        <v>2762</v>
      </c>
      <c r="E978" s="9" t="s">
        <v>2081</v>
      </c>
      <c r="F978" s="9" t="s">
        <v>2149</v>
      </c>
      <c r="H978" s="9"/>
    </row>
    <row r="979" ht="14.25" customHeight="1">
      <c r="C979" s="9" t="s">
        <v>2080</v>
      </c>
      <c r="D979" s="9" t="s">
        <v>2762</v>
      </c>
      <c r="E979" s="9" t="s">
        <v>2081</v>
      </c>
      <c r="F979" s="9" t="s">
        <v>2153</v>
      </c>
      <c r="H979" s="9"/>
    </row>
    <row r="980" ht="14.25" customHeight="1">
      <c r="C980" s="9" t="s">
        <v>2080</v>
      </c>
      <c r="D980" s="9" t="s">
        <v>2762</v>
      </c>
      <c r="E980" s="9" t="s">
        <v>2081</v>
      </c>
      <c r="F980" s="9" t="s">
        <v>2150</v>
      </c>
      <c r="H980" s="9"/>
    </row>
    <row r="981" ht="14.25" customHeight="1">
      <c r="C981" s="9" t="s">
        <v>2080</v>
      </c>
      <c r="D981" s="9" t="s">
        <v>2762</v>
      </c>
      <c r="E981" s="9" t="s">
        <v>2081</v>
      </c>
      <c r="F981" s="9" t="s">
        <v>2147</v>
      </c>
      <c r="H981" s="9"/>
    </row>
    <row r="982" ht="14.25" customHeight="1">
      <c r="C982" s="9" t="s">
        <v>2080</v>
      </c>
      <c r="D982" s="9" t="s">
        <v>2762</v>
      </c>
      <c r="E982" s="9" t="s">
        <v>2081</v>
      </c>
      <c r="F982" s="9" t="s">
        <v>2115</v>
      </c>
      <c r="H982" s="9"/>
    </row>
    <row r="983" ht="14.25" customHeight="1">
      <c r="C983" s="9" t="s">
        <v>2080</v>
      </c>
      <c r="D983" s="9" t="s">
        <v>2762</v>
      </c>
      <c r="E983" s="9" t="s">
        <v>2081</v>
      </c>
      <c r="F983" s="9" t="s">
        <v>2151</v>
      </c>
      <c r="H983" s="9"/>
    </row>
    <row r="984" ht="14.25" customHeight="1">
      <c r="C984" s="9" t="s">
        <v>2080</v>
      </c>
      <c r="D984" s="9" t="s">
        <v>2762</v>
      </c>
      <c r="E984" s="9" t="s">
        <v>2081</v>
      </c>
      <c r="F984" s="9" t="s">
        <v>2155</v>
      </c>
      <c r="H984" s="9"/>
    </row>
    <row r="985" ht="14.25" customHeight="1">
      <c r="C985" s="9" t="s">
        <v>2080</v>
      </c>
      <c r="D985" s="9" t="s">
        <v>2762</v>
      </c>
      <c r="E985" s="9" t="s">
        <v>2081</v>
      </c>
      <c r="F985" s="9" t="s">
        <v>2145</v>
      </c>
      <c r="H985" s="9"/>
    </row>
    <row r="986" ht="14.25" customHeight="1">
      <c r="C986" s="9" t="s">
        <v>2080</v>
      </c>
      <c r="D986" s="9" t="s">
        <v>2763</v>
      </c>
      <c r="E986" s="9" t="s">
        <v>2081</v>
      </c>
      <c r="F986" s="9" t="s">
        <v>2171</v>
      </c>
      <c r="H986" s="9"/>
    </row>
    <row r="987" ht="14.25" customHeight="1">
      <c r="C987" s="9" t="s">
        <v>2080</v>
      </c>
      <c r="D987" s="9" t="s">
        <v>2763</v>
      </c>
      <c r="E987" s="9" t="s">
        <v>2081</v>
      </c>
      <c r="F987" s="9" t="s">
        <v>2162</v>
      </c>
      <c r="H987" s="9"/>
    </row>
    <row r="988" ht="14.25" customHeight="1">
      <c r="C988" s="9" t="s">
        <v>2080</v>
      </c>
      <c r="D988" s="9" t="s">
        <v>2763</v>
      </c>
      <c r="E988" s="9" t="s">
        <v>2081</v>
      </c>
      <c r="F988" s="9" t="s">
        <v>2172</v>
      </c>
      <c r="H988" s="9"/>
    </row>
    <row r="989" ht="14.25" customHeight="1">
      <c r="C989" s="9" t="s">
        <v>2080</v>
      </c>
      <c r="D989" s="9" t="s">
        <v>2763</v>
      </c>
      <c r="E989" s="9" t="s">
        <v>2081</v>
      </c>
      <c r="F989" s="9" t="s">
        <v>2166</v>
      </c>
      <c r="H989" s="9"/>
    </row>
    <row r="990" ht="14.25" customHeight="1">
      <c r="C990" s="9" t="s">
        <v>2080</v>
      </c>
      <c r="D990" s="9" t="s">
        <v>2763</v>
      </c>
      <c r="E990" s="9" t="s">
        <v>2081</v>
      </c>
      <c r="F990" s="9" t="s">
        <v>2161</v>
      </c>
      <c r="H990" s="9"/>
    </row>
    <row r="991" ht="14.25" customHeight="1">
      <c r="C991" s="9" t="s">
        <v>2080</v>
      </c>
      <c r="D991" s="9" t="s">
        <v>2763</v>
      </c>
      <c r="E991" s="9" t="s">
        <v>2081</v>
      </c>
      <c r="F991" s="9" t="s">
        <v>2175</v>
      </c>
      <c r="H991" s="9"/>
    </row>
    <row r="992" ht="14.25" customHeight="1">
      <c r="C992" s="9" t="s">
        <v>2080</v>
      </c>
      <c r="D992" s="9" t="s">
        <v>2763</v>
      </c>
      <c r="E992" s="9" t="s">
        <v>2081</v>
      </c>
      <c r="F992" s="9" t="s">
        <v>2163</v>
      </c>
      <c r="H992" s="9"/>
    </row>
    <row r="993" ht="14.25" customHeight="1">
      <c r="C993" s="9" t="s">
        <v>2080</v>
      </c>
      <c r="D993" s="9" t="s">
        <v>2763</v>
      </c>
      <c r="E993" s="9" t="s">
        <v>2081</v>
      </c>
      <c r="F993" s="9" t="s">
        <v>2160</v>
      </c>
      <c r="H993" s="9"/>
    </row>
    <row r="994" ht="14.25" customHeight="1">
      <c r="C994" s="9" t="s">
        <v>2080</v>
      </c>
      <c r="D994" s="9" t="s">
        <v>2763</v>
      </c>
      <c r="E994" s="9" t="s">
        <v>2081</v>
      </c>
      <c r="F994" s="9" t="s">
        <v>2165</v>
      </c>
      <c r="H994" s="9"/>
    </row>
    <row r="995" ht="14.25" customHeight="1">
      <c r="C995" s="9" t="s">
        <v>2080</v>
      </c>
      <c r="D995" s="9" t="s">
        <v>2763</v>
      </c>
      <c r="E995" s="9" t="s">
        <v>2081</v>
      </c>
      <c r="F995" s="9" t="s">
        <v>2168</v>
      </c>
      <c r="H995" s="9"/>
    </row>
    <row r="996" ht="14.25" customHeight="1">
      <c r="C996" s="9" t="s">
        <v>2080</v>
      </c>
      <c r="D996" s="9" t="s">
        <v>2763</v>
      </c>
      <c r="E996" s="9" t="s">
        <v>2081</v>
      </c>
      <c r="F996" s="9" t="s">
        <v>2173</v>
      </c>
      <c r="H996" s="9"/>
    </row>
    <row r="997" ht="14.25" customHeight="1">
      <c r="C997" s="9" t="s">
        <v>2080</v>
      </c>
      <c r="D997" s="9" t="s">
        <v>2763</v>
      </c>
      <c r="E997" s="9" t="s">
        <v>2081</v>
      </c>
      <c r="F997" s="9" t="s">
        <v>2169</v>
      </c>
      <c r="H997" s="9"/>
    </row>
    <row r="998" ht="14.25" customHeight="1">
      <c r="C998" s="9" t="s">
        <v>2080</v>
      </c>
      <c r="D998" s="9" t="s">
        <v>2763</v>
      </c>
      <c r="E998" s="9" t="s">
        <v>2081</v>
      </c>
      <c r="F998" s="9" t="s">
        <v>2158</v>
      </c>
      <c r="H998" s="9"/>
    </row>
    <row r="999" ht="14.25" customHeight="1">
      <c r="C999" s="9" t="s">
        <v>2080</v>
      </c>
      <c r="D999" s="9" t="s">
        <v>2764</v>
      </c>
      <c r="E999" s="9" t="s">
        <v>2081</v>
      </c>
      <c r="F999" s="9" t="s">
        <v>2092</v>
      </c>
      <c r="H999" s="9"/>
    </row>
    <row r="1000" ht="14.25" customHeight="1">
      <c r="C1000" s="9" t="s">
        <v>2080</v>
      </c>
      <c r="D1000" s="9" t="s">
        <v>2764</v>
      </c>
      <c r="E1000" s="9" t="s">
        <v>2081</v>
      </c>
      <c r="F1000" s="9" t="s">
        <v>2084</v>
      </c>
      <c r="H1000" s="9"/>
    </row>
    <row r="1001" ht="14.25" customHeight="1">
      <c r="C1001" s="9" t="s">
        <v>2080</v>
      </c>
      <c r="D1001" s="9" t="s">
        <v>2764</v>
      </c>
      <c r="E1001" s="9" t="s">
        <v>2081</v>
      </c>
      <c r="F1001" s="9" t="s">
        <v>2089</v>
      </c>
      <c r="H1001" s="9"/>
    </row>
    <row r="1002" ht="14.25" customHeight="1">
      <c r="C1002" s="9" t="s">
        <v>2080</v>
      </c>
      <c r="D1002" s="9" t="s">
        <v>2764</v>
      </c>
      <c r="E1002" s="9" t="s">
        <v>2081</v>
      </c>
      <c r="F1002" s="9" t="s">
        <v>2085</v>
      </c>
      <c r="H1002" s="9"/>
    </row>
    <row r="1003" ht="14.25" customHeight="1">
      <c r="C1003" s="9" t="s">
        <v>2080</v>
      </c>
      <c r="D1003" s="9" t="s">
        <v>2764</v>
      </c>
      <c r="E1003" s="9" t="s">
        <v>2081</v>
      </c>
      <c r="F1003" s="9" t="s">
        <v>2086</v>
      </c>
      <c r="H1003" s="9"/>
    </row>
    <row r="1004" ht="14.25" customHeight="1">
      <c r="C1004" s="9" t="s">
        <v>2080</v>
      </c>
      <c r="D1004" s="9" t="s">
        <v>2764</v>
      </c>
      <c r="E1004" s="9" t="s">
        <v>2081</v>
      </c>
      <c r="F1004" s="9" t="s">
        <v>2094</v>
      </c>
      <c r="H1004" s="9"/>
    </row>
    <row r="1005" ht="14.25" customHeight="1">
      <c r="C1005" s="9" t="s">
        <v>2080</v>
      </c>
      <c r="D1005" s="9" t="s">
        <v>2764</v>
      </c>
      <c r="E1005" s="9" t="s">
        <v>2081</v>
      </c>
      <c r="F1005" s="9" t="s">
        <v>2088</v>
      </c>
      <c r="H1005" s="9"/>
    </row>
    <row r="1006" ht="14.25" customHeight="1">
      <c r="C1006" s="9" t="s">
        <v>2080</v>
      </c>
      <c r="D1006" s="9" t="s">
        <v>2764</v>
      </c>
      <c r="E1006" s="9" t="s">
        <v>2081</v>
      </c>
      <c r="F1006" s="9" t="s">
        <v>2091</v>
      </c>
      <c r="H1006" s="9"/>
    </row>
    <row r="1007" ht="14.25" customHeight="1">
      <c r="C1007" s="9" t="s">
        <v>2080</v>
      </c>
      <c r="D1007" s="9" t="s">
        <v>2765</v>
      </c>
      <c r="E1007" s="9" t="s">
        <v>2081</v>
      </c>
      <c r="F1007" s="9" t="s">
        <v>2180</v>
      </c>
      <c r="H1007" s="9"/>
    </row>
    <row r="1008" ht="14.25" customHeight="1">
      <c r="C1008" s="9" t="s">
        <v>2080</v>
      </c>
      <c r="D1008" s="9" t="s">
        <v>2765</v>
      </c>
      <c r="E1008" s="9" t="s">
        <v>2081</v>
      </c>
      <c r="F1008" s="9" t="s">
        <v>2178</v>
      </c>
      <c r="H1008" s="9"/>
    </row>
    <row r="1009" ht="14.25" customHeight="1">
      <c r="C1009" s="9" t="s">
        <v>2080</v>
      </c>
      <c r="D1009" s="9" t="s">
        <v>2765</v>
      </c>
      <c r="E1009" s="9" t="s">
        <v>2081</v>
      </c>
      <c r="F1009" s="9" t="s">
        <v>2177</v>
      </c>
      <c r="H1009" s="9"/>
    </row>
    <row r="1010" ht="14.25" customHeight="1">
      <c r="C1010" s="9" t="s">
        <v>2080</v>
      </c>
      <c r="D1010" s="9" t="s">
        <v>818</v>
      </c>
      <c r="E1010" s="9" t="s">
        <v>2081</v>
      </c>
      <c r="F1010" s="9" t="s">
        <v>2578</v>
      </c>
      <c r="H1010" s="9"/>
    </row>
    <row r="1011" ht="14.25" customHeight="1">
      <c r="C1011" s="9" t="s">
        <v>2080</v>
      </c>
      <c r="D1011" s="9" t="s">
        <v>818</v>
      </c>
      <c r="E1011" s="9" t="s">
        <v>2081</v>
      </c>
      <c r="F1011" s="9" t="s">
        <v>2582</v>
      </c>
      <c r="H1011" s="9"/>
    </row>
    <row r="1012" ht="14.25" customHeight="1">
      <c r="C1012" s="9" t="s">
        <v>2080</v>
      </c>
      <c r="D1012" s="9" t="s">
        <v>818</v>
      </c>
      <c r="E1012" s="9" t="s">
        <v>2081</v>
      </c>
      <c r="F1012" s="9" t="s">
        <v>2766</v>
      </c>
      <c r="H1012" s="9"/>
    </row>
    <row r="1013" ht="14.25" customHeight="1">
      <c r="C1013" s="9" t="s">
        <v>2080</v>
      </c>
      <c r="D1013" s="9" t="s">
        <v>818</v>
      </c>
      <c r="E1013" s="9" t="s">
        <v>2081</v>
      </c>
      <c r="F1013" s="9" t="s">
        <v>2569</v>
      </c>
      <c r="H1013" s="9"/>
    </row>
    <row r="1014" ht="14.25" customHeight="1">
      <c r="C1014" s="9" t="s">
        <v>2080</v>
      </c>
      <c r="D1014" s="9" t="s">
        <v>818</v>
      </c>
      <c r="E1014" s="9" t="s">
        <v>2081</v>
      </c>
      <c r="F1014" s="9" t="s">
        <v>2573</v>
      </c>
      <c r="H1014" s="9"/>
    </row>
    <row r="1015" ht="14.25" customHeight="1">
      <c r="C1015" s="9" t="s">
        <v>2080</v>
      </c>
      <c r="D1015" s="9" t="s">
        <v>818</v>
      </c>
      <c r="E1015" s="9" t="s">
        <v>2081</v>
      </c>
      <c r="F1015" s="9" t="s">
        <v>2566</v>
      </c>
      <c r="H1015" s="9"/>
    </row>
    <row r="1016" ht="14.25" customHeight="1">
      <c r="C1016" s="9" t="s">
        <v>2080</v>
      </c>
      <c r="D1016" s="9" t="s">
        <v>1104</v>
      </c>
      <c r="E1016" s="9" t="s">
        <v>2081</v>
      </c>
      <c r="F1016" s="9" t="s">
        <v>2588</v>
      </c>
      <c r="H1016" s="9"/>
    </row>
    <row r="1017" ht="14.25" customHeight="1">
      <c r="C1017" s="9" t="s">
        <v>2080</v>
      </c>
      <c r="D1017" s="9" t="s">
        <v>1104</v>
      </c>
      <c r="E1017" s="9" t="s">
        <v>2081</v>
      </c>
      <c r="F1017" s="9" t="s">
        <v>2767</v>
      </c>
      <c r="H1017" s="9"/>
    </row>
    <row r="1018" ht="14.25" customHeight="1">
      <c r="C1018" s="9" t="s">
        <v>2080</v>
      </c>
      <c r="D1018" s="9" t="s">
        <v>1104</v>
      </c>
      <c r="E1018" s="9" t="s">
        <v>2081</v>
      </c>
      <c r="F1018" s="9" t="s">
        <v>2592</v>
      </c>
      <c r="H1018" s="9"/>
    </row>
    <row r="1019" ht="14.25" customHeight="1">
      <c r="C1019" s="9" t="s">
        <v>2080</v>
      </c>
      <c r="D1019" s="9" t="s">
        <v>1104</v>
      </c>
      <c r="E1019" s="9" t="s">
        <v>2081</v>
      </c>
      <c r="F1019" s="9" t="s">
        <v>2591</v>
      </c>
      <c r="H1019" s="9"/>
    </row>
    <row r="1020" ht="14.25" customHeight="1">
      <c r="C1020" s="9" t="s">
        <v>2080</v>
      </c>
      <c r="D1020" s="9" t="s">
        <v>1104</v>
      </c>
      <c r="E1020" s="9" t="s">
        <v>2081</v>
      </c>
      <c r="F1020" s="9" t="s">
        <v>2586</v>
      </c>
      <c r="H1020" s="9"/>
    </row>
    <row r="1021" ht="14.25" customHeight="1">
      <c r="C1021" s="9" t="s">
        <v>2080</v>
      </c>
      <c r="D1021" s="9" t="s">
        <v>1104</v>
      </c>
      <c r="E1021" s="9" t="s">
        <v>2081</v>
      </c>
      <c r="F1021" s="9" t="s">
        <v>2768</v>
      </c>
      <c r="H1021" s="9"/>
    </row>
    <row r="1022" ht="14.25" customHeight="1">
      <c r="C1022" s="9" t="s">
        <v>2080</v>
      </c>
      <c r="D1022" s="9" t="s">
        <v>1104</v>
      </c>
      <c r="E1022" s="9" t="s">
        <v>2081</v>
      </c>
      <c r="F1022" s="9" t="s">
        <v>2769</v>
      </c>
      <c r="H1022" s="9"/>
    </row>
    <row r="1023" ht="14.25" customHeight="1">
      <c r="C1023" s="9" t="s">
        <v>2080</v>
      </c>
      <c r="D1023" s="9" t="s">
        <v>1104</v>
      </c>
      <c r="E1023" s="9" t="s">
        <v>2081</v>
      </c>
      <c r="F1023" s="9" t="s">
        <v>2585</v>
      </c>
      <c r="H1023" s="9"/>
    </row>
    <row r="1024" ht="14.25" customHeight="1">
      <c r="C1024" s="9" t="s">
        <v>2080</v>
      </c>
      <c r="D1024" s="9" t="s">
        <v>1104</v>
      </c>
      <c r="E1024" s="9" t="s">
        <v>2081</v>
      </c>
      <c r="F1024" s="9" t="s">
        <v>2594</v>
      </c>
      <c r="H1024" s="9"/>
    </row>
    <row r="1025" ht="14.25" customHeight="1">
      <c r="C1025" s="9" t="s">
        <v>2080</v>
      </c>
      <c r="D1025" s="9" t="s">
        <v>1104</v>
      </c>
      <c r="E1025" s="9" t="s">
        <v>2081</v>
      </c>
      <c r="F1025" s="9" t="s">
        <v>2590</v>
      </c>
      <c r="H1025" s="9"/>
    </row>
    <row r="1026" ht="14.25" customHeight="1">
      <c r="C1026" s="9" t="s">
        <v>2080</v>
      </c>
      <c r="D1026" s="9" t="s">
        <v>1104</v>
      </c>
      <c r="E1026" s="9" t="s">
        <v>2081</v>
      </c>
      <c r="F1026" s="9" t="s">
        <v>2587</v>
      </c>
      <c r="H1026" s="9"/>
    </row>
    <row r="1027" ht="14.25" customHeight="1">
      <c r="C1027" s="9" t="s">
        <v>2080</v>
      </c>
      <c r="D1027" s="9" t="s">
        <v>2553</v>
      </c>
      <c r="E1027" s="9" t="s">
        <v>2081</v>
      </c>
      <c r="F1027" s="9" t="s">
        <v>2554</v>
      </c>
      <c r="H1027" s="9"/>
    </row>
    <row r="1028" ht="14.25" customHeight="1">
      <c r="C1028" s="9" t="s">
        <v>2080</v>
      </c>
      <c r="D1028" s="9" t="s">
        <v>2553</v>
      </c>
      <c r="E1028" s="9" t="s">
        <v>2081</v>
      </c>
      <c r="F1028" s="9" t="s">
        <v>2770</v>
      </c>
      <c r="H1028" s="9"/>
    </row>
    <row r="1029" ht="14.25" customHeight="1">
      <c r="C1029" s="9" t="s">
        <v>2080</v>
      </c>
      <c r="D1029" s="9" t="s">
        <v>2553</v>
      </c>
      <c r="E1029" s="9" t="s">
        <v>2081</v>
      </c>
      <c r="F1029" s="9" t="s">
        <v>2771</v>
      </c>
      <c r="H1029" s="9"/>
    </row>
    <row r="1030" ht="14.25" customHeight="1">
      <c r="C1030" s="9" t="s">
        <v>2080</v>
      </c>
      <c r="D1030" s="9" t="s">
        <v>2553</v>
      </c>
      <c r="E1030" s="9" t="s">
        <v>2081</v>
      </c>
      <c r="F1030" s="9" t="s">
        <v>2772</v>
      </c>
      <c r="H1030" s="9"/>
    </row>
    <row r="1031" ht="14.25" customHeight="1">
      <c r="C1031" s="9" t="s">
        <v>2080</v>
      </c>
      <c r="D1031" s="9" t="s">
        <v>2553</v>
      </c>
      <c r="E1031" s="9" t="s">
        <v>2081</v>
      </c>
      <c r="F1031" s="9" t="s">
        <v>2519</v>
      </c>
      <c r="H1031" s="9"/>
    </row>
    <row r="1032" ht="14.25" customHeight="1">
      <c r="C1032" s="9" t="s">
        <v>2080</v>
      </c>
      <c r="D1032" s="9" t="s">
        <v>2553</v>
      </c>
      <c r="E1032" s="9" t="s">
        <v>2081</v>
      </c>
      <c r="F1032" s="9" t="s">
        <v>2773</v>
      </c>
      <c r="H1032" s="9"/>
    </row>
    <row r="1033" ht="14.25" customHeight="1">
      <c r="C1033" s="9" t="s">
        <v>2080</v>
      </c>
      <c r="D1033" s="9" t="s">
        <v>2553</v>
      </c>
      <c r="E1033" s="9" t="s">
        <v>2081</v>
      </c>
      <c r="F1033" s="9" t="s">
        <v>2529</v>
      </c>
      <c r="H1033" s="9"/>
    </row>
    <row r="1034" ht="14.25" customHeight="1">
      <c r="C1034" s="9" t="s">
        <v>2080</v>
      </c>
      <c r="D1034" s="9" t="s">
        <v>2553</v>
      </c>
      <c r="E1034" s="9" t="s">
        <v>2081</v>
      </c>
      <c r="F1034" s="9" t="s">
        <v>2774</v>
      </c>
      <c r="H1034" s="9"/>
    </row>
    <row r="1035" ht="14.25" customHeight="1">
      <c r="C1035" s="9" t="s">
        <v>2080</v>
      </c>
      <c r="D1035" s="9" t="s">
        <v>2553</v>
      </c>
      <c r="E1035" s="9" t="s">
        <v>2081</v>
      </c>
      <c r="F1035" s="9" t="s">
        <v>2528</v>
      </c>
      <c r="H1035" s="9"/>
    </row>
    <row r="1036" ht="14.25" customHeight="1">
      <c r="C1036" s="9" t="s">
        <v>2080</v>
      </c>
      <c r="D1036" s="9" t="s">
        <v>2553</v>
      </c>
      <c r="E1036" s="9" t="s">
        <v>2081</v>
      </c>
      <c r="F1036" s="9" t="s">
        <v>2518</v>
      </c>
      <c r="H1036" s="9"/>
    </row>
    <row r="1037" ht="14.25" customHeight="1">
      <c r="C1037" s="9" t="s">
        <v>2080</v>
      </c>
      <c r="D1037" s="9" t="s">
        <v>2553</v>
      </c>
      <c r="E1037" s="9" t="s">
        <v>2081</v>
      </c>
      <c r="F1037" s="9" t="s">
        <v>2522</v>
      </c>
      <c r="H1037" s="9"/>
    </row>
    <row r="1038" ht="14.25" customHeight="1">
      <c r="C1038" s="9" t="s">
        <v>2080</v>
      </c>
      <c r="D1038" s="9" t="s">
        <v>2553</v>
      </c>
      <c r="E1038" s="9" t="s">
        <v>2081</v>
      </c>
      <c r="F1038" s="9" t="s">
        <v>2521</v>
      </c>
      <c r="H1038" s="9"/>
    </row>
    <row r="1039" ht="14.25" customHeight="1">
      <c r="C1039" s="9" t="s">
        <v>2080</v>
      </c>
      <c r="D1039" s="9" t="s">
        <v>2553</v>
      </c>
      <c r="E1039" s="9" t="s">
        <v>2081</v>
      </c>
      <c r="F1039" s="9" t="s">
        <v>2775</v>
      </c>
      <c r="H1039" s="9"/>
    </row>
    <row r="1040" ht="14.25" customHeight="1">
      <c r="C1040" s="9" t="s">
        <v>2080</v>
      </c>
      <c r="D1040" s="9" t="s">
        <v>2553</v>
      </c>
      <c r="E1040" s="9" t="s">
        <v>2081</v>
      </c>
      <c r="F1040" s="9" t="s">
        <v>2517</v>
      </c>
      <c r="H1040" s="9"/>
    </row>
    <row r="1041" ht="14.25" customHeight="1">
      <c r="C1041" s="9" t="s">
        <v>2080</v>
      </c>
      <c r="D1041" s="9" t="s">
        <v>2553</v>
      </c>
      <c r="E1041" s="9" t="s">
        <v>2081</v>
      </c>
      <c r="F1041" s="9" t="s">
        <v>2523</v>
      </c>
      <c r="H1041" s="9"/>
    </row>
    <row r="1042" ht="14.25" customHeight="1">
      <c r="C1042" s="9" t="s">
        <v>2080</v>
      </c>
      <c r="D1042" s="9" t="s">
        <v>2553</v>
      </c>
      <c r="E1042" s="9" t="s">
        <v>2081</v>
      </c>
      <c r="F1042" s="9" t="s">
        <v>2776</v>
      </c>
      <c r="H1042" s="9"/>
    </row>
    <row r="1043" ht="14.25" customHeight="1">
      <c r="C1043" s="9" t="s">
        <v>2080</v>
      </c>
      <c r="D1043" s="9" t="s">
        <v>2553</v>
      </c>
      <c r="E1043" s="9" t="s">
        <v>2081</v>
      </c>
      <c r="F1043" s="9" t="s">
        <v>2525</v>
      </c>
      <c r="H1043" s="9"/>
    </row>
    <row r="1044" ht="14.25" customHeight="1">
      <c r="C1044" s="9" t="s">
        <v>2080</v>
      </c>
      <c r="D1044" s="9" t="s">
        <v>2553</v>
      </c>
      <c r="E1044" s="9" t="s">
        <v>2081</v>
      </c>
      <c r="F1044" s="9" t="s">
        <v>2527</v>
      </c>
      <c r="H1044" s="9"/>
    </row>
    <row r="1045" ht="14.25" customHeight="1">
      <c r="C1045" s="9" t="s">
        <v>2080</v>
      </c>
      <c r="D1045" s="9" t="s">
        <v>2553</v>
      </c>
      <c r="E1045" s="9" t="s">
        <v>2081</v>
      </c>
      <c r="F1045" s="9" t="s">
        <v>2526</v>
      </c>
      <c r="H1045" s="9"/>
    </row>
    <row r="1046" ht="14.25" customHeight="1">
      <c r="C1046" s="9" t="s">
        <v>2080</v>
      </c>
      <c r="D1046" s="9" t="s">
        <v>2553</v>
      </c>
      <c r="E1046" s="9" t="s">
        <v>2081</v>
      </c>
      <c r="F1046" s="9" t="s">
        <v>2777</v>
      </c>
      <c r="H1046" s="9"/>
    </row>
    <row r="1047" ht="14.25" customHeight="1">
      <c r="C1047" s="9" t="s">
        <v>2080</v>
      </c>
      <c r="D1047" s="9" t="s">
        <v>2553</v>
      </c>
      <c r="E1047" s="9" t="s">
        <v>2081</v>
      </c>
      <c r="F1047" s="9" t="s">
        <v>2778</v>
      </c>
      <c r="H1047" s="9"/>
    </row>
    <row r="1048" ht="14.25" customHeight="1">
      <c r="C1048" s="9" t="s">
        <v>2515</v>
      </c>
      <c r="D1048" s="9" t="s">
        <v>2531</v>
      </c>
      <c r="E1048" s="9" t="s">
        <v>2081</v>
      </c>
      <c r="F1048" s="9" t="s">
        <v>2544</v>
      </c>
      <c r="H1048" s="9"/>
    </row>
    <row r="1049" ht="14.25" customHeight="1">
      <c r="C1049" s="9" t="s">
        <v>2515</v>
      </c>
      <c r="D1049" s="9" t="s">
        <v>2531</v>
      </c>
      <c r="E1049" s="9" t="s">
        <v>2081</v>
      </c>
      <c r="F1049" s="9" t="s">
        <v>2779</v>
      </c>
      <c r="H1049" s="9"/>
    </row>
    <row r="1050" ht="14.25" customHeight="1">
      <c r="C1050" s="9" t="s">
        <v>2515</v>
      </c>
      <c r="D1050" s="9" t="s">
        <v>2531</v>
      </c>
      <c r="E1050" s="9" t="s">
        <v>2081</v>
      </c>
      <c r="F1050" s="9" t="s">
        <v>2541</v>
      </c>
      <c r="H1050" s="9"/>
    </row>
    <row r="1051" ht="14.25" customHeight="1">
      <c r="C1051" s="9" t="s">
        <v>2515</v>
      </c>
      <c r="D1051" s="9" t="s">
        <v>2531</v>
      </c>
      <c r="E1051" s="9" t="s">
        <v>2081</v>
      </c>
      <c r="F1051" s="9" t="s">
        <v>2780</v>
      </c>
      <c r="H1051" s="9"/>
    </row>
    <row r="1052" ht="14.25" customHeight="1">
      <c r="C1052" s="9" t="s">
        <v>2515</v>
      </c>
      <c r="D1052" s="9" t="s">
        <v>2531</v>
      </c>
      <c r="E1052" s="9" t="s">
        <v>2081</v>
      </c>
      <c r="F1052" s="9" t="s">
        <v>2543</v>
      </c>
      <c r="H1052" s="9"/>
    </row>
    <row r="1053" ht="14.25" customHeight="1">
      <c r="C1053" s="9" t="s">
        <v>2515</v>
      </c>
      <c r="D1053" s="9" t="s">
        <v>2531</v>
      </c>
      <c r="E1053" s="9" t="s">
        <v>2081</v>
      </c>
      <c r="F1053" s="9" t="s">
        <v>2540</v>
      </c>
      <c r="H1053" s="9"/>
    </row>
    <row r="1054" ht="14.25" customHeight="1">
      <c r="C1054" s="9" t="s">
        <v>2515</v>
      </c>
      <c r="D1054" s="9" t="s">
        <v>2531</v>
      </c>
      <c r="E1054" s="9" t="s">
        <v>2081</v>
      </c>
      <c r="F1054" s="9" t="s">
        <v>2539</v>
      </c>
      <c r="H1054" s="9"/>
    </row>
    <row r="1055" ht="14.25" customHeight="1">
      <c r="C1055" s="9" t="s">
        <v>2515</v>
      </c>
      <c r="D1055" s="9" t="s">
        <v>2531</v>
      </c>
      <c r="E1055" s="9" t="s">
        <v>2081</v>
      </c>
      <c r="F1055" s="9" t="s">
        <v>2548</v>
      </c>
      <c r="H1055" s="9"/>
    </row>
    <row r="1056" ht="14.25" customHeight="1">
      <c r="C1056" s="9" t="s">
        <v>2515</v>
      </c>
      <c r="D1056" s="9" t="s">
        <v>2531</v>
      </c>
      <c r="E1056" s="9" t="s">
        <v>2081</v>
      </c>
      <c r="F1056" s="9" t="s">
        <v>2542</v>
      </c>
      <c r="H1056" s="9"/>
    </row>
    <row r="1057" ht="14.25" customHeight="1">
      <c r="C1057" s="9" t="s">
        <v>2515</v>
      </c>
      <c r="D1057" s="9" t="s">
        <v>2531</v>
      </c>
      <c r="E1057" s="9" t="s">
        <v>2081</v>
      </c>
      <c r="F1057" s="9" t="s">
        <v>2538</v>
      </c>
      <c r="H1057" s="9"/>
    </row>
    <row r="1058" ht="14.25" customHeight="1">
      <c r="C1058" s="9" t="s">
        <v>2515</v>
      </c>
      <c r="D1058" s="9" t="s">
        <v>2531</v>
      </c>
      <c r="E1058" s="9" t="s">
        <v>2081</v>
      </c>
      <c r="F1058" s="9" t="s">
        <v>2532</v>
      </c>
      <c r="H1058" s="9"/>
    </row>
    <row r="1059" ht="14.25" customHeight="1">
      <c r="C1059" s="9" t="s">
        <v>2515</v>
      </c>
      <c r="D1059" s="9" t="s">
        <v>2531</v>
      </c>
      <c r="E1059" s="9" t="s">
        <v>2081</v>
      </c>
      <c r="F1059" s="9" t="s">
        <v>2533</v>
      </c>
      <c r="H1059" s="9"/>
    </row>
    <row r="1060" ht="14.25" customHeight="1">
      <c r="C1060" s="9" t="s">
        <v>2515</v>
      </c>
      <c r="D1060" s="9" t="s">
        <v>1187</v>
      </c>
      <c r="E1060" s="9" t="s">
        <v>2081</v>
      </c>
      <c r="F1060" s="9" t="s">
        <v>2516</v>
      </c>
      <c r="H1060" s="9"/>
    </row>
    <row r="1061" ht="14.25" customHeight="1">
      <c r="C1061" s="9" t="s">
        <v>2515</v>
      </c>
      <c r="D1061" s="9" t="s">
        <v>1187</v>
      </c>
      <c r="E1061" s="9" t="s">
        <v>2081</v>
      </c>
      <c r="F1061" s="9" t="s">
        <v>2524</v>
      </c>
      <c r="H1061" s="9"/>
    </row>
    <row r="1062" ht="14.25" customHeight="1">
      <c r="C1062" s="9" t="s">
        <v>2515</v>
      </c>
      <c r="D1062" s="9" t="s">
        <v>1187</v>
      </c>
      <c r="E1062" s="9" t="s">
        <v>2081</v>
      </c>
      <c r="F1062" s="9" t="s">
        <v>2519</v>
      </c>
      <c r="H1062" s="9"/>
    </row>
    <row r="1063" ht="14.25" customHeight="1">
      <c r="C1063" s="9" t="s">
        <v>2515</v>
      </c>
      <c r="D1063" s="9" t="s">
        <v>1187</v>
      </c>
      <c r="E1063" s="9" t="s">
        <v>2081</v>
      </c>
      <c r="F1063" s="9" t="s">
        <v>2529</v>
      </c>
      <c r="H1063" s="9"/>
    </row>
    <row r="1064" ht="14.25" customHeight="1">
      <c r="C1064" s="9" t="s">
        <v>2515</v>
      </c>
      <c r="D1064" s="9" t="s">
        <v>1187</v>
      </c>
      <c r="E1064" s="9" t="s">
        <v>2081</v>
      </c>
      <c r="F1064" s="9" t="s">
        <v>2528</v>
      </c>
      <c r="H1064" s="9"/>
    </row>
    <row r="1065" ht="14.25" customHeight="1">
      <c r="C1065" s="9" t="s">
        <v>2515</v>
      </c>
      <c r="D1065" s="9" t="s">
        <v>1187</v>
      </c>
      <c r="E1065" s="9" t="s">
        <v>2081</v>
      </c>
      <c r="F1065" s="9" t="s">
        <v>2518</v>
      </c>
      <c r="H1065" s="9"/>
    </row>
    <row r="1066" ht="14.25" customHeight="1">
      <c r="C1066" s="9" t="s">
        <v>2515</v>
      </c>
      <c r="D1066" s="9" t="s">
        <v>1187</v>
      </c>
      <c r="E1066" s="9" t="s">
        <v>2081</v>
      </c>
      <c r="F1066" s="9" t="s">
        <v>2522</v>
      </c>
      <c r="H1066" s="9"/>
    </row>
    <row r="1067" ht="14.25" customHeight="1">
      <c r="C1067" s="9" t="s">
        <v>2515</v>
      </c>
      <c r="D1067" s="9" t="s">
        <v>1187</v>
      </c>
      <c r="E1067" s="9" t="s">
        <v>2081</v>
      </c>
      <c r="F1067" s="9" t="s">
        <v>2521</v>
      </c>
      <c r="H1067" s="9"/>
    </row>
    <row r="1068" ht="14.25" customHeight="1">
      <c r="C1068" s="9" t="s">
        <v>2515</v>
      </c>
      <c r="D1068" s="9" t="s">
        <v>1187</v>
      </c>
      <c r="E1068" s="9" t="s">
        <v>2081</v>
      </c>
      <c r="F1068" s="9" t="s">
        <v>2517</v>
      </c>
      <c r="H1068" s="9"/>
    </row>
    <row r="1069" ht="14.25" customHeight="1">
      <c r="C1069" s="9" t="s">
        <v>2515</v>
      </c>
      <c r="D1069" s="9" t="s">
        <v>1187</v>
      </c>
      <c r="E1069" s="9" t="s">
        <v>2081</v>
      </c>
      <c r="F1069" s="9" t="s">
        <v>2523</v>
      </c>
      <c r="H1069" s="9"/>
    </row>
    <row r="1070" ht="14.25" customHeight="1">
      <c r="C1070" s="9" t="s">
        <v>2515</v>
      </c>
      <c r="D1070" s="9" t="s">
        <v>1187</v>
      </c>
      <c r="E1070" s="9" t="s">
        <v>2081</v>
      </c>
      <c r="F1070" s="9" t="s">
        <v>2525</v>
      </c>
      <c r="H1070" s="9"/>
    </row>
    <row r="1071" ht="14.25" customHeight="1">
      <c r="C1071" s="9" t="s">
        <v>2515</v>
      </c>
      <c r="D1071" s="9" t="s">
        <v>1187</v>
      </c>
      <c r="E1071" s="9" t="s">
        <v>2081</v>
      </c>
      <c r="F1071" s="9" t="s">
        <v>2527</v>
      </c>
      <c r="H1071" s="9"/>
    </row>
    <row r="1072" ht="14.25" customHeight="1">
      <c r="C1072" s="9" t="s">
        <v>2515</v>
      </c>
      <c r="D1072" s="9" t="s">
        <v>1187</v>
      </c>
      <c r="E1072" s="9" t="s">
        <v>2081</v>
      </c>
      <c r="F1072" s="9" t="s">
        <v>2526</v>
      </c>
      <c r="H1072" s="9"/>
    </row>
    <row r="1073" ht="14.25" customHeight="1">
      <c r="C1073" s="9" t="s">
        <v>2515</v>
      </c>
      <c r="D1073" s="9" t="s">
        <v>1187</v>
      </c>
      <c r="E1073" s="9" t="s">
        <v>2081</v>
      </c>
      <c r="F1073" s="9" t="s">
        <v>2520</v>
      </c>
      <c r="H1073" s="9"/>
    </row>
    <row r="1074" ht="14.25" customHeight="1">
      <c r="C1074" s="9" t="s">
        <v>2482</v>
      </c>
      <c r="D1074" s="9" t="s">
        <v>1060</v>
      </c>
      <c r="E1074" s="9" t="s">
        <v>2081</v>
      </c>
      <c r="F1074" s="9" t="s">
        <v>2511</v>
      </c>
      <c r="H1074" s="9"/>
    </row>
    <row r="1075" ht="14.25" customHeight="1">
      <c r="C1075" s="9" t="s">
        <v>2482</v>
      </c>
      <c r="D1075" s="9" t="s">
        <v>1060</v>
      </c>
      <c r="E1075" s="9" t="s">
        <v>2081</v>
      </c>
      <c r="F1075" s="9" t="s">
        <v>2507</v>
      </c>
      <c r="H1075" s="9"/>
    </row>
    <row r="1076" ht="14.25" customHeight="1">
      <c r="C1076" s="9" t="s">
        <v>2482</v>
      </c>
      <c r="D1076" s="9" t="s">
        <v>1060</v>
      </c>
      <c r="E1076" s="9" t="s">
        <v>2081</v>
      </c>
      <c r="F1076" s="9" t="s">
        <v>2506</v>
      </c>
      <c r="H1076" s="9"/>
    </row>
    <row r="1077" ht="14.25" customHeight="1">
      <c r="C1077" s="9" t="s">
        <v>2482</v>
      </c>
      <c r="D1077" s="9" t="s">
        <v>1060</v>
      </c>
      <c r="E1077" s="9" t="s">
        <v>2081</v>
      </c>
      <c r="F1077" s="9" t="s">
        <v>2509</v>
      </c>
      <c r="H1077" s="9"/>
    </row>
    <row r="1078" ht="14.25" customHeight="1">
      <c r="C1078" s="9" t="s">
        <v>2482</v>
      </c>
      <c r="D1078" s="9" t="s">
        <v>1060</v>
      </c>
      <c r="E1078" s="9" t="s">
        <v>2081</v>
      </c>
      <c r="F1078" s="9" t="s">
        <v>2512</v>
      </c>
      <c r="H1078" s="9"/>
    </row>
    <row r="1079" ht="14.25" customHeight="1">
      <c r="C1079" s="9" t="s">
        <v>2482</v>
      </c>
      <c r="D1079" s="9" t="s">
        <v>1060</v>
      </c>
      <c r="E1079" s="9" t="s">
        <v>2081</v>
      </c>
      <c r="F1079" s="9" t="s">
        <v>2483</v>
      </c>
      <c r="H1079" s="9"/>
    </row>
    <row r="1080" ht="14.25" customHeight="1">
      <c r="C1080" s="9" t="s">
        <v>2482</v>
      </c>
      <c r="D1080" s="9" t="s">
        <v>1060</v>
      </c>
      <c r="E1080" s="9" t="s">
        <v>2081</v>
      </c>
      <c r="F1080" s="9" t="s">
        <v>2508</v>
      </c>
      <c r="H1080" s="9"/>
    </row>
    <row r="1081" ht="14.25" customHeight="1">
      <c r="C1081" s="9" t="s">
        <v>2482</v>
      </c>
      <c r="D1081" s="9" t="s">
        <v>1060</v>
      </c>
      <c r="E1081" s="9" t="s">
        <v>2081</v>
      </c>
      <c r="F1081" s="9" t="s">
        <v>2487</v>
      </c>
      <c r="H1081" s="9"/>
    </row>
    <row r="1082" ht="14.25" customHeight="1">
      <c r="C1082" s="9" t="s">
        <v>2482</v>
      </c>
      <c r="D1082" s="9" t="s">
        <v>1060</v>
      </c>
      <c r="E1082" s="9" t="s">
        <v>2081</v>
      </c>
      <c r="F1082" s="9" t="s">
        <v>2513</v>
      </c>
      <c r="H1082" s="9"/>
    </row>
    <row r="1083" ht="14.25" customHeight="1">
      <c r="C1083" s="9" t="s">
        <v>2482</v>
      </c>
      <c r="D1083" s="9" t="s">
        <v>1060</v>
      </c>
      <c r="E1083" s="9" t="s">
        <v>2081</v>
      </c>
      <c r="F1083" s="9" t="s">
        <v>2514</v>
      </c>
      <c r="H1083" s="9"/>
    </row>
    <row r="1084" ht="14.25" customHeight="1">
      <c r="C1084" s="9" t="s">
        <v>2781</v>
      </c>
      <c r="D1084" s="9" t="s">
        <v>2782</v>
      </c>
      <c r="E1084" s="9" t="s">
        <v>2783</v>
      </c>
      <c r="F1084" s="9" t="s">
        <v>2784</v>
      </c>
      <c r="H1084" s="9"/>
    </row>
    <row r="1085" ht="14.25" customHeight="1">
      <c r="C1085" s="9" t="s">
        <v>2781</v>
      </c>
      <c r="D1085" s="9" t="s">
        <v>2782</v>
      </c>
      <c r="E1085" s="9" t="s">
        <v>2783</v>
      </c>
      <c r="F1085" s="9" t="s">
        <v>2785</v>
      </c>
      <c r="H1085" s="9"/>
    </row>
    <row r="1086" ht="14.25" customHeight="1">
      <c r="C1086" s="9" t="s">
        <v>2781</v>
      </c>
      <c r="D1086" s="9" t="s">
        <v>2782</v>
      </c>
      <c r="E1086" s="9" t="s">
        <v>2783</v>
      </c>
      <c r="F1086" s="9" t="s">
        <v>2786</v>
      </c>
      <c r="H1086" s="9"/>
    </row>
    <row r="1087" ht="14.25" customHeight="1">
      <c r="C1087" s="9" t="s">
        <v>2781</v>
      </c>
      <c r="D1087" s="9" t="s">
        <v>2782</v>
      </c>
      <c r="E1087" s="9" t="s">
        <v>2783</v>
      </c>
      <c r="F1087" s="9" t="s">
        <v>2787</v>
      </c>
      <c r="H1087" s="9"/>
    </row>
    <row r="1088" ht="14.25" customHeight="1">
      <c r="C1088" s="9" t="s">
        <v>2781</v>
      </c>
      <c r="D1088" s="9" t="s">
        <v>2782</v>
      </c>
      <c r="E1088" s="9" t="s">
        <v>2783</v>
      </c>
      <c r="F1088" s="9" t="s">
        <v>2788</v>
      </c>
      <c r="H1088" s="9"/>
    </row>
    <row r="1089" ht="14.25" customHeight="1">
      <c r="C1089" s="9" t="s">
        <v>2781</v>
      </c>
      <c r="D1089" s="9" t="s">
        <v>2789</v>
      </c>
      <c r="E1089" s="9" t="s">
        <v>2783</v>
      </c>
      <c r="F1089" s="9" t="s">
        <v>2790</v>
      </c>
      <c r="H1089" s="9"/>
    </row>
    <row r="1090" ht="14.25" customHeight="1">
      <c r="C1090" s="9" t="s">
        <v>2781</v>
      </c>
      <c r="D1090" s="9" t="s">
        <v>2789</v>
      </c>
      <c r="E1090" s="9" t="s">
        <v>2783</v>
      </c>
      <c r="F1090" s="9" t="s">
        <v>2791</v>
      </c>
      <c r="H1090" s="9"/>
    </row>
    <row r="1091" ht="14.25" customHeight="1">
      <c r="C1091" s="9" t="s">
        <v>2781</v>
      </c>
      <c r="D1091" s="9" t="s">
        <v>2789</v>
      </c>
      <c r="E1091" s="9" t="s">
        <v>2783</v>
      </c>
      <c r="F1091" s="9" t="s">
        <v>2792</v>
      </c>
      <c r="H1091" s="9"/>
    </row>
    <row r="1092" ht="14.25" customHeight="1">
      <c r="C1092" s="9" t="s">
        <v>2781</v>
      </c>
      <c r="D1092" s="9" t="s">
        <v>2789</v>
      </c>
      <c r="E1092" s="9" t="s">
        <v>2783</v>
      </c>
      <c r="F1092" s="9" t="s">
        <v>2793</v>
      </c>
      <c r="H1092" s="9"/>
    </row>
    <row r="1093" ht="14.25" customHeight="1">
      <c r="C1093" s="9" t="s">
        <v>2781</v>
      </c>
      <c r="D1093" s="9" t="s">
        <v>2789</v>
      </c>
      <c r="E1093" s="9" t="s">
        <v>2783</v>
      </c>
      <c r="F1093" s="9" t="s">
        <v>2794</v>
      </c>
      <c r="H1093" s="9"/>
    </row>
    <row r="1094" ht="14.25" customHeight="1">
      <c r="C1094" s="9" t="s">
        <v>2781</v>
      </c>
      <c r="D1094" s="9" t="s">
        <v>2789</v>
      </c>
      <c r="E1094" s="9" t="s">
        <v>2783</v>
      </c>
      <c r="F1094" s="9" t="s">
        <v>2795</v>
      </c>
      <c r="H1094" s="9"/>
    </row>
    <row r="1095" ht="14.25" customHeight="1">
      <c r="C1095" s="9" t="s">
        <v>2781</v>
      </c>
      <c r="D1095" s="9" t="s">
        <v>2789</v>
      </c>
      <c r="E1095" s="9" t="s">
        <v>2783</v>
      </c>
      <c r="F1095" s="9" t="s">
        <v>2796</v>
      </c>
      <c r="H1095" s="9"/>
    </row>
    <row r="1096" ht="14.25" customHeight="1">
      <c r="C1096" s="9" t="s">
        <v>2781</v>
      </c>
      <c r="D1096" s="9" t="s">
        <v>2789</v>
      </c>
      <c r="E1096" s="9" t="s">
        <v>2783</v>
      </c>
      <c r="F1096" s="9" t="s">
        <v>2797</v>
      </c>
      <c r="H1096" s="9"/>
    </row>
    <row r="1097" ht="14.25" customHeight="1">
      <c r="C1097" s="9" t="s">
        <v>2781</v>
      </c>
      <c r="D1097" s="9" t="s">
        <v>2789</v>
      </c>
      <c r="E1097" s="9" t="s">
        <v>2783</v>
      </c>
      <c r="F1097" s="9" t="s">
        <v>2798</v>
      </c>
      <c r="H1097" s="9"/>
    </row>
    <row r="1098" ht="14.25" customHeight="1">
      <c r="C1098" s="9" t="s">
        <v>2781</v>
      </c>
      <c r="D1098" s="9" t="s">
        <v>2789</v>
      </c>
      <c r="E1098" s="9" t="s">
        <v>2783</v>
      </c>
      <c r="F1098" s="9" t="s">
        <v>2799</v>
      </c>
      <c r="H1098" s="9"/>
    </row>
    <row r="1099" ht="14.25" customHeight="1">
      <c r="C1099" s="9" t="s">
        <v>2781</v>
      </c>
      <c r="D1099" s="9" t="s">
        <v>2789</v>
      </c>
      <c r="E1099" s="9" t="s">
        <v>2783</v>
      </c>
      <c r="F1099" s="9" t="s">
        <v>2800</v>
      </c>
      <c r="H1099" s="9"/>
    </row>
    <row r="1100" ht="14.25" customHeight="1">
      <c r="C1100" s="9" t="s">
        <v>2781</v>
      </c>
      <c r="D1100" s="9" t="s">
        <v>2789</v>
      </c>
      <c r="E1100" s="9" t="s">
        <v>2783</v>
      </c>
      <c r="F1100" s="9" t="s">
        <v>2801</v>
      </c>
      <c r="H1100" s="9"/>
    </row>
    <row r="1101" ht="14.25" customHeight="1">
      <c r="C1101" s="9" t="s">
        <v>2781</v>
      </c>
      <c r="D1101" s="9" t="s">
        <v>2789</v>
      </c>
      <c r="E1101" s="9" t="s">
        <v>2783</v>
      </c>
      <c r="F1101" s="9" t="s">
        <v>2802</v>
      </c>
      <c r="H1101" s="9"/>
    </row>
    <row r="1102" ht="14.25" customHeight="1">
      <c r="C1102" s="9" t="s">
        <v>2781</v>
      </c>
      <c r="D1102" s="9" t="s">
        <v>2789</v>
      </c>
      <c r="E1102" s="9" t="s">
        <v>2783</v>
      </c>
      <c r="F1102" s="9" t="s">
        <v>2803</v>
      </c>
      <c r="H1102" s="9"/>
    </row>
    <row r="1103" ht="14.25" customHeight="1">
      <c r="C1103" s="9" t="s">
        <v>2781</v>
      </c>
      <c r="D1103" s="9" t="s">
        <v>2789</v>
      </c>
      <c r="E1103" s="9" t="s">
        <v>2783</v>
      </c>
      <c r="F1103" s="9" t="s">
        <v>2804</v>
      </c>
      <c r="H1103" s="9"/>
    </row>
    <row r="1104" ht="14.25" customHeight="1">
      <c r="C1104" s="9" t="s">
        <v>2781</v>
      </c>
      <c r="D1104" s="9" t="s">
        <v>2789</v>
      </c>
      <c r="E1104" s="9" t="s">
        <v>2783</v>
      </c>
      <c r="F1104" s="9" t="s">
        <v>2805</v>
      </c>
      <c r="H1104" s="9"/>
    </row>
    <row r="1105" ht="14.25" customHeight="1">
      <c r="C1105" s="9" t="s">
        <v>2781</v>
      </c>
      <c r="D1105" s="9" t="s">
        <v>2789</v>
      </c>
      <c r="E1105" s="9" t="s">
        <v>2783</v>
      </c>
      <c r="F1105" s="9" t="s">
        <v>2806</v>
      </c>
      <c r="H1105" s="9"/>
    </row>
    <row r="1106" ht="14.25" customHeight="1">
      <c r="C1106" s="9" t="s">
        <v>2781</v>
      </c>
      <c r="D1106" s="9" t="s">
        <v>2789</v>
      </c>
      <c r="E1106" s="9" t="s">
        <v>2783</v>
      </c>
      <c r="F1106" s="9" t="s">
        <v>2807</v>
      </c>
      <c r="H1106" s="9"/>
    </row>
    <row r="1107" ht="14.25" customHeight="1">
      <c r="C1107" s="9" t="s">
        <v>2781</v>
      </c>
      <c r="D1107" s="9" t="s">
        <v>2808</v>
      </c>
      <c r="E1107" s="9" t="s">
        <v>2783</v>
      </c>
      <c r="F1107" s="9" t="s">
        <v>2809</v>
      </c>
      <c r="H1107" s="9"/>
    </row>
    <row r="1108" ht="14.25" customHeight="1">
      <c r="C1108" s="9" t="s">
        <v>2781</v>
      </c>
      <c r="D1108" s="9" t="s">
        <v>2808</v>
      </c>
      <c r="E1108" s="9" t="s">
        <v>2783</v>
      </c>
      <c r="F1108" s="9" t="s">
        <v>2810</v>
      </c>
      <c r="H1108" s="9"/>
    </row>
    <row r="1109" ht="14.25" customHeight="1">
      <c r="C1109" s="9" t="s">
        <v>2781</v>
      </c>
      <c r="D1109" s="9" t="s">
        <v>2808</v>
      </c>
      <c r="E1109" s="9" t="s">
        <v>2783</v>
      </c>
      <c r="F1109" s="9" t="s">
        <v>2811</v>
      </c>
      <c r="H1109" s="9"/>
    </row>
    <row r="1110" ht="14.25" customHeight="1">
      <c r="C1110" s="9" t="s">
        <v>2781</v>
      </c>
      <c r="D1110" s="9" t="s">
        <v>2808</v>
      </c>
      <c r="E1110" s="9" t="s">
        <v>2783</v>
      </c>
      <c r="F1110" s="9" t="s">
        <v>2812</v>
      </c>
      <c r="H1110" s="9"/>
    </row>
    <row r="1111" ht="14.25" customHeight="1">
      <c r="C1111" s="9" t="s">
        <v>2781</v>
      </c>
      <c r="D1111" s="9" t="s">
        <v>2813</v>
      </c>
      <c r="E1111" s="9" t="s">
        <v>2783</v>
      </c>
      <c r="F1111" s="9" t="s">
        <v>2814</v>
      </c>
      <c r="H1111" s="9"/>
    </row>
    <row r="1112" ht="14.25" customHeight="1">
      <c r="C1112" s="9" t="s">
        <v>2781</v>
      </c>
      <c r="D1112" s="9" t="s">
        <v>2815</v>
      </c>
      <c r="E1112" s="9" t="s">
        <v>2783</v>
      </c>
      <c r="F1112" s="9" t="s">
        <v>2816</v>
      </c>
      <c r="H1112" s="9"/>
    </row>
    <row r="1113" ht="14.25" customHeight="1">
      <c r="C1113" s="9" t="s">
        <v>2781</v>
      </c>
      <c r="D1113" s="9" t="s">
        <v>2815</v>
      </c>
      <c r="E1113" s="9" t="s">
        <v>2783</v>
      </c>
      <c r="F1113" s="9" t="s">
        <v>2817</v>
      </c>
      <c r="H1113" s="9"/>
    </row>
    <row r="1114" ht="14.25" customHeight="1">
      <c r="C1114" s="9" t="s">
        <v>2781</v>
      </c>
      <c r="D1114" s="9" t="s">
        <v>2815</v>
      </c>
      <c r="E1114" s="9" t="s">
        <v>2783</v>
      </c>
      <c r="F1114" s="9" t="s">
        <v>2818</v>
      </c>
      <c r="H1114" s="9"/>
    </row>
    <row r="1115" ht="14.25" customHeight="1">
      <c r="C1115" s="9" t="s">
        <v>2781</v>
      </c>
      <c r="D1115" s="9" t="s">
        <v>2815</v>
      </c>
      <c r="E1115" s="9" t="s">
        <v>2783</v>
      </c>
      <c r="F1115" s="9" t="s">
        <v>2819</v>
      </c>
      <c r="H1115" s="9"/>
    </row>
    <row r="1116" ht="14.25" customHeight="1">
      <c r="C1116" s="9" t="s">
        <v>2781</v>
      </c>
      <c r="D1116" s="9" t="s">
        <v>2815</v>
      </c>
      <c r="E1116" s="9" t="s">
        <v>2783</v>
      </c>
      <c r="F1116" s="9" t="s">
        <v>2820</v>
      </c>
      <c r="H1116" s="9"/>
    </row>
    <row r="1117" ht="14.25" customHeight="1">
      <c r="C1117" s="9" t="s">
        <v>2781</v>
      </c>
      <c r="D1117" s="9" t="s">
        <v>2815</v>
      </c>
      <c r="E1117" s="9" t="s">
        <v>2783</v>
      </c>
      <c r="F1117" s="9" t="s">
        <v>2821</v>
      </c>
      <c r="H1117" s="9"/>
    </row>
    <row r="1118" ht="14.25" customHeight="1">
      <c r="C1118" s="9" t="s">
        <v>2781</v>
      </c>
      <c r="D1118" s="9" t="s">
        <v>2815</v>
      </c>
      <c r="E1118" s="9" t="s">
        <v>2783</v>
      </c>
      <c r="F1118" s="9" t="s">
        <v>2822</v>
      </c>
      <c r="H1118" s="9"/>
    </row>
    <row r="1119" ht="14.25" customHeight="1">
      <c r="C1119" s="9" t="s">
        <v>2781</v>
      </c>
      <c r="D1119" s="9" t="s">
        <v>2815</v>
      </c>
      <c r="E1119" s="9" t="s">
        <v>2783</v>
      </c>
      <c r="F1119" s="9" t="s">
        <v>2823</v>
      </c>
      <c r="H1119" s="9"/>
    </row>
    <row r="1120" ht="14.25" customHeight="1">
      <c r="C1120" s="9" t="s">
        <v>2781</v>
      </c>
      <c r="D1120" s="9" t="s">
        <v>2815</v>
      </c>
      <c r="E1120" s="9" t="s">
        <v>2783</v>
      </c>
      <c r="F1120" s="9" t="s">
        <v>2824</v>
      </c>
      <c r="H1120" s="9"/>
    </row>
    <row r="1121" ht="14.25" customHeight="1">
      <c r="C1121" s="9" t="s">
        <v>2781</v>
      </c>
      <c r="D1121" s="9" t="s">
        <v>2815</v>
      </c>
      <c r="E1121" s="9" t="s">
        <v>2783</v>
      </c>
      <c r="F1121" s="9" t="s">
        <v>2825</v>
      </c>
      <c r="H1121" s="9"/>
    </row>
    <row r="1122" ht="14.25" customHeight="1">
      <c r="C1122" s="9" t="s">
        <v>2781</v>
      </c>
      <c r="D1122" s="9" t="s">
        <v>2815</v>
      </c>
      <c r="E1122" s="9" t="s">
        <v>2783</v>
      </c>
      <c r="F1122" s="9" t="s">
        <v>2826</v>
      </c>
      <c r="H1122" s="9"/>
    </row>
    <row r="1123" ht="14.25" customHeight="1">
      <c r="C1123" s="9" t="s">
        <v>2781</v>
      </c>
      <c r="D1123" s="9" t="s">
        <v>2815</v>
      </c>
      <c r="E1123" s="9" t="s">
        <v>2783</v>
      </c>
      <c r="F1123" s="9" t="s">
        <v>2827</v>
      </c>
      <c r="H1123" s="9"/>
    </row>
    <row r="1124" ht="14.25" customHeight="1">
      <c r="C1124" s="9" t="s">
        <v>2781</v>
      </c>
      <c r="D1124" s="9" t="s">
        <v>2815</v>
      </c>
      <c r="E1124" s="9" t="s">
        <v>2783</v>
      </c>
      <c r="F1124" s="9" t="s">
        <v>2828</v>
      </c>
      <c r="H1124" s="9"/>
    </row>
    <row r="1125" ht="14.25" customHeight="1">
      <c r="C1125" s="9" t="s">
        <v>2781</v>
      </c>
      <c r="D1125" s="9" t="s">
        <v>2815</v>
      </c>
      <c r="E1125" s="9" t="s">
        <v>2783</v>
      </c>
      <c r="F1125" s="9" t="s">
        <v>2829</v>
      </c>
      <c r="H1125" s="9"/>
    </row>
    <row r="1126" ht="14.25" customHeight="1">
      <c r="C1126" s="9" t="s">
        <v>2781</v>
      </c>
      <c r="D1126" s="9" t="s">
        <v>2815</v>
      </c>
      <c r="E1126" s="9" t="s">
        <v>2783</v>
      </c>
      <c r="F1126" s="9" t="s">
        <v>2830</v>
      </c>
      <c r="H1126" s="9"/>
    </row>
    <row r="1127" ht="14.25" customHeight="1">
      <c r="C1127" s="9" t="s">
        <v>2781</v>
      </c>
      <c r="D1127" s="9" t="s">
        <v>2815</v>
      </c>
      <c r="E1127" s="9" t="s">
        <v>2783</v>
      </c>
      <c r="F1127" s="9" t="s">
        <v>2831</v>
      </c>
      <c r="H1127" s="9"/>
    </row>
    <row r="1128" ht="14.25" customHeight="1">
      <c r="C1128" s="9" t="s">
        <v>2781</v>
      </c>
      <c r="D1128" s="9" t="s">
        <v>2815</v>
      </c>
      <c r="E1128" s="9" t="s">
        <v>2783</v>
      </c>
      <c r="F1128" s="9" t="s">
        <v>2832</v>
      </c>
      <c r="H1128" s="9"/>
    </row>
    <row r="1129" ht="14.25" customHeight="1">
      <c r="C1129" s="9" t="s">
        <v>2781</v>
      </c>
      <c r="D1129" s="9" t="s">
        <v>2815</v>
      </c>
      <c r="E1129" s="9" t="s">
        <v>2783</v>
      </c>
      <c r="F1129" s="9" t="s">
        <v>2833</v>
      </c>
      <c r="H1129" s="9"/>
    </row>
    <row r="1130" ht="14.25" customHeight="1">
      <c r="C1130" s="9" t="s">
        <v>2781</v>
      </c>
      <c r="D1130" s="9" t="s">
        <v>2815</v>
      </c>
      <c r="E1130" s="9" t="s">
        <v>2783</v>
      </c>
      <c r="F1130" s="9" t="s">
        <v>2834</v>
      </c>
      <c r="H1130" s="9"/>
    </row>
    <row r="1131" ht="14.25" customHeight="1">
      <c r="C1131" s="9" t="s">
        <v>2781</v>
      </c>
      <c r="D1131" s="9" t="s">
        <v>2815</v>
      </c>
      <c r="E1131" s="9" t="s">
        <v>2783</v>
      </c>
      <c r="F1131" s="9" t="s">
        <v>2835</v>
      </c>
      <c r="H1131" s="9"/>
    </row>
    <row r="1132" ht="14.25" customHeight="1">
      <c r="C1132" s="9" t="s">
        <v>2781</v>
      </c>
      <c r="D1132" s="9" t="s">
        <v>2836</v>
      </c>
      <c r="E1132" s="9" t="s">
        <v>2783</v>
      </c>
      <c r="F1132" s="9" t="s">
        <v>2837</v>
      </c>
      <c r="H1132" s="9"/>
    </row>
    <row r="1133" ht="14.25" customHeight="1">
      <c r="C1133" s="9" t="s">
        <v>2781</v>
      </c>
      <c r="D1133" s="9" t="s">
        <v>2836</v>
      </c>
      <c r="E1133" s="9" t="s">
        <v>2783</v>
      </c>
      <c r="F1133" s="9" t="s">
        <v>2838</v>
      </c>
      <c r="H1133" s="9"/>
    </row>
    <row r="1134" ht="14.25" customHeight="1">
      <c r="C1134" s="9" t="s">
        <v>2781</v>
      </c>
      <c r="D1134" s="9" t="s">
        <v>2836</v>
      </c>
      <c r="E1134" s="9" t="s">
        <v>2783</v>
      </c>
      <c r="F1134" s="9" t="s">
        <v>2839</v>
      </c>
      <c r="H1134" s="9"/>
    </row>
    <row r="1135" ht="14.25" customHeight="1">
      <c r="C1135" s="9" t="s">
        <v>2840</v>
      </c>
      <c r="D1135" s="9" t="s">
        <v>2841</v>
      </c>
      <c r="E1135" s="9" t="s">
        <v>2783</v>
      </c>
      <c r="F1135" s="9" t="s">
        <v>2842</v>
      </c>
      <c r="H1135" s="9"/>
    </row>
    <row r="1136" ht="14.25" customHeight="1">
      <c r="C1136" s="9" t="s">
        <v>2840</v>
      </c>
      <c r="D1136" s="9" t="s">
        <v>2841</v>
      </c>
      <c r="E1136" s="9" t="s">
        <v>2783</v>
      </c>
      <c r="F1136" s="9" t="s">
        <v>2843</v>
      </c>
      <c r="H1136" s="9"/>
    </row>
    <row r="1137" ht="14.25" customHeight="1">
      <c r="C1137" s="9" t="s">
        <v>2840</v>
      </c>
      <c r="D1137" s="9" t="s">
        <v>2841</v>
      </c>
      <c r="E1137" s="9" t="s">
        <v>2783</v>
      </c>
      <c r="F1137" s="9" t="s">
        <v>2844</v>
      </c>
      <c r="H1137" s="9"/>
    </row>
    <row r="1138" ht="14.25" customHeight="1">
      <c r="C1138" s="9" t="s">
        <v>2840</v>
      </c>
      <c r="D1138" s="9" t="s">
        <v>2841</v>
      </c>
      <c r="E1138" s="9" t="s">
        <v>2783</v>
      </c>
      <c r="F1138" s="9" t="s">
        <v>2845</v>
      </c>
      <c r="H1138" s="9"/>
    </row>
    <row r="1139" ht="14.25" customHeight="1">
      <c r="C1139" s="9" t="s">
        <v>2840</v>
      </c>
      <c r="D1139" s="9" t="s">
        <v>2841</v>
      </c>
      <c r="E1139" s="9" t="s">
        <v>2783</v>
      </c>
      <c r="F1139" s="9" t="s">
        <v>2846</v>
      </c>
      <c r="H1139" s="9"/>
    </row>
    <row r="1140" ht="14.25" customHeight="1">
      <c r="C1140" s="9" t="s">
        <v>2840</v>
      </c>
      <c r="D1140" s="9" t="s">
        <v>2841</v>
      </c>
      <c r="E1140" s="9" t="s">
        <v>2783</v>
      </c>
      <c r="F1140" s="9" t="s">
        <v>2847</v>
      </c>
      <c r="H1140" s="9"/>
    </row>
    <row r="1141" ht="14.25" customHeight="1">
      <c r="C1141" s="9" t="s">
        <v>2840</v>
      </c>
      <c r="D1141" s="9" t="s">
        <v>2841</v>
      </c>
      <c r="E1141" s="9" t="s">
        <v>2783</v>
      </c>
      <c r="F1141" s="9" t="s">
        <v>2848</v>
      </c>
      <c r="H1141" s="9"/>
    </row>
    <row r="1142" ht="14.25" customHeight="1">
      <c r="C1142" s="9" t="s">
        <v>2840</v>
      </c>
      <c r="D1142" s="9" t="s">
        <v>2841</v>
      </c>
      <c r="E1142" s="9" t="s">
        <v>2783</v>
      </c>
      <c r="F1142" s="9" t="s">
        <v>2849</v>
      </c>
      <c r="H1142" s="9"/>
    </row>
    <row r="1143" ht="14.25" customHeight="1">
      <c r="C1143" s="9" t="s">
        <v>2840</v>
      </c>
      <c r="D1143" s="9" t="s">
        <v>2841</v>
      </c>
      <c r="E1143" s="9" t="s">
        <v>2783</v>
      </c>
      <c r="F1143" s="9" t="s">
        <v>2850</v>
      </c>
      <c r="H1143" s="9"/>
    </row>
    <row r="1144" ht="14.25" customHeight="1">
      <c r="C1144" s="9" t="s">
        <v>2840</v>
      </c>
      <c r="D1144" s="9" t="s">
        <v>2841</v>
      </c>
      <c r="E1144" s="9" t="s">
        <v>2783</v>
      </c>
      <c r="F1144" s="9" t="s">
        <v>2851</v>
      </c>
      <c r="H1144" s="9"/>
    </row>
    <row r="1145" ht="14.25" customHeight="1">
      <c r="C1145" s="9" t="s">
        <v>2840</v>
      </c>
      <c r="D1145" s="9" t="s">
        <v>2841</v>
      </c>
      <c r="E1145" s="9" t="s">
        <v>2783</v>
      </c>
      <c r="F1145" s="9" t="s">
        <v>2852</v>
      </c>
      <c r="H1145" s="9"/>
    </row>
    <row r="1146" ht="14.25" customHeight="1">
      <c r="C1146" s="9" t="s">
        <v>2840</v>
      </c>
      <c r="D1146" s="9" t="s">
        <v>2841</v>
      </c>
      <c r="E1146" s="9" t="s">
        <v>2783</v>
      </c>
      <c r="F1146" s="9" t="s">
        <v>2853</v>
      </c>
      <c r="H1146" s="9"/>
    </row>
    <row r="1147" ht="14.25" customHeight="1">
      <c r="C1147" s="9" t="s">
        <v>2840</v>
      </c>
      <c r="D1147" s="9" t="s">
        <v>2841</v>
      </c>
      <c r="E1147" s="9" t="s">
        <v>2783</v>
      </c>
      <c r="F1147" s="9" t="s">
        <v>2854</v>
      </c>
      <c r="H1147" s="9"/>
    </row>
    <row r="1148" ht="14.25" customHeight="1">
      <c r="C1148" s="9" t="s">
        <v>2840</v>
      </c>
      <c r="D1148" s="9" t="s">
        <v>2841</v>
      </c>
      <c r="E1148" s="9" t="s">
        <v>2783</v>
      </c>
      <c r="F1148" s="9" t="s">
        <v>2855</v>
      </c>
      <c r="H1148" s="9"/>
    </row>
    <row r="1149" ht="14.25" customHeight="1">
      <c r="C1149" s="9" t="s">
        <v>2840</v>
      </c>
      <c r="D1149" s="9" t="s">
        <v>2841</v>
      </c>
      <c r="E1149" s="9" t="s">
        <v>2783</v>
      </c>
      <c r="F1149" s="9" t="s">
        <v>2856</v>
      </c>
      <c r="H1149" s="9"/>
    </row>
    <row r="1150" ht="14.25" customHeight="1">
      <c r="C1150" s="9" t="s">
        <v>2840</v>
      </c>
      <c r="D1150" s="9" t="s">
        <v>2841</v>
      </c>
      <c r="E1150" s="9" t="s">
        <v>2783</v>
      </c>
      <c r="F1150" s="9" t="s">
        <v>2857</v>
      </c>
      <c r="H1150" s="9"/>
    </row>
    <row r="1151" ht="14.25" customHeight="1">
      <c r="C1151" s="9" t="s">
        <v>2840</v>
      </c>
      <c r="D1151" s="9" t="s">
        <v>2841</v>
      </c>
      <c r="E1151" s="9" t="s">
        <v>2783</v>
      </c>
      <c r="F1151" s="9" t="s">
        <v>2858</v>
      </c>
      <c r="H1151" s="9"/>
    </row>
    <row r="1152" ht="14.25" customHeight="1">
      <c r="C1152" s="9" t="s">
        <v>2840</v>
      </c>
      <c r="D1152" s="9" t="s">
        <v>2841</v>
      </c>
      <c r="E1152" s="9" t="s">
        <v>2783</v>
      </c>
      <c r="F1152" s="9" t="s">
        <v>2859</v>
      </c>
      <c r="H1152" s="9"/>
    </row>
    <row r="1153" ht="14.25" customHeight="1">
      <c r="C1153" s="9" t="s">
        <v>2840</v>
      </c>
      <c r="D1153" s="9" t="s">
        <v>2841</v>
      </c>
      <c r="E1153" s="9" t="s">
        <v>2783</v>
      </c>
      <c r="F1153" s="9" t="s">
        <v>2860</v>
      </c>
      <c r="H1153" s="9"/>
    </row>
    <row r="1154" ht="14.25" customHeight="1">
      <c r="C1154" s="9" t="s">
        <v>2840</v>
      </c>
      <c r="D1154" s="9" t="s">
        <v>2841</v>
      </c>
      <c r="E1154" s="9" t="s">
        <v>2783</v>
      </c>
      <c r="F1154" s="9" t="s">
        <v>2861</v>
      </c>
      <c r="H1154" s="9"/>
    </row>
    <row r="1155" ht="14.25" customHeight="1">
      <c r="C1155" s="9" t="s">
        <v>2840</v>
      </c>
      <c r="D1155" s="9" t="s">
        <v>2841</v>
      </c>
      <c r="E1155" s="9" t="s">
        <v>2783</v>
      </c>
      <c r="F1155" s="9" t="s">
        <v>2862</v>
      </c>
      <c r="H1155" s="9"/>
    </row>
    <row r="1156" ht="14.25" customHeight="1">
      <c r="C1156" s="9" t="s">
        <v>2840</v>
      </c>
      <c r="D1156" s="9" t="s">
        <v>2841</v>
      </c>
      <c r="E1156" s="9" t="s">
        <v>2783</v>
      </c>
      <c r="F1156" s="9" t="s">
        <v>2863</v>
      </c>
      <c r="H1156" s="9"/>
    </row>
    <row r="1157" ht="14.25" customHeight="1">
      <c r="C1157" s="9" t="s">
        <v>2840</v>
      </c>
      <c r="D1157" s="9" t="s">
        <v>2841</v>
      </c>
      <c r="E1157" s="9" t="s">
        <v>2783</v>
      </c>
      <c r="F1157" s="9" t="s">
        <v>2864</v>
      </c>
      <c r="H1157" s="9"/>
    </row>
    <row r="1158" ht="14.25" customHeight="1">
      <c r="C1158" s="9" t="s">
        <v>2840</v>
      </c>
      <c r="D1158" s="9" t="s">
        <v>2841</v>
      </c>
      <c r="E1158" s="9" t="s">
        <v>2783</v>
      </c>
      <c r="F1158" s="9" t="s">
        <v>2865</v>
      </c>
      <c r="H1158" s="9"/>
    </row>
    <row r="1159" ht="14.25" customHeight="1">
      <c r="C1159" s="9" t="s">
        <v>2840</v>
      </c>
      <c r="D1159" s="9" t="s">
        <v>2841</v>
      </c>
      <c r="E1159" s="9" t="s">
        <v>2783</v>
      </c>
      <c r="F1159" s="9" t="s">
        <v>2866</v>
      </c>
      <c r="H1159" s="9"/>
    </row>
    <row r="1160" ht="14.25" customHeight="1">
      <c r="C1160" s="9" t="s">
        <v>2840</v>
      </c>
      <c r="D1160" s="9" t="s">
        <v>2841</v>
      </c>
      <c r="E1160" s="9" t="s">
        <v>2783</v>
      </c>
      <c r="F1160" s="9" t="s">
        <v>2867</v>
      </c>
      <c r="H1160" s="9"/>
    </row>
    <row r="1161" ht="14.25" customHeight="1">
      <c r="C1161" s="9" t="s">
        <v>2840</v>
      </c>
      <c r="D1161" s="9" t="s">
        <v>2841</v>
      </c>
      <c r="E1161" s="9" t="s">
        <v>2783</v>
      </c>
      <c r="F1161" s="9" t="s">
        <v>2868</v>
      </c>
      <c r="H1161" s="9"/>
    </row>
    <row r="1162" ht="14.25" customHeight="1">
      <c r="C1162" s="9" t="s">
        <v>2840</v>
      </c>
      <c r="D1162" s="9" t="s">
        <v>2841</v>
      </c>
      <c r="E1162" s="9" t="s">
        <v>2783</v>
      </c>
      <c r="F1162" s="9" t="s">
        <v>2869</v>
      </c>
      <c r="H1162" s="9"/>
    </row>
    <row r="1163" ht="14.25" customHeight="1">
      <c r="C1163" s="9" t="s">
        <v>2840</v>
      </c>
      <c r="D1163" s="9" t="s">
        <v>2841</v>
      </c>
      <c r="E1163" s="9" t="s">
        <v>2783</v>
      </c>
      <c r="F1163" s="9" t="s">
        <v>2870</v>
      </c>
      <c r="H1163" s="9"/>
    </row>
    <row r="1164" ht="14.25" customHeight="1">
      <c r="C1164" s="9" t="s">
        <v>2840</v>
      </c>
      <c r="D1164" s="9" t="s">
        <v>2841</v>
      </c>
      <c r="E1164" s="9" t="s">
        <v>2783</v>
      </c>
      <c r="F1164" s="9" t="s">
        <v>2871</v>
      </c>
      <c r="H1164" s="9"/>
    </row>
    <row r="1165" ht="14.25" customHeight="1">
      <c r="C1165" s="9" t="s">
        <v>2840</v>
      </c>
      <c r="D1165" s="9" t="s">
        <v>2841</v>
      </c>
      <c r="E1165" s="9" t="s">
        <v>2783</v>
      </c>
      <c r="F1165" s="9" t="s">
        <v>2872</v>
      </c>
      <c r="H1165" s="9"/>
    </row>
    <row r="1166" ht="14.25" customHeight="1">
      <c r="C1166" s="9" t="s">
        <v>2840</v>
      </c>
      <c r="D1166" s="9" t="s">
        <v>2841</v>
      </c>
      <c r="E1166" s="9" t="s">
        <v>2783</v>
      </c>
      <c r="F1166" s="9" t="s">
        <v>2873</v>
      </c>
      <c r="H1166" s="9"/>
    </row>
    <row r="1167" ht="14.25" customHeight="1">
      <c r="C1167" s="9" t="s">
        <v>2840</v>
      </c>
      <c r="D1167" s="9" t="s">
        <v>2841</v>
      </c>
      <c r="E1167" s="9" t="s">
        <v>2783</v>
      </c>
      <c r="F1167" s="9" t="s">
        <v>2874</v>
      </c>
      <c r="H1167" s="9"/>
    </row>
    <row r="1168" ht="14.25" customHeight="1">
      <c r="C1168" s="9" t="s">
        <v>2840</v>
      </c>
      <c r="D1168" s="9" t="s">
        <v>2841</v>
      </c>
      <c r="E1168" s="9" t="s">
        <v>2783</v>
      </c>
      <c r="F1168" s="9" t="s">
        <v>2875</v>
      </c>
      <c r="H1168" s="9"/>
    </row>
    <row r="1169" ht="14.25" customHeight="1">
      <c r="C1169" s="9" t="s">
        <v>2840</v>
      </c>
      <c r="D1169" s="9" t="s">
        <v>2841</v>
      </c>
      <c r="E1169" s="9" t="s">
        <v>2783</v>
      </c>
      <c r="F1169" s="9" t="s">
        <v>2876</v>
      </c>
      <c r="H1169" s="9"/>
    </row>
    <row r="1170" ht="14.25" customHeight="1">
      <c r="C1170" s="9" t="s">
        <v>2840</v>
      </c>
      <c r="D1170" s="9" t="s">
        <v>2841</v>
      </c>
      <c r="E1170" s="9" t="s">
        <v>2783</v>
      </c>
      <c r="F1170" s="9" t="s">
        <v>2877</v>
      </c>
      <c r="H1170" s="9"/>
    </row>
    <row r="1171" ht="14.25" customHeight="1">
      <c r="C1171" s="9" t="s">
        <v>2840</v>
      </c>
      <c r="D1171" s="9" t="s">
        <v>2841</v>
      </c>
      <c r="E1171" s="9" t="s">
        <v>2783</v>
      </c>
      <c r="F1171" s="9" t="s">
        <v>2878</v>
      </c>
      <c r="H1171" s="9"/>
    </row>
    <row r="1172" ht="14.25" customHeight="1">
      <c r="C1172" s="9" t="s">
        <v>2840</v>
      </c>
      <c r="D1172" s="9" t="s">
        <v>2841</v>
      </c>
      <c r="E1172" s="9" t="s">
        <v>2783</v>
      </c>
      <c r="F1172" s="9" t="s">
        <v>2879</v>
      </c>
      <c r="H1172" s="9"/>
    </row>
    <row r="1173" ht="14.25" customHeight="1">
      <c r="C1173" s="9" t="s">
        <v>2840</v>
      </c>
      <c r="D1173" s="9" t="s">
        <v>2841</v>
      </c>
      <c r="E1173" s="9" t="s">
        <v>2783</v>
      </c>
      <c r="F1173" s="9" t="s">
        <v>2880</v>
      </c>
      <c r="H1173" s="9"/>
    </row>
    <row r="1174" ht="14.25" customHeight="1">
      <c r="C1174" s="9" t="s">
        <v>2840</v>
      </c>
      <c r="D1174" s="9" t="s">
        <v>2841</v>
      </c>
      <c r="E1174" s="9" t="s">
        <v>2783</v>
      </c>
      <c r="F1174" s="9" t="s">
        <v>2881</v>
      </c>
      <c r="H1174" s="9"/>
    </row>
    <row r="1175" ht="14.25" customHeight="1">
      <c r="C1175" s="9" t="s">
        <v>2882</v>
      </c>
      <c r="D1175" s="9" t="s">
        <v>2883</v>
      </c>
      <c r="E1175" s="9" t="s">
        <v>2783</v>
      </c>
      <c r="F1175" s="9" t="s">
        <v>2884</v>
      </c>
      <c r="H1175" s="9"/>
    </row>
    <row r="1176" ht="14.25" customHeight="1">
      <c r="C1176" s="9" t="s">
        <v>2882</v>
      </c>
      <c r="D1176" s="9" t="s">
        <v>2883</v>
      </c>
      <c r="E1176" s="9" t="s">
        <v>2783</v>
      </c>
      <c r="F1176" s="9" t="s">
        <v>2885</v>
      </c>
      <c r="H1176" s="9"/>
    </row>
    <row r="1177" ht="14.25" customHeight="1">
      <c r="C1177" s="9" t="s">
        <v>2882</v>
      </c>
      <c r="D1177" s="9" t="s">
        <v>2883</v>
      </c>
      <c r="E1177" s="9" t="s">
        <v>2783</v>
      </c>
      <c r="F1177" s="9" t="s">
        <v>2886</v>
      </c>
      <c r="H1177" s="9"/>
    </row>
    <row r="1178" ht="14.25" customHeight="1">
      <c r="C1178" s="9" t="s">
        <v>2882</v>
      </c>
      <c r="D1178" s="9" t="s">
        <v>2883</v>
      </c>
      <c r="E1178" s="9" t="s">
        <v>2783</v>
      </c>
      <c r="F1178" s="9" t="s">
        <v>2887</v>
      </c>
      <c r="H1178" s="9"/>
    </row>
    <row r="1179" ht="14.25" customHeight="1">
      <c r="C1179" s="9" t="s">
        <v>2882</v>
      </c>
      <c r="D1179" s="9" t="s">
        <v>2883</v>
      </c>
      <c r="E1179" s="9" t="s">
        <v>2783</v>
      </c>
      <c r="F1179" s="9" t="s">
        <v>2888</v>
      </c>
      <c r="H1179" s="9"/>
    </row>
    <row r="1180" ht="14.25" customHeight="1">
      <c r="C1180" s="9" t="s">
        <v>2882</v>
      </c>
      <c r="D1180" s="9" t="s">
        <v>2889</v>
      </c>
      <c r="E1180" s="9" t="s">
        <v>2783</v>
      </c>
      <c r="F1180" s="9" t="s">
        <v>2890</v>
      </c>
      <c r="H1180" s="9"/>
    </row>
    <row r="1181" ht="14.25" customHeight="1">
      <c r="C1181" s="9" t="s">
        <v>2882</v>
      </c>
      <c r="D1181" s="9" t="s">
        <v>2889</v>
      </c>
      <c r="E1181" s="9" t="s">
        <v>2783</v>
      </c>
      <c r="F1181" s="9" t="s">
        <v>2891</v>
      </c>
      <c r="H1181" s="9"/>
    </row>
    <row r="1182" ht="14.25" customHeight="1">
      <c r="C1182" s="9" t="s">
        <v>2882</v>
      </c>
      <c r="D1182" s="9" t="s">
        <v>2889</v>
      </c>
      <c r="E1182" s="9" t="s">
        <v>2783</v>
      </c>
      <c r="F1182" s="9" t="s">
        <v>2892</v>
      </c>
      <c r="H1182" s="9"/>
    </row>
    <row r="1183" ht="14.25" customHeight="1">
      <c r="C1183" s="9" t="s">
        <v>2882</v>
      </c>
      <c r="D1183" s="9" t="s">
        <v>2889</v>
      </c>
      <c r="E1183" s="9" t="s">
        <v>2783</v>
      </c>
      <c r="F1183" s="9" t="s">
        <v>2893</v>
      </c>
      <c r="H1183" s="9"/>
    </row>
    <row r="1184" ht="14.25" customHeight="1">
      <c r="C1184" s="9" t="s">
        <v>2882</v>
      </c>
      <c r="D1184" s="9" t="s">
        <v>2894</v>
      </c>
      <c r="E1184" s="9" t="s">
        <v>2783</v>
      </c>
      <c r="F1184" s="9" t="s">
        <v>2895</v>
      </c>
      <c r="H1184" s="9"/>
    </row>
    <row r="1185" ht="14.25" customHeight="1">
      <c r="C1185" s="9" t="s">
        <v>2882</v>
      </c>
      <c r="D1185" s="9" t="s">
        <v>2894</v>
      </c>
      <c r="E1185" s="9" t="s">
        <v>2783</v>
      </c>
      <c r="F1185" s="9" t="s">
        <v>2896</v>
      </c>
      <c r="H1185" s="9"/>
    </row>
    <row r="1186" ht="14.25" customHeight="1">
      <c r="C1186" s="9" t="s">
        <v>2882</v>
      </c>
      <c r="D1186" s="9" t="s">
        <v>2897</v>
      </c>
      <c r="E1186" s="9" t="s">
        <v>2783</v>
      </c>
      <c r="F1186" s="9" t="s">
        <v>2898</v>
      </c>
      <c r="H1186" s="9"/>
    </row>
    <row r="1187" ht="14.25" customHeight="1">
      <c r="C1187" s="9" t="s">
        <v>2882</v>
      </c>
      <c r="D1187" s="9" t="s">
        <v>2897</v>
      </c>
      <c r="E1187" s="9" t="s">
        <v>2783</v>
      </c>
      <c r="F1187" s="9" t="s">
        <v>2899</v>
      </c>
      <c r="H1187" s="9"/>
    </row>
    <row r="1188" ht="14.25" customHeight="1">
      <c r="C1188" s="9" t="s">
        <v>2882</v>
      </c>
      <c r="D1188" s="9" t="s">
        <v>2897</v>
      </c>
      <c r="E1188" s="9" t="s">
        <v>2783</v>
      </c>
      <c r="F1188" s="9" t="s">
        <v>2900</v>
      </c>
      <c r="H1188" s="9"/>
    </row>
    <row r="1189" ht="14.25" customHeight="1">
      <c r="C1189" s="9" t="s">
        <v>2882</v>
      </c>
      <c r="D1189" s="9" t="s">
        <v>2897</v>
      </c>
      <c r="E1189" s="9" t="s">
        <v>2783</v>
      </c>
      <c r="F1189" s="9" t="s">
        <v>2901</v>
      </c>
      <c r="H1189" s="9"/>
    </row>
    <row r="1190" ht="14.25" customHeight="1">
      <c r="C1190" s="9" t="s">
        <v>2882</v>
      </c>
      <c r="D1190" s="9" t="s">
        <v>2897</v>
      </c>
      <c r="E1190" s="9" t="s">
        <v>2783</v>
      </c>
      <c r="F1190" s="9" t="s">
        <v>2902</v>
      </c>
      <c r="H1190" s="9"/>
    </row>
    <row r="1191" ht="14.25" customHeight="1">
      <c r="C1191" s="9" t="s">
        <v>2882</v>
      </c>
      <c r="D1191" s="9" t="s">
        <v>2897</v>
      </c>
      <c r="E1191" s="9" t="s">
        <v>2783</v>
      </c>
      <c r="F1191" s="9" t="s">
        <v>2903</v>
      </c>
      <c r="H1191" s="9"/>
    </row>
    <row r="1192" ht="14.25" customHeight="1">
      <c r="C1192" s="9" t="s">
        <v>2882</v>
      </c>
      <c r="D1192" s="9" t="s">
        <v>2897</v>
      </c>
      <c r="E1192" s="9" t="s">
        <v>2783</v>
      </c>
      <c r="F1192" s="9" t="s">
        <v>2904</v>
      </c>
      <c r="H1192" s="9"/>
    </row>
    <row r="1193" ht="14.25" customHeight="1">
      <c r="C1193" s="9" t="s">
        <v>2882</v>
      </c>
      <c r="D1193" s="9" t="s">
        <v>2813</v>
      </c>
      <c r="E1193" s="9" t="s">
        <v>2783</v>
      </c>
      <c r="F1193" s="9" t="s">
        <v>2905</v>
      </c>
      <c r="H1193" s="9"/>
    </row>
    <row r="1194" ht="14.25" customHeight="1">
      <c r="C1194" s="9" t="s">
        <v>2882</v>
      </c>
      <c r="D1194" s="9" t="s">
        <v>2813</v>
      </c>
      <c r="E1194" s="9" t="s">
        <v>2783</v>
      </c>
      <c r="F1194" s="9" t="s">
        <v>2906</v>
      </c>
      <c r="H1194" s="9"/>
    </row>
    <row r="1195" ht="14.25" customHeight="1">
      <c r="C1195" s="9" t="s">
        <v>2882</v>
      </c>
      <c r="D1195" s="9" t="s">
        <v>2907</v>
      </c>
      <c r="E1195" s="9" t="s">
        <v>2783</v>
      </c>
      <c r="F1195" s="9" t="s">
        <v>2908</v>
      </c>
      <c r="H1195" s="9"/>
    </row>
    <row r="1196" ht="14.25" customHeight="1">
      <c r="C1196" s="9" t="s">
        <v>2882</v>
      </c>
      <c r="D1196" s="9" t="s">
        <v>2907</v>
      </c>
      <c r="E1196" s="9" t="s">
        <v>2783</v>
      </c>
      <c r="F1196" s="9" t="s">
        <v>2909</v>
      </c>
      <c r="H1196" s="9"/>
    </row>
    <row r="1197" ht="14.25" customHeight="1">
      <c r="C1197" s="9" t="s">
        <v>2882</v>
      </c>
      <c r="D1197" s="9" t="s">
        <v>2910</v>
      </c>
      <c r="E1197" s="9" t="s">
        <v>2783</v>
      </c>
      <c r="F1197" s="9" t="s">
        <v>2911</v>
      </c>
      <c r="H1197" s="9"/>
    </row>
    <row r="1198" ht="14.25" customHeight="1">
      <c r="C1198" s="9" t="s">
        <v>2882</v>
      </c>
      <c r="D1198" s="9" t="s">
        <v>2910</v>
      </c>
      <c r="E1198" s="9" t="s">
        <v>2783</v>
      </c>
      <c r="F1198" s="9" t="s">
        <v>2912</v>
      </c>
      <c r="H1198" s="9"/>
    </row>
    <row r="1199" ht="14.25" customHeight="1">
      <c r="C1199" s="9" t="s">
        <v>2882</v>
      </c>
      <c r="D1199" s="9" t="s">
        <v>2910</v>
      </c>
      <c r="E1199" s="9" t="s">
        <v>2783</v>
      </c>
      <c r="F1199" s="9" t="s">
        <v>2913</v>
      </c>
      <c r="H1199" s="9"/>
    </row>
    <row r="1200" ht="14.25" customHeight="1">
      <c r="C1200" s="9" t="s">
        <v>2882</v>
      </c>
      <c r="D1200" s="9" t="s">
        <v>2914</v>
      </c>
      <c r="E1200" s="9" t="s">
        <v>2783</v>
      </c>
      <c r="F1200" s="9" t="s">
        <v>2915</v>
      </c>
      <c r="H1200" s="9"/>
    </row>
    <row r="1201" ht="14.25" customHeight="1">
      <c r="C1201" s="9" t="s">
        <v>2882</v>
      </c>
      <c r="D1201" s="9" t="s">
        <v>2914</v>
      </c>
      <c r="E1201" s="9" t="s">
        <v>2783</v>
      </c>
      <c r="F1201" s="9" t="s">
        <v>2916</v>
      </c>
      <c r="H1201" s="9"/>
    </row>
    <row r="1202" ht="14.25" customHeight="1">
      <c r="C1202" s="9" t="s">
        <v>2882</v>
      </c>
      <c r="D1202" s="9" t="s">
        <v>2917</v>
      </c>
      <c r="E1202" s="9" t="s">
        <v>2783</v>
      </c>
      <c r="F1202" s="9" t="s">
        <v>2918</v>
      </c>
      <c r="H1202" s="9"/>
    </row>
    <row r="1203" ht="14.25" customHeight="1">
      <c r="C1203" s="9" t="s">
        <v>2882</v>
      </c>
      <c r="D1203" s="9" t="s">
        <v>2919</v>
      </c>
      <c r="E1203" s="9" t="s">
        <v>2783</v>
      </c>
      <c r="F1203" s="9" t="s">
        <v>2920</v>
      </c>
      <c r="H1203" s="9"/>
    </row>
    <row r="1204" ht="14.25" customHeight="1">
      <c r="C1204" s="9" t="s">
        <v>2882</v>
      </c>
      <c r="D1204" s="9" t="s">
        <v>2919</v>
      </c>
      <c r="E1204" s="9" t="s">
        <v>2783</v>
      </c>
      <c r="F1204" s="9" t="s">
        <v>2921</v>
      </c>
      <c r="H1204" s="9"/>
    </row>
    <row r="1205" ht="14.25" customHeight="1">
      <c r="C1205" s="9" t="s">
        <v>2882</v>
      </c>
      <c r="D1205" s="9" t="s">
        <v>2919</v>
      </c>
      <c r="E1205" s="9" t="s">
        <v>2783</v>
      </c>
      <c r="F1205" s="9" t="s">
        <v>2922</v>
      </c>
      <c r="H1205" s="9"/>
    </row>
    <row r="1206" ht="14.25" customHeight="1">
      <c r="C1206" s="9" t="s">
        <v>2882</v>
      </c>
      <c r="D1206" s="9" t="s">
        <v>2919</v>
      </c>
      <c r="E1206" s="9" t="s">
        <v>2783</v>
      </c>
      <c r="F1206" s="9" t="s">
        <v>2923</v>
      </c>
      <c r="H1206" s="9"/>
    </row>
    <row r="1207" ht="14.25" customHeight="1">
      <c r="C1207" s="9" t="s">
        <v>2882</v>
      </c>
      <c r="D1207" s="9" t="s">
        <v>2924</v>
      </c>
      <c r="E1207" s="9" t="s">
        <v>2783</v>
      </c>
      <c r="F1207" s="9" t="s">
        <v>2925</v>
      </c>
      <c r="H1207" s="9"/>
    </row>
    <row r="1208" ht="14.25" customHeight="1">
      <c r="C1208" s="9" t="s">
        <v>2882</v>
      </c>
      <c r="D1208" s="9" t="s">
        <v>2926</v>
      </c>
      <c r="E1208" s="9" t="s">
        <v>2783</v>
      </c>
      <c r="F1208" s="9" t="s">
        <v>2927</v>
      </c>
      <c r="H1208" s="9"/>
    </row>
    <row r="1209" ht="14.25" customHeight="1">
      <c r="C1209" s="9" t="s">
        <v>2882</v>
      </c>
      <c r="D1209" s="9" t="s">
        <v>2926</v>
      </c>
      <c r="E1209" s="9" t="s">
        <v>2783</v>
      </c>
      <c r="F1209" s="9" t="s">
        <v>2928</v>
      </c>
      <c r="H1209" s="9"/>
    </row>
    <row r="1210" ht="14.25" customHeight="1">
      <c r="C1210" s="9" t="s">
        <v>2882</v>
      </c>
      <c r="D1210" s="9" t="s">
        <v>2926</v>
      </c>
      <c r="E1210" s="9" t="s">
        <v>2783</v>
      </c>
      <c r="F1210" s="9" t="s">
        <v>2929</v>
      </c>
      <c r="H1210" s="9"/>
    </row>
    <row r="1211" ht="14.25" customHeight="1">
      <c r="C1211" s="9" t="s">
        <v>2882</v>
      </c>
      <c r="D1211" s="9" t="s">
        <v>2926</v>
      </c>
      <c r="E1211" s="9" t="s">
        <v>2783</v>
      </c>
      <c r="F1211" s="9" t="s">
        <v>2930</v>
      </c>
      <c r="H1211" s="9"/>
    </row>
    <row r="1212" ht="14.25" customHeight="1">
      <c r="C1212" s="9" t="s">
        <v>2882</v>
      </c>
      <c r="D1212" s="9" t="s">
        <v>2926</v>
      </c>
      <c r="E1212" s="9" t="s">
        <v>2783</v>
      </c>
      <c r="F1212" s="9" t="s">
        <v>2931</v>
      </c>
      <c r="H1212" s="9"/>
    </row>
    <row r="1213" ht="14.25" customHeight="1">
      <c r="C1213" s="9" t="s">
        <v>2882</v>
      </c>
      <c r="D1213" s="9" t="s">
        <v>2926</v>
      </c>
      <c r="E1213" s="9" t="s">
        <v>2783</v>
      </c>
      <c r="F1213" s="9" t="s">
        <v>2932</v>
      </c>
      <c r="H1213" s="9"/>
    </row>
    <row r="1214" ht="14.25" customHeight="1">
      <c r="C1214" s="9" t="s">
        <v>2933</v>
      </c>
      <c r="D1214" s="9" t="s">
        <v>2934</v>
      </c>
      <c r="E1214" s="9" t="s">
        <v>2935</v>
      </c>
      <c r="F1214" s="9" t="s">
        <v>2936</v>
      </c>
      <c r="H1214" s="9"/>
    </row>
    <row r="1215" ht="14.25" customHeight="1">
      <c r="C1215" s="9" t="s">
        <v>2933</v>
      </c>
      <c r="D1215" s="9" t="s">
        <v>2937</v>
      </c>
      <c r="E1215" s="9" t="s">
        <v>2935</v>
      </c>
      <c r="F1215" s="9" t="s">
        <v>2938</v>
      </c>
      <c r="H1215" s="9"/>
    </row>
    <row r="1216" ht="14.25" customHeight="1">
      <c r="C1216" s="9" t="s">
        <v>2933</v>
      </c>
      <c r="D1216" s="9" t="s">
        <v>2937</v>
      </c>
      <c r="E1216" s="9" t="s">
        <v>2935</v>
      </c>
      <c r="F1216" s="9" t="s">
        <v>2939</v>
      </c>
      <c r="H1216" s="9"/>
    </row>
    <row r="1217" ht="14.25" customHeight="1">
      <c r="C1217" s="9" t="s">
        <v>2933</v>
      </c>
      <c r="D1217" s="9" t="s">
        <v>2937</v>
      </c>
      <c r="E1217" s="9" t="s">
        <v>2935</v>
      </c>
      <c r="F1217" s="9" t="s">
        <v>2940</v>
      </c>
      <c r="H1217" s="9"/>
    </row>
    <row r="1218" ht="14.25" customHeight="1">
      <c r="C1218" s="9" t="s">
        <v>2933</v>
      </c>
      <c r="D1218" s="9" t="s">
        <v>2937</v>
      </c>
      <c r="E1218" s="9" t="s">
        <v>2935</v>
      </c>
      <c r="F1218" s="9" t="s">
        <v>2941</v>
      </c>
      <c r="H1218" s="9"/>
    </row>
    <row r="1219" ht="14.25" customHeight="1">
      <c r="C1219" s="9" t="s">
        <v>2933</v>
      </c>
      <c r="D1219" s="9" t="s">
        <v>2937</v>
      </c>
      <c r="E1219" s="9" t="s">
        <v>2935</v>
      </c>
      <c r="F1219" s="9" t="s">
        <v>2942</v>
      </c>
      <c r="H1219" s="9"/>
    </row>
    <row r="1220" ht="14.25" customHeight="1">
      <c r="C1220" s="9" t="s">
        <v>2933</v>
      </c>
      <c r="D1220" s="9" t="s">
        <v>2937</v>
      </c>
      <c r="E1220" s="9" t="s">
        <v>2935</v>
      </c>
      <c r="F1220" s="9" t="s">
        <v>2943</v>
      </c>
      <c r="H1220" s="9"/>
    </row>
    <row r="1221" ht="14.25" customHeight="1">
      <c r="C1221" s="9" t="s">
        <v>2933</v>
      </c>
      <c r="D1221" s="9" t="s">
        <v>2937</v>
      </c>
      <c r="E1221" s="9" t="s">
        <v>2935</v>
      </c>
      <c r="F1221" s="9" t="s">
        <v>2944</v>
      </c>
      <c r="H1221" s="9"/>
    </row>
    <row r="1222" ht="14.25" customHeight="1">
      <c r="C1222" s="9" t="s">
        <v>2933</v>
      </c>
      <c r="D1222" s="9" t="s">
        <v>2945</v>
      </c>
      <c r="E1222" s="9" t="s">
        <v>2935</v>
      </c>
      <c r="F1222" s="9" t="s">
        <v>2946</v>
      </c>
      <c r="H1222" s="9"/>
    </row>
    <row r="1223" ht="14.25" customHeight="1">
      <c r="C1223" s="9" t="s">
        <v>2933</v>
      </c>
      <c r="D1223" s="9" t="s">
        <v>2947</v>
      </c>
      <c r="E1223" s="9" t="s">
        <v>2935</v>
      </c>
      <c r="F1223" s="9" t="s">
        <v>2948</v>
      </c>
      <c r="H1223" s="9"/>
    </row>
    <row r="1224" ht="14.25" customHeight="1">
      <c r="C1224" s="9" t="s">
        <v>2949</v>
      </c>
      <c r="D1224" s="9" t="s">
        <v>2949</v>
      </c>
      <c r="E1224" s="9" t="s">
        <v>2950</v>
      </c>
      <c r="F1224" s="9" t="s">
        <v>2951</v>
      </c>
      <c r="H1224" s="9"/>
    </row>
    <row r="1225" ht="14.25" customHeight="1">
      <c r="C1225" s="9" t="s">
        <v>2949</v>
      </c>
      <c r="D1225" s="9" t="s">
        <v>2949</v>
      </c>
      <c r="E1225" s="9" t="s">
        <v>2950</v>
      </c>
      <c r="F1225" s="9" t="s">
        <v>474</v>
      </c>
      <c r="H1225" s="9"/>
    </row>
    <row r="1226" ht="14.25" customHeight="1">
      <c r="C1226" s="9" t="s">
        <v>2949</v>
      </c>
      <c r="D1226" s="9" t="s">
        <v>2949</v>
      </c>
      <c r="E1226" s="9" t="s">
        <v>2950</v>
      </c>
      <c r="F1226" s="9" t="s">
        <v>284</v>
      </c>
      <c r="H1226" s="9"/>
    </row>
    <row r="1227" ht="14.25" customHeight="1">
      <c r="C1227" s="9" t="s">
        <v>2949</v>
      </c>
      <c r="D1227" s="9" t="s">
        <v>2949</v>
      </c>
      <c r="E1227" s="9" t="s">
        <v>2950</v>
      </c>
      <c r="F1227" s="9" t="s">
        <v>450</v>
      </c>
      <c r="H1227" s="9"/>
    </row>
    <row r="1228" ht="14.25" customHeight="1">
      <c r="C1228" s="9" t="s">
        <v>2949</v>
      </c>
      <c r="D1228" s="9" t="s">
        <v>2949</v>
      </c>
      <c r="E1228" s="9" t="s">
        <v>2950</v>
      </c>
      <c r="F1228" s="9" t="s">
        <v>431</v>
      </c>
      <c r="H1228" s="9"/>
    </row>
    <row r="1229" ht="14.25" customHeight="1">
      <c r="C1229" s="9" t="s">
        <v>2949</v>
      </c>
      <c r="D1229" s="9" t="s">
        <v>2949</v>
      </c>
      <c r="E1229" s="9" t="s">
        <v>2950</v>
      </c>
      <c r="F1229" s="9" t="s">
        <v>2952</v>
      </c>
      <c r="H1229" s="9"/>
    </row>
    <row r="1230" ht="14.25" customHeight="1">
      <c r="C1230" s="9" t="s">
        <v>2949</v>
      </c>
      <c r="D1230" s="9" t="s">
        <v>2949</v>
      </c>
      <c r="E1230" s="9" t="s">
        <v>2950</v>
      </c>
      <c r="F1230" s="9" t="s">
        <v>341</v>
      </c>
      <c r="H1230" s="9"/>
    </row>
    <row r="1231" ht="14.25" customHeight="1">
      <c r="C1231" s="9" t="s">
        <v>2949</v>
      </c>
      <c r="D1231" s="9" t="s">
        <v>2949</v>
      </c>
      <c r="E1231" s="9" t="s">
        <v>2950</v>
      </c>
      <c r="F1231" s="9" t="s">
        <v>2953</v>
      </c>
      <c r="H1231" s="9"/>
    </row>
    <row r="1232" ht="14.25" customHeight="1">
      <c r="C1232" s="9" t="s">
        <v>2949</v>
      </c>
      <c r="D1232" s="9" t="s">
        <v>2949</v>
      </c>
      <c r="E1232" s="9" t="s">
        <v>2950</v>
      </c>
      <c r="F1232" s="9" t="s">
        <v>2954</v>
      </c>
      <c r="H1232" s="9"/>
    </row>
    <row r="1233" ht="14.25" customHeight="1">
      <c r="C1233" s="9" t="s">
        <v>2949</v>
      </c>
      <c r="D1233" s="9" t="s">
        <v>2949</v>
      </c>
      <c r="E1233" s="9" t="s">
        <v>2950</v>
      </c>
      <c r="F1233" s="9" t="s">
        <v>321</v>
      </c>
      <c r="H1233" s="9"/>
    </row>
    <row r="1234" ht="14.25" customHeight="1">
      <c r="C1234" s="9" t="s">
        <v>2949</v>
      </c>
      <c r="D1234" s="9" t="s">
        <v>2949</v>
      </c>
      <c r="E1234" s="9" t="s">
        <v>2950</v>
      </c>
      <c r="F1234" s="9" t="s">
        <v>2955</v>
      </c>
      <c r="H1234" s="9"/>
    </row>
    <row r="1235" ht="14.25" customHeight="1">
      <c r="C1235" s="9" t="s">
        <v>2949</v>
      </c>
      <c r="D1235" s="9" t="s">
        <v>2949</v>
      </c>
      <c r="E1235" s="9" t="s">
        <v>2950</v>
      </c>
      <c r="F1235" s="9" t="s">
        <v>2956</v>
      </c>
      <c r="H1235" s="9"/>
    </row>
    <row r="1236" ht="14.25" customHeight="1">
      <c r="C1236" s="9" t="s">
        <v>2949</v>
      </c>
      <c r="D1236" s="9" t="s">
        <v>2949</v>
      </c>
      <c r="E1236" s="9" t="s">
        <v>2950</v>
      </c>
      <c r="F1236" s="9" t="s">
        <v>2957</v>
      </c>
      <c r="H1236" s="9"/>
    </row>
    <row r="1237" ht="14.25" customHeight="1">
      <c r="C1237" s="9" t="s">
        <v>2958</v>
      </c>
      <c r="D1237" s="9" t="s">
        <v>2959</v>
      </c>
      <c r="E1237" s="9" t="s">
        <v>2960</v>
      </c>
      <c r="F1237" s="9" t="s">
        <v>2961</v>
      </c>
      <c r="H1237" s="9"/>
    </row>
    <row r="1238" ht="14.25" customHeight="1">
      <c r="C1238" s="9" t="s">
        <v>2958</v>
      </c>
      <c r="D1238" s="9" t="s">
        <v>2959</v>
      </c>
      <c r="E1238" s="9" t="s">
        <v>2960</v>
      </c>
      <c r="F1238" s="9" t="s">
        <v>2962</v>
      </c>
      <c r="H1238" s="9"/>
    </row>
    <row r="1239" ht="14.25" customHeight="1">
      <c r="C1239" s="9" t="s">
        <v>2958</v>
      </c>
      <c r="D1239" s="9" t="s">
        <v>2959</v>
      </c>
      <c r="E1239" s="9" t="s">
        <v>2960</v>
      </c>
      <c r="F1239" s="9" t="s">
        <v>2963</v>
      </c>
      <c r="H1239" s="9"/>
    </row>
    <row r="1240" ht="14.25" customHeight="1">
      <c r="C1240" s="9" t="s">
        <v>2958</v>
      </c>
      <c r="D1240" s="9" t="s">
        <v>2959</v>
      </c>
      <c r="E1240" s="9" t="s">
        <v>2960</v>
      </c>
      <c r="F1240" s="9" t="s">
        <v>2964</v>
      </c>
      <c r="H1240" s="9"/>
    </row>
    <row r="1241" ht="14.25" customHeight="1">
      <c r="C1241" s="9" t="s">
        <v>2958</v>
      </c>
      <c r="D1241" s="9" t="s">
        <v>2959</v>
      </c>
      <c r="E1241" s="9" t="s">
        <v>2960</v>
      </c>
      <c r="F1241" s="9" t="s">
        <v>2965</v>
      </c>
      <c r="H1241" s="9"/>
    </row>
    <row r="1242" ht="14.25" customHeight="1">
      <c r="C1242" s="9" t="s">
        <v>2958</v>
      </c>
      <c r="D1242" s="9" t="s">
        <v>2959</v>
      </c>
      <c r="E1242" s="9" t="s">
        <v>2960</v>
      </c>
      <c r="F1242" s="9" t="s">
        <v>2966</v>
      </c>
      <c r="H1242" s="9"/>
    </row>
    <row r="1243" ht="14.25" customHeight="1">
      <c r="C1243" s="9" t="s">
        <v>2958</v>
      </c>
      <c r="D1243" s="9" t="s">
        <v>2967</v>
      </c>
      <c r="E1243" s="9" t="s">
        <v>2960</v>
      </c>
      <c r="F1243" s="9" t="s">
        <v>2968</v>
      </c>
      <c r="H1243" s="9"/>
    </row>
    <row r="1244" ht="14.25" customHeight="1">
      <c r="C1244" s="9" t="s">
        <v>2958</v>
      </c>
      <c r="D1244" s="9" t="s">
        <v>2967</v>
      </c>
      <c r="E1244" s="9" t="s">
        <v>2960</v>
      </c>
      <c r="F1244" s="9" t="s">
        <v>2969</v>
      </c>
      <c r="H1244" s="9"/>
    </row>
    <row r="1245" ht="14.25" customHeight="1">
      <c r="C1245" s="9" t="s">
        <v>1253</v>
      </c>
      <c r="D1245" s="9" t="s">
        <v>1253</v>
      </c>
      <c r="E1245" s="9" t="s">
        <v>2960</v>
      </c>
      <c r="F1245" s="9" t="s">
        <v>2970</v>
      </c>
      <c r="H1245" s="9"/>
    </row>
    <row r="1246" ht="14.25" customHeight="1">
      <c r="C1246" s="9" t="s">
        <v>1253</v>
      </c>
      <c r="D1246" s="9" t="s">
        <v>1253</v>
      </c>
      <c r="E1246" s="9" t="s">
        <v>2960</v>
      </c>
      <c r="F1246" s="9" t="s">
        <v>2971</v>
      </c>
      <c r="H1246" s="9"/>
    </row>
    <row r="1247" ht="14.25" customHeight="1">
      <c r="C1247" s="9" t="s">
        <v>1253</v>
      </c>
      <c r="D1247" s="9" t="s">
        <v>1253</v>
      </c>
      <c r="E1247" s="9" t="s">
        <v>2960</v>
      </c>
      <c r="F1247" s="9" t="s">
        <v>321</v>
      </c>
      <c r="H1247" s="9"/>
    </row>
    <row r="1248" ht="14.25" customHeight="1">
      <c r="C1248" s="9" t="s">
        <v>1253</v>
      </c>
      <c r="D1248" s="9" t="s">
        <v>1253</v>
      </c>
      <c r="E1248" s="9" t="s">
        <v>2960</v>
      </c>
      <c r="F1248" s="9" t="s">
        <v>2972</v>
      </c>
      <c r="H1248" s="9"/>
    </row>
    <row r="1249" ht="14.25" customHeight="1">
      <c r="C1249" s="9" t="s">
        <v>1253</v>
      </c>
      <c r="D1249" s="9" t="s">
        <v>1253</v>
      </c>
      <c r="E1249" s="9" t="s">
        <v>2960</v>
      </c>
      <c r="F1249" s="9" t="s">
        <v>2973</v>
      </c>
      <c r="H1249" s="9"/>
    </row>
    <row r="1250" ht="14.25" customHeight="1">
      <c r="C1250" s="9" t="s">
        <v>2974</v>
      </c>
      <c r="D1250" s="9" t="s">
        <v>2975</v>
      </c>
      <c r="E1250" s="9" t="s">
        <v>2960</v>
      </c>
      <c r="F1250" s="9" t="s">
        <v>2976</v>
      </c>
      <c r="H1250" s="9"/>
    </row>
    <row r="1251" ht="14.25" customHeight="1">
      <c r="C1251" s="9" t="s">
        <v>2974</v>
      </c>
      <c r="D1251" s="9" t="s">
        <v>2975</v>
      </c>
      <c r="E1251" s="9" t="s">
        <v>2960</v>
      </c>
      <c r="F1251" s="9" t="s">
        <v>2977</v>
      </c>
      <c r="H1251" s="9"/>
    </row>
    <row r="1252" ht="14.25" customHeight="1">
      <c r="C1252" s="9" t="s">
        <v>2974</v>
      </c>
      <c r="D1252" s="9" t="s">
        <v>2975</v>
      </c>
      <c r="E1252" s="9" t="s">
        <v>2960</v>
      </c>
      <c r="F1252" s="9" t="s">
        <v>2309</v>
      </c>
      <c r="H1252" s="9"/>
    </row>
    <row r="1253" ht="14.25" customHeight="1">
      <c r="C1253" s="9" t="s">
        <v>2974</v>
      </c>
      <c r="D1253" s="9" t="s">
        <v>2978</v>
      </c>
      <c r="E1253" s="9" t="s">
        <v>2960</v>
      </c>
      <c r="F1253" s="9" t="s">
        <v>2979</v>
      </c>
      <c r="H1253" s="9"/>
    </row>
    <row r="1254" ht="14.25" customHeight="1">
      <c r="C1254" s="9" t="s">
        <v>2974</v>
      </c>
      <c r="D1254" s="9" t="s">
        <v>2978</v>
      </c>
      <c r="E1254" s="9" t="s">
        <v>2960</v>
      </c>
      <c r="F1254" s="9" t="s">
        <v>2980</v>
      </c>
      <c r="H1254" s="9"/>
    </row>
    <row r="1255" ht="14.25" customHeight="1">
      <c r="C1255" s="9" t="s">
        <v>2974</v>
      </c>
      <c r="D1255" s="9" t="s">
        <v>2978</v>
      </c>
      <c r="E1255" s="9" t="s">
        <v>2960</v>
      </c>
      <c r="F1255" s="9" t="s">
        <v>2981</v>
      </c>
      <c r="H1255" s="9"/>
    </row>
    <row r="1256" ht="14.25" customHeight="1">
      <c r="C1256" s="9" t="s">
        <v>2974</v>
      </c>
      <c r="D1256" s="9" t="s">
        <v>2978</v>
      </c>
      <c r="E1256" s="9" t="s">
        <v>2960</v>
      </c>
      <c r="F1256" s="9" t="s">
        <v>2982</v>
      </c>
      <c r="H1256" s="9"/>
    </row>
    <row r="1257" ht="14.25" customHeight="1">
      <c r="C1257" s="9" t="s">
        <v>2974</v>
      </c>
      <c r="D1257" s="9" t="s">
        <v>2978</v>
      </c>
      <c r="E1257" s="9" t="s">
        <v>2960</v>
      </c>
      <c r="F1257" s="9" t="s">
        <v>2983</v>
      </c>
      <c r="H1257" s="9"/>
    </row>
    <row r="1258" ht="14.25" customHeight="1">
      <c r="C1258" s="9" t="s">
        <v>2974</v>
      </c>
      <c r="D1258" s="9" t="s">
        <v>1241</v>
      </c>
      <c r="E1258" s="9" t="s">
        <v>2960</v>
      </c>
      <c r="F1258" s="9" t="s">
        <v>2984</v>
      </c>
      <c r="H1258" s="9"/>
    </row>
    <row r="1259" ht="14.25" customHeight="1">
      <c r="C1259" s="9" t="s">
        <v>2974</v>
      </c>
      <c r="D1259" s="9" t="s">
        <v>1241</v>
      </c>
      <c r="E1259" s="9" t="s">
        <v>2960</v>
      </c>
      <c r="F1259" s="9" t="s">
        <v>2985</v>
      </c>
      <c r="H1259" s="9"/>
    </row>
    <row r="1260" ht="14.25" customHeight="1">
      <c r="C1260" s="9" t="s">
        <v>2974</v>
      </c>
      <c r="D1260" s="9" t="s">
        <v>1241</v>
      </c>
      <c r="E1260" s="9" t="s">
        <v>2960</v>
      </c>
      <c r="F1260" s="9" t="s">
        <v>2309</v>
      </c>
      <c r="H1260" s="9"/>
    </row>
    <row r="1261" ht="14.25" customHeight="1">
      <c r="C1261" s="9" t="s">
        <v>2974</v>
      </c>
      <c r="D1261" s="9" t="s">
        <v>1241</v>
      </c>
      <c r="E1261" s="9" t="s">
        <v>2960</v>
      </c>
      <c r="F1261" s="9" t="s">
        <v>2986</v>
      </c>
      <c r="H1261" s="9"/>
    </row>
    <row r="1262" ht="14.25" customHeight="1">
      <c r="C1262" s="9" t="s">
        <v>2974</v>
      </c>
      <c r="D1262" s="9" t="s">
        <v>2987</v>
      </c>
      <c r="E1262" s="9" t="s">
        <v>2960</v>
      </c>
      <c r="F1262" s="9" t="s">
        <v>2976</v>
      </c>
      <c r="H1262" s="9"/>
    </row>
    <row r="1263" ht="14.25" customHeight="1">
      <c r="C1263" s="9" t="s">
        <v>2974</v>
      </c>
      <c r="D1263" s="9" t="s">
        <v>2987</v>
      </c>
      <c r="E1263" s="9" t="s">
        <v>2960</v>
      </c>
      <c r="F1263" s="9" t="s">
        <v>2988</v>
      </c>
      <c r="H1263" s="9"/>
    </row>
    <row r="1264" ht="14.25" customHeight="1">
      <c r="C1264" s="9" t="s">
        <v>2974</v>
      </c>
      <c r="D1264" s="9" t="s">
        <v>2987</v>
      </c>
      <c r="E1264" s="9" t="s">
        <v>2960</v>
      </c>
      <c r="F1264" s="9" t="s">
        <v>2309</v>
      </c>
      <c r="H1264" s="9"/>
    </row>
    <row r="1265" ht="14.25" customHeight="1">
      <c r="C1265" s="9" t="s">
        <v>2974</v>
      </c>
      <c r="D1265" s="9" t="s">
        <v>2989</v>
      </c>
      <c r="E1265" s="9" t="s">
        <v>2960</v>
      </c>
      <c r="F1265" s="9" t="s">
        <v>2990</v>
      </c>
      <c r="H1265" s="9"/>
    </row>
    <row r="1266" ht="14.25" customHeight="1">
      <c r="C1266" s="9" t="s">
        <v>2974</v>
      </c>
      <c r="D1266" s="9" t="s">
        <v>2989</v>
      </c>
      <c r="E1266" s="9" t="s">
        <v>2960</v>
      </c>
      <c r="F1266" s="9" t="s">
        <v>1439</v>
      </c>
      <c r="H1266" s="9"/>
    </row>
    <row r="1267" ht="14.25" customHeight="1">
      <c r="C1267" s="9" t="s">
        <v>2974</v>
      </c>
      <c r="D1267" s="9" t="s">
        <v>2989</v>
      </c>
      <c r="E1267" s="9" t="s">
        <v>2960</v>
      </c>
      <c r="F1267" s="9" t="s">
        <v>2991</v>
      </c>
      <c r="H1267" s="9"/>
    </row>
    <row r="1268" ht="14.25" customHeight="1">
      <c r="C1268" s="9" t="s">
        <v>2974</v>
      </c>
      <c r="D1268" s="9" t="s">
        <v>2989</v>
      </c>
      <c r="E1268" s="9" t="s">
        <v>2960</v>
      </c>
      <c r="F1268" s="9" t="s">
        <v>1440</v>
      </c>
      <c r="H1268" s="9"/>
    </row>
    <row r="1269" ht="14.25" customHeight="1">
      <c r="C1269" s="9" t="s">
        <v>2974</v>
      </c>
      <c r="D1269" s="9" t="s">
        <v>2989</v>
      </c>
      <c r="E1269" s="9" t="s">
        <v>2960</v>
      </c>
      <c r="F1269" s="9" t="s">
        <v>172</v>
      </c>
      <c r="H1269" s="9"/>
    </row>
    <row r="1270" ht="14.25" customHeight="1">
      <c r="C1270" s="9" t="s">
        <v>2974</v>
      </c>
      <c r="D1270" s="9" t="s">
        <v>2989</v>
      </c>
      <c r="E1270" s="9" t="s">
        <v>2960</v>
      </c>
      <c r="F1270" s="9" t="s">
        <v>2992</v>
      </c>
      <c r="H1270" s="9"/>
    </row>
    <row r="1271" ht="14.25" customHeight="1">
      <c r="C1271" s="9" t="s">
        <v>2974</v>
      </c>
      <c r="D1271" s="9" t="s">
        <v>2989</v>
      </c>
      <c r="E1271" s="9" t="s">
        <v>2960</v>
      </c>
      <c r="F1271" s="9" t="s">
        <v>1436</v>
      </c>
      <c r="H1271" s="9"/>
    </row>
    <row r="1272" ht="14.25" customHeight="1">
      <c r="C1272" s="9" t="s">
        <v>2974</v>
      </c>
      <c r="D1272" s="9" t="s">
        <v>2989</v>
      </c>
      <c r="E1272" s="9" t="s">
        <v>2960</v>
      </c>
      <c r="F1272" s="9" t="s">
        <v>2993</v>
      </c>
      <c r="H1272" s="9"/>
    </row>
    <row r="1273" ht="14.25" customHeight="1">
      <c r="C1273" s="9" t="s">
        <v>2974</v>
      </c>
      <c r="D1273" s="9" t="s">
        <v>2989</v>
      </c>
      <c r="E1273" s="9" t="s">
        <v>2960</v>
      </c>
      <c r="F1273" s="9" t="s">
        <v>2994</v>
      </c>
      <c r="H1273" s="9"/>
    </row>
    <row r="1274" ht="14.25" customHeight="1">
      <c r="C1274" s="9" t="s">
        <v>2974</v>
      </c>
      <c r="D1274" s="9" t="s">
        <v>2989</v>
      </c>
      <c r="E1274" s="9" t="s">
        <v>2960</v>
      </c>
      <c r="F1274" s="9" t="s">
        <v>2995</v>
      </c>
      <c r="H1274" s="9"/>
    </row>
    <row r="1275" ht="14.25" customHeight="1">
      <c r="C1275" s="9" t="s">
        <v>2974</v>
      </c>
      <c r="D1275" s="9" t="s">
        <v>2989</v>
      </c>
      <c r="E1275" s="9" t="s">
        <v>2960</v>
      </c>
      <c r="F1275" s="9" t="s">
        <v>2996</v>
      </c>
      <c r="H1275" s="9"/>
    </row>
    <row r="1276" ht="14.25" customHeight="1">
      <c r="C1276" s="198" t="s">
        <v>2974</v>
      </c>
      <c r="D1276" s="9" t="s">
        <v>2997</v>
      </c>
      <c r="E1276" s="9" t="s">
        <v>2960</v>
      </c>
      <c r="F1276" s="9" t="s">
        <v>2998</v>
      </c>
      <c r="H1276" s="9"/>
    </row>
    <row r="1277" ht="14.25" customHeight="1">
      <c r="C1277" s="198" t="s">
        <v>2974</v>
      </c>
      <c r="D1277" s="9" t="s">
        <v>2997</v>
      </c>
      <c r="E1277" s="9" t="s">
        <v>2960</v>
      </c>
      <c r="F1277" s="9" t="s">
        <v>2999</v>
      </c>
      <c r="H1277" s="9"/>
    </row>
    <row r="1278" ht="14.25" customHeight="1">
      <c r="C1278" s="198" t="s">
        <v>2974</v>
      </c>
      <c r="D1278" s="9" t="s">
        <v>2997</v>
      </c>
      <c r="E1278" s="9" t="s">
        <v>2960</v>
      </c>
      <c r="F1278" s="9" t="s">
        <v>3000</v>
      </c>
      <c r="H1278" s="9"/>
    </row>
    <row r="1279" ht="14.25" customHeight="1">
      <c r="C1279" s="198" t="s">
        <v>2974</v>
      </c>
      <c r="D1279" s="9" t="s">
        <v>2997</v>
      </c>
      <c r="E1279" s="9" t="s">
        <v>2960</v>
      </c>
      <c r="F1279" s="9" t="s">
        <v>3001</v>
      </c>
      <c r="H1279" s="9"/>
    </row>
    <row r="1280" ht="14.25" customHeight="1">
      <c r="C1280" s="198" t="s">
        <v>2974</v>
      </c>
      <c r="D1280" s="9" t="s">
        <v>2997</v>
      </c>
      <c r="E1280" s="9" t="s">
        <v>2960</v>
      </c>
      <c r="F1280" s="9" t="s">
        <v>3002</v>
      </c>
      <c r="H1280" s="9"/>
    </row>
    <row r="1281" ht="14.25" customHeight="1">
      <c r="C1281" s="198" t="s">
        <v>2974</v>
      </c>
      <c r="D1281" s="9" t="s">
        <v>2997</v>
      </c>
      <c r="E1281" s="9" t="s">
        <v>2960</v>
      </c>
      <c r="F1281" s="9" t="s">
        <v>3003</v>
      </c>
      <c r="H1281" s="9"/>
    </row>
    <row r="1282" ht="14.25" customHeight="1">
      <c r="C1282" s="198" t="s">
        <v>2974</v>
      </c>
      <c r="D1282" s="9" t="s">
        <v>2997</v>
      </c>
      <c r="E1282" s="9" t="s">
        <v>2960</v>
      </c>
      <c r="F1282" s="9" t="s">
        <v>3004</v>
      </c>
      <c r="H1282" s="9"/>
    </row>
    <row r="1283" ht="14.25" customHeight="1">
      <c r="C1283" s="198" t="s">
        <v>2974</v>
      </c>
      <c r="D1283" s="9" t="s">
        <v>2997</v>
      </c>
      <c r="E1283" s="9" t="s">
        <v>2960</v>
      </c>
      <c r="F1283" s="9" t="s">
        <v>3005</v>
      </c>
      <c r="H1283" s="9"/>
    </row>
    <row r="1284" ht="14.25" customHeight="1">
      <c r="C1284" s="198" t="s">
        <v>2974</v>
      </c>
      <c r="D1284" s="9" t="s">
        <v>2997</v>
      </c>
      <c r="E1284" s="9" t="s">
        <v>2960</v>
      </c>
      <c r="F1284" s="9" t="s">
        <v>3006</v>
      </c>
      <c r="H1284" s="9"/>
    </row>
    <row r="1285" ht="14.25" customHeight="1">
      <c r="C1285" s="198" t="s">
        <v>2974</v>
      </c>
      <c r="D1285" s="9" t="s">
        <v>2997</v>
      </c>
      <c r="E1285" s="9" t="s">
        <v>2960</v>
      </c>
      <c r="F1285" s="9" t="s">
        <v>3007</v>
      </c>
      <c r="H1285" s="9"/>
    </row>
    <row r="1286" ht="14.25" customHeight="1">
      <c r="C1286" s="9" t="s">
        <v>3008</v>
      </c>
      <c r="D1286" s="9" t="s">
        <v>3008</v>
      </c>
      <c r="E1286" s="9" t="s">
        <v>2960</v>
      </c>
      <c r="F1286" s="9" t="s">
        <v>2968</v>
      </c>
      <c r="H1286" s="9"/>
    </row>
    <row r="1287" ht="14.25" customHeight="1">
      <c r="C1287" s="9" t="s">
        <v>3008</v>
      </c>
      <c r="D1287" s="9" t="s">
        <v>3008</v>
      </c>
      <c r="E1287" s="9" t="s">
        <v>2960</v>
      </c>
      <c r="F1287" s="9" t="s">
        <v>2969</v>
      </c>
      <c r="H1287" s="9"/>
    </row>
    <row r="1288" ht="14.25" customHeight="1">
      <c r="C1288" s="198" t="s">
        <v>3009</v>
      </c>
      <c r="D1288" s="9" t="s">
        <v>3009</v>
      </c>
      <c r="E1288" s="9" t="s">
        <v>2960</v>
      </c>
      <c r="F1288" s="9" t="s">
        <v>1440</v>
      </c>
      <c r="H1288" s="9"/>
    </row>
    <row r="1289" ht="14.25" customHeight="1">
      <c r="C1289" s="198" t="s">
        <v>3009</v>
      </c>
      <c r="D1289" s="9" t="s">
        <v>3009</v>
      </c>
      <c r="E1289" s="9" t="s">
        <v>2960</v>
      </c>
      <c r="F1289" s="9" t="s">
        <v>2954</v>
      </c>
      <c r="H1289" s="9"/>
    </row>
    <row r="1290" ht="14.25" customHeight="1">
      <c r="C1290" s="198" t="s">
        <v>3009</v>
      </c>
      <c r="D1290" s="9" t="s">
        <v>3009</v>
      </c>
      <c r="E1290" s="9" t="s">
        <v>2960</v>
      </c>
      <c r="F1290" s="9" t="s">
        <v>1436</v>
      </c>
      <c r="H1290" s="9"/>
    </row>
    <row r="1291" ht="14.25" customHeight="1">
      <c r="C1291" s="198" t="s">
        <v>3009</v>
      </c>
      <c r="D1291" s="9" t="s">
        <v>3009</v>
      </c>
      <c r="E1291" s="9" t="s">
        <v>2960</v>
      </c>
      <c r="F1291" s="9" t="s">
        <v>3010</v>
      </c>
      <c r="H1291" s="9"/>
    </row>
    <row r="1292" ht="14.25" customHeight="1">
      <c r="C1292" s="198" t="s">
        <v>3009</v>
      </c>
      <c r="D1292" s="9" t="s">
        <v>3009</v>
      </c>
      <c r="E1292" s="9" t="s">
        <v>2960</v>
      </c>
      <c r="F1292" s="9" t="s">
        <v>3011</v>
      </c>
      <c r="H1292" s="9"/>
    </row>
    <row r="1293" ht="14.25" customHeight="1">
      <c r="C1293" s="198" t="s">
        <v>3009</v>
      </c>
      <c r="D1293" s="9" t="s">
        <v>3009</v>
      </c>
      <c r="E1293" s="9" t="s">
        <v>2960</v>
      </c>
      <c r="F1293" s="9" t="s">
        <v>3012</v>
      </c>
      <c r="H1293" s="9"/>
    </row>
    <row r="1294" ht="14.25" customHeight="1">
      <c r="C1294" s="198" t="s">
        <v>3009</v>
      </c>
      <c r="D1294" s="9" t="s">
        <v>3009</v>
      </c>
      <c r="E1294" s="9" t="s">
        <v>2960</v>
      </c>
      <c r="F1294" s="9" t="s">
        <v>3013</v>
      </c>
      <c r="H1294" s="9"/>
    </row>
    <row r="1295" ht="14.25" customHeight="1">
      <c r="C1295" s="9" t="s">
        <v>3014</v>
      </c>
      <c r="D1295" s="9" t="s">
        <v>3014</v>
      </c>
      <c r="E1295" s="9" t="s">
        <v>3015</v>
      </c>
      <c r="F1295" s="9" t="s">
        <v>3016</v>
      </c>
      <c r="H1295" s="9"/>
    </row>
    <row r="1296" ht="14.25" customHeight="1">
      <c r="C1296" s="9" t="s">
        <v>3014</v>
      </c>
      <c r="D1296" s="9" t="s">
        <v>3014</v>
      </c>
      <c r="E1296" s="9" t="s">
        <v>3015</v>
      </c>
      <c r="F1296" s="9" t="s">
        <v>3017</v>
      </c>
      <c r="H1296" s="9"/>
    </row>
    <row r="1297" ht="14.25" customHeight="1">
      <c r="C1297" s="9" t="s">
        <v>3018</v>
      </c>
      <c r="D1297" s="9" t="s">
        <v>3019</v>
      </c>
      <c r="E1297" s="9" t="s">
        <v>3015</v>
      </c>
      <c r="F1297" s="9" t="s">
        <v>3020</v>
      </c>
      <c r="H1297" s="9"/>
    </row>
    <row r="1298" ht="14.25" customHeight="1">
      <c r="C1298" s="9" t="s">
        <v>3018</v>
      </c>
      <c r="D1298" s="9" t="s">
        <v>3019</v>
      </c>
      <c r="E1298" s="9" t="s">
        <v>3015</v>
      </c>
      <c r="F1298" s="9" t="s">
        <v>3021</v>
      </c>
      <c r="H1298" s="9"/>
    </row>
    <row r="1299" ht="14.25" customHeight="1">
      <c r="C1299" s="9" t="s">
        <v>3018</v>
      </c>
      <c r="D1299" s="9" t="s">
        <v>3019</v>
      </c>
      <c r="E1299" s="9" t="s">
        <v>3015</v>
      </c>
      <c r="F1299" s="9" t="s">
        <v>3022</v>
      </c>
      <c r="H1299" s="9"/>
    </row>
    <row r="1300" ht="14.25" customHeight="1">
      <c r="C1300" s="9" t="s">
        <v>3018</v>
      </c>
      <c r="D1300" s="9" t="s">
        <v>3019</v>
      </c>
      <c r="E1300" s="9" t="s">
        <v>3015</v>
      </c>
      <c r="F1300" s="9" t="s">
        <v>3023</v>
      </c>
      <c r="H1300" s="9"/>
    </row>
    <row r="1301" ht="14.25" customHeight="1">
      <c r="C1301" s="199" t="s">
        <v>3024</v>
      </c>
      <c r="D1301" s="199" t="s">
        <v>3024</v>
      </c>
      <c r="E1301" s="9" t="s">
        <v>3025</v>
      </c>
      <c r="F1301" s="9" t="s">
        <v>493</v>
      </c>
      <c r="H1301" s="9"/>
    </row>
    <row r="1302" ht="14.25" customHeight="1">
      <c r="C1302" s="199" t="s">
        <v>3024</v>
      </c>
      <c r="D1302" s="199" t="s">
        <v>3024</v>
      </c>
      <c r="E1302" s="9" t="s">
        <v>3025</v>
      </c>
      <c r="F1302" s="9" t="s">
        <v>1362</v>
      </c>
      <c r="H1302" s="9"/>
    </row>
    <row r="1303" ht="14.25" customHeight="1">
      <c r="C1303" s="199" t="s">
        <v>3024</v>
      </c>
      <c r="D1303" s="199" t="s">
        <v>3024</v>
      </c>
      <c r="E1303" s="9" t="s">
        <v>3025</v>
      </c>
      <c r="F1303" s="9" t="s">
        <v>2970</v>
      </c>
      <c r="H1303" s="9"/>
    </row>
    <row r="1304" ht="14.25" customHeight="1">
      <c r="C1304" s="199" t="s">
        <v>3024</v>
      </c>
      <c r="D1304" s="199" t="s">
        <v>3024</v>
      </c>
      <c r="E1304" s="9" t="s">
        <v>3025</v>
      </c>
      <c r="F1304" s="9" t="s">
        <v>3026</v>
      </c>
      <c r="H1304" s="9"/>
    </row>
    <row r="1305" ht="14.25" customHeight="1">
      <c r="C1305" s="199" t="s">
        <v>3024</v>
      </c>
      <c r="D1305" s="199" t="s">
        <v>3024</v>
      </c>
      <c r="E1305" s="9" t="s">
        <v>3025</v>
      </c>
      <c r="F1305" s="9" t="s">
        <v>2971</v>
      </c>
      <c r="H1305" s="9"/>
    </row>
    <row r="1306" ht="14.25" customHeight="1">
      <c r="C1306" s="199" t="s">
        <v>3024</v>
      </c>
      <c r="D1306" s="199" t="s">
        <v>3024</v>
      </c>
      <c r="E1306" s="9" t="s">
        <v>3025</v>
      </c>
      <c r="F1306" s="9" t="s">
        <v>1364</v>
      </c>
      <c r="H1306" s="9"/>
    </row>
    <row r="1307" ht="14.25" customHeight="1">
      <c r="C1307" s="199" t="s">
        <v>3024</v>
      </c>
      <c r="D1307" s="199" t="s">
        <v>3024</v>
      </c>
      <c r="E1307" s="9" t="s">
        <v>3025</v>
      </c>
      <c r="F1307" s="9" t="s">
        <v>3027</v>
      </c>
      <c r="H1307" s="9"/>
    </row>
    <row r="1308" ht="14.25" customHeight="1">
      <c r="C1308" s="199" t="s">
        <v>3024</v>
      </c>
      <c r="D1308" s="199" t="s">
        <v>3024</v>
      </c>
      <c r="E1308" s="9" t="s">
        <v>3025</v>
      </c>
      <c r="F1308" s="9" t="s">
        <v>136</v>
      </c>
      <c r="H1308" s="9"/>
    </row>
    <row r="1309" ht="14.25" customHeight="1">
      <c r="C1309" s="199" t="s">
        <v>3024</v>
      </c>
      <c r="D1309" s="199" t="s">
        <v>3024</v>
      </c>
      <c r="E1309" s="9" t="s">
        <v>3025</v>
      </c>
      <c r="F1309" s="9" t="s">
        <v>3028</v>
      </c>
      <c r="H1309" s="9"/>
    </row>
    <row r="1310" ht="14.25" customHeight="1">
      <c r="C1310" s="199" t="s">
        <v>3024</v>
      </c>
      <c r="D1310" s="199" t="s">
        <v>3024</v>
      </c>
      <c r="E1310" s="9" t="s">
        <v>3025</v>
      </c>
      <c r="F1310" s="9" t="s">
        <v>1365</v>
      </c>
      <c r="H1310" s="9"/>
    </row>
    <row r="1311" ht="14.25" customHeight="1">
      <c r="C1311" s="199" t="s">
        <v>3024</v>
      </c>
      <c r="D1311" s="199" t="s">
        <v>3024</v>
      </c>
      <c r="E1311" s="9" t="s">
        <v>3025</v>
      </c>
      <c r="F1311" s="9" t="s">
        <v>1360</v>
      </c>
      <c r="H1311" s="9"/>
    </row>
    <row r="1312" ht="14.25" customHeight="1">
      <c r="C1312" s="199" t="s">
        <v>3024</v>
      </c>
      <c r="D1312" s="199" t="s">
        <v>3024</v>
      </c>
      <c r="E1312" s="9" t="s">
        <v>3025</v>
      </c>
      <c r="F1312" s="9" t="s">
        <v>2301</v>
      </c>
      <c r="H1312" s="9"/>
    </row>
    <row r="1313" ht="14.25" customHeight="1">
      <c r="C1313" s="199" t="s">
        <v>3024</v>
      </c>
      <c r="D1313" s="199" t="s">
        <v>3024</v>
      </c>
      <c r="E1313" s="9" t="s">
        <v>3025</v>
      </c>
      <c r="F1313" s="9" t="s">
        <v>1359</v>
      </c>
      <c r="H1313" s="9"/>
    </row>
    <row r="1314" ht="14.25" customHeight="1">
      <c r="C1314" s="199" t="s">
        <v>3024</v>
      </c>
      <c r="D1314" s="199" t="s">
        <v>3024</v>
      </c>
      <c r="E1314" s="9" t="s">
        <v>3025</v>
      </c>
      <c r="F1314" s="9" t="s">
        <v>172</v>
      </c>
      <c r="H1314" s="9"/>
    </row>
    <row r="1315" ht="14.25" customHeight="1">
      <c r="C1315" s="199" t="s">
        <v>3024</v>
      </c>
      <c r="D1315" s="199" t="s">
        <v>3024</v>
      </c>
      <c r="E1315" s="9" t="s">
        <v>3025</v>
      </c>
      <c r="F1315" s="9" t="s">
        <v>98</v>
      </c>
      <c r="H1315" s="9"/>
    </row>
    <row r="1316" ht="14.25" customHeight="1">
      <c r="C1316" s="199" t="s">
        <v>3024</v>
      </c>
      <c r="D1316" s="199" t="s">
        <v>3024</v>
      </c>
      <c r="E1316" s="9" t="s">
        <v>3025</v>
      </c>
      <c r="F1316" s="9" t="s">
        <v>341</v>
      </c>
      <c r="H1316" s="9"/>
    </row>
    <row r="1317" ht="14.25" customHeight="1">
      <c r="C1317" s="199" t="s">
        <v>3024</v>
      </c>
      <c r="D1317" s="199" t="s">
        <v>3024</v>
      </c>
      <c r="E1317" s="9" t="s">
        <v>3025</v>
      </c>
      <c r="F1317" s="9" t="s">
        <v>529</v>
      </c>
      <c r="H1317" s="9"/>
    </row>
    <row r="1318" ht="14.25" customHeight="1">
      <c r="C1318" s="199" t="s">
        <v>3024</v>
      </c>
      <c r="D1318" s="199" t="s">
        <v>3024</v>
      </c>
      <c r="E1318" s="9" t="s">
        <v>3025</v>
      </c>
      <c r="F1318" s="9" t="s">
        <v>3029</v>
      </c>
      <c r="H1318" s="9"/>
    </row>
    <row r="1319" ht="14.25" customHeight="1">
      <c r="C1319" s="199" t="s">
        <v>3024</v>
      </c>
      <c r="D1319" s="199" t="s">
        <v>3024</v>
      </c>
      <c r="E1319" s="9" t="s">
        <v>3025</v>
      </c>
      <c r="F1319" s="9" t="s">
        <v>321</v>
      </c>
      <c r="H1319" s="9"/>
    </row>
    <row r="1320" ht="14.25" customHeight="1">
      <c r="C1320" s="199" t="s">
        <v>3024</v>
      </c>
      <c r="D1320" s="199" t="s">
        <v>3024</v>
      </c>
      <c r="E1320" s="9" t="s">
        <v>3025</v>
      </c>
      <c r="F1320" s="9" t="s">
        <v>1356</v>
      </c>
      <c r="H1320" s="9"/>
    </row>
    <row r="1321" ht="14.25" customHeight="1">
      <c r="C1321" s="199" t="s">
        <v>3024</v>
      </c>
      <c r="D1321" s="199" t="s">
        <v>3024</v>
      </c>
      <c r="E1321" s="9" t="s">
        <v>3025</v>
      </c>
      <c r="F1321" s="9" t="s">
        <v>517</v>
      </c>
      <c r="H1321" s="9"/>
    </row>
    <row r="1322" ht="14.25" customHeight="1">
      <c r="C1322" s="199" t="s">
        <v>3024</v>
      </c>
      <c r="D1322" s="199" t="s">
        <v>3024</v>
      </c>
      <c r="E1322" s="9" t="s">
        <v>3025</v>
      </c>
      <c r="F1322" s="9" t="s">
        <v>2309</v>
      </c>
      <c r="H1322" s="9"/>
    </row>
    <row r="1323" ht="14.25" customHeight="1">
      <c r="C1323" s="199" t="s">
        <v>3024</v>
      </c>
      <c r="D1323" s="199" t="s">
        <v>3024</v>
      </c>
      <c r="E1323" s="9" t="s">
        <v>3025</v>
      </c>
      <c r="F1323" s="9" t="s">
        <v>2972</v>
      </c>
      <c r="H1323" s="9"/>
    </row>
    <row r="1324" ht="14.25" customHeight="1">
      <c r="C1324" s="199" t="s">
        <v>3024</v>
      </c>
      <c r="D1324" s="199" t="s">
        <v>3024</v>
      </c>
      <c r="E1324" s="9" t="s">
        <v>3025</v>
      </c>
      <c r="F1324" s="9" t="s">
        <v>2973</v>
      </c>
      <c r="H1324" s="9"/>
    </row>
    <row r="1325" ht="14.25" customHeight="1">
      <c r="C1325" s="9" t="s">
        <v>3030</v>
      </c>
      <c r="D1325" s="9" t="s">
        <v>3031</v>
      </c>
      <c r="E1325" s="9" t="s">
        <v>3025</v>
      </c>
      <c r="F1325" s="9" t="s">
        <v>474</v>
      </c>
      <c r="H1325" s="9"/>
    </row>
    <row r="1326" ht="14.25" customHeight="1">
      <c r="C1326" s="9" t="s">
        <v>3030</v>
      </c>
      <c r="D1326" s="9" t="s">
        <v>3031</v>
      </c>
      <c r="E1326" s="9" t="s">
        <v>3025</v>
      </c>
      <c r="F1326" s="9" t="s">
        <v>3032</v>
      </c>
      <c r="H1326" s="9"/>
    </row>
    <row r="1327" ht="14.25" customHeight="1">
      <c r="C1327" s="9" t="s">
        <v>3030</v>
      </c>
      <c r="D1327" s="9" t="s">
        <v>3031</v>
      </c>
      <c r="E1327" s="9" t="s">
        <v>3025</v>
      </c>
      <c r="F1327" s="9" t="s">
        <v>284</v>
      </c>
      <c r="H1327" s="9"/>
    </row>
    <row r="1328" ht="14.25" customHeight="1">
      <c r="C1328" s="9" t="s">
        <v>3030</v>
      </c>
      <c r="D1328" s="9" t="s">
        <v>3031</v>
      </c>
      <c r="E1328" s="9" t="s">
        <v>3025</v>
      </c>
      <c r="F1328" s="9" t="s">
        <v>493</v>
      </c>
      <c r="H1328" s="9"/>
    </row>
    <row r="1329" ht="14.25" customHeight="1">
      <c r="C1329" s="9" t="s">
        <v>3030</v>
      </c>
      <c r="D1329" s="9" t="s">
        <v>3031</v>
      </c>
      <c r="E1329" s="9" t="s">
        <v>3025</v>
      </c>
      <c r="F1329" s="9" t="s">
        <v>450</v>
      </c>
      <c r="H1329" s="9"/>
    </row>
    <row r="1330" ht="14.25" customHeight="1">
      <c r="C1330" s="9" t="s">
        <v>3030</v>
      </c>
      <c r="D1330" s="9" t="s">
        <v>3031</v>
      </c>
      <c r="E1330" s="9" t="s">
        <v>3025</v>
      </c>
      <c r="F1330" s="9" t="s">
        <v>2296</v>
      </c>
      <c r="H1330" s="9"/>
    </row>
    <row r="1331" ht="14.25" customHeight="1">
      <c r="C1331" s="9" t="s">
        <v>3030</v>
      </c>
      <c r="D1331" s="9" t="s">
        <v>3031</v>
      </c>
      <c r="E1331" s="9" t="s">
        <v>3025</v>
      </c>
      <c r="F1331" s="9" t="s">
        <v>276</v>
      </c>
      <c r="H1331" s="9"/>
    </row>
    <row r="1332" ht="14.25" customHeight="1">
      <c r="C1332" s="9" t="s">
        <v>3030</v>
      </c>
      <c r="D1332" s="9" t="s">
        <v>3031</v>
      </c>
      <c r="E1332" s="9" t="s">
        <v>3025</v>
      </c>
      <c r="F1332" s="9" t="s">
        <v>431</v>
      </c>
      <c r="H1332" s="9"/>
    </row>
    <row r="1333" ht="14.25" customHeight="1">
      <c r="C1333" s="9" t="s">
        <v>3030</v>
      </c>
      <c r="D1333" s="9" t="s">
        <v>3031</v>
      </c>
      <c r="E1333" s="9" t="s">
        <v>3025</v>
      </c>
      <c r="F1333" s="9" t="s">
        <v>26</v>
      </c>
      <c r="H1333" s="9"/>
    </row>
    <row r="1334" ht="14.25" customHeight="1">
      <c r="C1334" s="9" t="s">
        <v>3030</v>
      </c>
      <c r="D1334" s="9" t="s">
        <v>3031</v>
      </c>
      <c r="E1334" s="9" t="s">
        <v>3025</v>
      </c>
      <c r="F1334" s="9" t="s">
        <v>420</v>
      </c>
      <c r="H1334" s="9"/>
    </row>
    <row r="1335" ht="14.25" customHeight="1">
      <c r="C1335" s="9" t="s">
        <v>3030</v>
      </c>
      <c r="D1335" s="9" t="s">
        <v>3031</v>
      </c>
      <c r="E1335" s="9" t="s">
        <v>3025</v>
      </c>
      <c r="F1335" s="9" t="s">
        <v>482</v>
      </c>
      <c r="H1335" s="9"/>
    </row>
    <row r="1336" ht="14.25" customHeight="1">
      <c r="C1336" s="9" t="s">
        <v>3030</v>
      </c>
      <c r="D1336" s="9" t="s">
        <v>3031</v>
      </c>
      <c r="E1336" s="9" t="s">
        <v>3025</v>
      </c>
      <c r="F1336" s="15" t="s">
        <v>136</v>
      </c>
      <c r="H1336" s="9"/>
    </row>
    <row r="1337" ht="14.25" customHeight="1">
      <c r="C1337" s="9" t="s">
        <v>3030</v>
      </c>
      <c r="D1337" s="9" t="s">
        <v>3031</v>
      </c>
      <c r="E1337" s="9" t="s">
        <v>3025</v>
      </c>
      <c r="F1337" s="9" t="s">
        <v>408</v>
      </c>
      <c r="H1337" s="9"/>
    </row>
    <row r="1338" ht="14.25" customHeight="1">
      <c r="C1338" s="9" t="s">
        <v>3030</v>
      </c>
      <c r="D1338" s="9" t="s">
        <v>3031</v>
      </c>
      <c r="E1338" s="9" t="s">
        <v>3025</v>
      </c>
      <c r="F1338" s="9" t="s">
        <v>2301</v>
      </c>
      <c r="H1338" s="9"/>
    </row>
    <row r="1339" ht="14.25" customHeight="1">
      <c r="C1339" s="9" t="s">
        <v>3030</v>
      </c>
      <c r="D1339" s="9" t="s">
        <v>3031</v>
      </c>
      <c r="E1339" s="9" t="s">
        <v>3025</v>
      </c>
      <c r="F1339" s="9" t="s">
        <v>197</v>
      </c>
      <c r="H1339" s="9"/>
    </row>
    <row r="1340" ht="14.25" customHeight="1">
      <c r="C1340" s="9" t="s">
        <v>3030</v>
      </c>
      <c r="D1340" s="9" t="s">
        <v>3031</v>
      </c>
      <c r="E1340" s="9" t="s">
        <v>3025</v>
      </c>
      <c r="F1340" s="9" t="s">
        <v>172</v>
      </c>
      <c r="H1340" s="9"/>
    </row>
    <row r="1341" ht="14.25" customHeight="1">
      <c r="C1341" s="9" t="s">
        <v>3030</v>
      </c>
      <c r="D1341" s="9" t="s">
        <v>3031</v>
      </c>
      <c r="E1341" s="9" t="s">
        <v>3025</v>
      </c>
      <c r="F1341" s="9" t="s">
        <v>98</v>
      </c>
      <c r="H1341" s="9"/>
    </row>
    <row r="1342" ht="14.25" customHeight="1">
      <c r="C1342" s="9" t="s">
        <v>3030</v>
      </c>
      <c r="D1342" s="9" t="s">
        <v>3031</v>
      </c>
      <c r="E1342" s="9" t="s">
        <v>3025</v>
      </c>
      <c r="F1342" s="9" t="s">
        <v>341</v>
      </c>
      <c r="H1342" s="9"/>
    </row>
    <row r="1343" ht="14.25" customHeight="1">
      <c r="C1343" s="9" t="s">
        <v>3030</v>
      </c>
      <c r="D1343" s="9" t="s">
        <v>3031</v>
      </c>
      <c r="E1343" s="9" t="s">
        <v>3025</v>
      </c>
      <c r="F1343" s="9" t="s">
        <v>3033</v>
      </c>
      <c r="H1343" s="9"/>
    </row>
    <row r="1344" ht="14.25" customHeight="1">
      <c r="C1344" s="9" t="s">
        <v>3030</v>
      </c>
      <c r="D1344" s="9" t="s">
        <v>3031</v>
      </c>
      <c r="E1344" s="9" t="s">
        <v>3025</v>
      </c>
      <c r="F1344" s="9" t="s">
        <v>367</v>
      </c>
      <c r="H1344" s="9"/>
    </row>
    <row r="1345" ht="14.25" customHeight="1">
      <c r="C1345" s="9" t="s">
        <v>3030</v>
      </c>
      <c r="D1345" s="9" t="s">
        <v>3031</v>
      </c>
      <c r="E1345" s="9" t="s">
        <v>3025</v>
      </c>
      <c r="F1345" s="9" t="s">
        <v>529</v>
      </c>
      <c r="H1345" s="9"/>
    </row>
    <row r="1346" ht="14.25" customHeight="1">
      <c r="C1346" s="9" t="s">
        <v>3030</v>
      </c>
      <c r="D1346" s="9" t="s">
        <v>3031</v>
      </c>
      <c r="E1346" s="9" t="s">
        <v>3025</v>
      </c>
      <c r="F1346" s="9" t="s">
        <v>282</v>
      </c>
      <c r="H1346" s="9"/>
    </row>
    <row r="1347" ht="14.25" customHeight="1">
      <c r="C1347" s="9" t="s">
        <v>3030</v>
      </c>
      <c r="D1347" s="9" t="s">
        <v>3031</v>
      </c>
      <c r="E1347" s="9" t="s">
        <v>3025</v>
      </c>
      <c r="F1347" s="9" t="s">
        <v>321</v>
      </c>
      <c r="H1347" s="9"/>
    </row>
    <row r="1348" ht="14.25" customHeight="1">
      <c r="C1348" s="9" t="s">
        <v>3030</v>
      </c>
      <c r="D1348" s="9" t="s">
        <v>3031</v>
      </c>
      <c r="E1348" s="9" t="s">
        <v>3025</v>
      </c>
      <c r="F1348" s="9" t="s">
        <v>479</v>
      </c>
      <c r="H1348" s="9"/>
    </row>
    <row r="1349" ht="14.25" customHeight="1">
      <c r="C1349" s="9" t="s">
        <v>3030</v>
      </c>
      <c r="D1349" s="9" t="s">
        <v>3031</v>
      </c>
      <c r="E1349" s="9" t="s">
        <v>3025</v>
      </c>
      <c r="F1349" s="9" t="s">
        <v>517</v>
      </c>
      <c r="H1349" s="9"/>
    </row>
    <row r="1350" ht="14.25" customHeight="1">
      <c r="C1350" s="9" t="s">
        <v>3030</v>
      </c>
      <c r="D1350" s="9" t="s">
        <v>3031</v>
      </c>
      <c r="E1350" s="9" t="s">
        <v>3025</v>
      </c>
      <c r="F1350" s="9" t="s">
        <v>2309</v>
      </c>
      <c r="H1350" s="9"/>
    </row>
    <row r="1351" ht="14.25" customHeight="1">
      <c r="C1351" s="9" t="s">
        <v>3030</v>
      </c>
      <c r="D1351" s="9" t="s">
        <v>3031</v>
      </c>
      <c r="E1351" s="9" t="s">
        <v>3025</v>
      </c>
      <c r="F1351" s="9" t="s">
        <v>336</v>
      </c>
      <c r="H1351" s="9"/>
    </row>
    <row r="1352" ht="14.25" customHeight="1">
      <c r="C1352" s="9" t="s">
        <v>3030</v>
      </c>
      <c r="D1352" s="9" t="s">
        <v>3031</v>
      </c>
      <c r="E1352" s="9" t="s">
        <v>3025</v>
      </c>
      <c r="F1352" s="9" t="s">
        <v>235</v>
      </c>
      <c r="H1352" s="9"/>
    </row>
    <row r="1353" ht="14.25" customHeight="1">
      <c r="C1353" s="9" t="s">
        <v>3030</v>
      </c>
      <c r="D1353" s="9" t="s">
        <v>3031</v>
      </c>
      <c r="E1353" s="9" t="s">
        <v>3025</v>
      </c>
      <c r="F1353" s="9" t="s">
        <v>2957</v>
      </c>
      <c r="H1353" s="9"/>
    </row>
    <row r="1354" ht="14.25" customHeight="1">
      <c r="C1354" s="9" t="s">
        <v>3030</v>
      </c>
      <c r="D1354" s="9" t="s">
        <v>3031</v>
      </c>
      <c r="E1354" s="9" t="s">
        <v>3025</v>
      </c>
      <c r="F1354" s="9" t="s">
        <v>264</v>
      </c>
      <c r="H1354" s="9"/>
    </row>
    <row r="1355" ht="14.25" customHeight="1">
      <c r="C1355" s="9" t="s">
        <v>3030</v>
      </c>
      <c r="D1355" s="9" t="s">
        <v>3034</v>
      </c>
      <c r="E1355" s="9" t="s">
        <v>3025</v>
      </c>
      <c r="F1355" s="9" t="s">
        <v>474</v>
      </c>
      <c r="H1355" s="9"/>
    </row>
    <row r="1356" ht="14.25" customHeight="1">
      <c r="C1356" s="9" t="s">
        <v>3030</v>
      </c>
      <c r="D1356" s="9" t="s">
        <v>3034</v>
      </c>
      <c r="E1356" s="9" t="s">
        <v>3025</v>
      </c>
      <c r="F1356" s="9" t="s">
        <v>3032</v>
      </c>
      <c r="H1356" s="9"/>
    </row>
    <row r="1357" ht="14.25" customHeight="1">
      <c r="C1357" s="9" t="s">
        <v>3030</v>
      </c>
      <c r="D1357" s="9" t="s">
        <v>3034</v>
      </c>
      <c r="E1357" s="9" t="s">
        <v>3025</v>
      </c>
      <c r="F1357" s="9" t="s">
        <v>284</v>
      </c>
      <c r="H1357" s="9"/>
    </row>
    <row r="1358" ht="14.25" customHeight="1">
      <c r="C1358" s="9" t="s">
        <v>3030</v>
      </c>
      <c r="D1358" s="9" t="s">
        <v>3034</v>
      </c>
      <c r="E1358" s="9" t="s">
        <v>3025</v>
      </c>
      <c r="F1358" s="9" t="s">
        <v>493</v>
      </c>
      <c r="H1358" s="9"/>
    </row>
    <row r="1359" ht="14.25" customHeight="1">
      <c r="C1359" s="9" t="s">
        <v>3030</v>
      </c>
      <c r="D1359" s="9" t="s">
        <v>3034</v>
      </c>
      <c r="E1359" s="9" t="s">
        <v>3025</v>
      </c>
      <c r="F1359" s="9" t="s">
        <v>450</v>
      </c>
      <c r="H1359" s="9"/>
    </row>
    <row r="1360" ht="14.25" customHeight="1">
      <c r="C1360" s="9" t="s">
        <v>3030</v>
      </c>
      <c r="D1360" s="9" t="s">
        <v>3034</v>
      </c>
      <c r="E1360" s="9" t="s">
        <v>3025</v>
      </c>
      <c r="F1360" s="9" t="s">
        <v>2296</v>
      </c>
      <c r="H1360" s="9"/>
    </row>
    <row r="1361" ht="14.25" customHeight="1">
      <c r="C1361" s="9" t="s">
        <v>3030</v>
      </c>
      <c r="D1361" s="9" t="s">
        <v>3034</v>
      </c>
      <c r="E1361" s="9" t="s">
        <v>3025</v>
      </c>
      <c r="F1361" s="9" t="s">
        <v>276</v>
      </c>
      <c r="H1361" s="9"/>
    </row>
    <row r="1362" ht="14.25" customHeight="1">
      <c r="C1362" s="9" t="s">
        <v>3030</v>
      </c>
      <c r="D1362" s="9" t="s">
        <v>3034</v>
      </c>
      <c r="E1362" s="9" t="s">
        <v>3025</v>
      </c>
      <c r="F1362" s="9" t="s">
        <v>431</v>
      </c>
      <c r="H1362" s="9"/>
    </row>
    <row r="1363" ht="14.25" customHeight="1">
      <c r="C1363" s="9" t="s">
        <v>3030</v>
      </c>
      <c r="D1363" s="9" t="s">
        <v>3034</v>
      </c>
      <c r="E1363" s="9" t="s">
        <v>3025</v>
      </c>
      <c r="F1363" s="9" t="s">
        <v>26</v>
      </c>
      <c r="H1363" s="9"/>
    </row>
    <row r="1364" ht="14.25" customHeight="1">
      <c r="C1364" s="9" t="s">
        <v>3030</v>
      </c>
      <c r="D1364" s="9" t="s">
        <v>3034</v>
      </c>
      <c r="E1364" s="9" t="s">
        <v>3025</v>
      </c>
      <c r="F1364" s="9" t="s">
        <v>420</v>
      </c>
      <c r="H1364" s="9"/>
    </row>
    <row r="1365" ht="14.25" customHeight="1">
      <c r="C1365" s="9" t="s">
        <v>3030</v>
      </c>
      <c r="D1365" s="9" t="s">
        <v>3034</v>
      </c>
      <c r="E1365" s="9" t="s">
        <v>3025</v>
      </c>
      <c r="F1365" s="9" t="s">
        <v>482</v>
      </c>
      <c r="H1365" s="9"/>
    </row>
    <row r="1366" ht="14.25" customHeight="1">
      <c r="C1366" s="9" t="s">
        <v>3030</v>
      </c>
      <c r="D1366" s="9" t="s">
        <v>3034</v>
      </c>
      <c r="E1366" s="9" t="s">
        <v>3025</v>
      </c>
      <c r="F1366" s="15" t="s">
        <v>136</v>
      </c>
      <c r="H1366" s="9"/>
    </row>
    <row r="1367" ht="14.25" customHeight="1">
      <c r="C1367" s="9" t="s">
        <v>3030</v>
      </c>
      <c r="D1367" s="9" t="s">
        <v>3034</v>
      </c>
      <c r="E1367" s="9" t="s">
        <v>3025</v>
      </c>
      <c r="F1367" s="9" t="s">
        <v>408</v>
      </c>
      <c r="H1367" s="9"/>
    </row>
    <row r="1368" ht="14.25" customHeight="1">
      <c r="C1368" s="9" t="s">
        <v>3030</v>
      </c>
      <c r="D1368" s="9" t="s">
        <v>3034</v>
      </c>
      <c r="E1368" s="9" t="s">
        <v>3025</v>
      </c>
      <c r="F1368" s="9" t="s">
        <v>2301</v>
      </c>
      <c r="H1368" s="9"/>
    </row>
    <row r="1369" ht="14.25" customHeight="1">
      <c r="C1369" s="9" t="s">
        <v>3030</v>
      </c>
      <c r="D1369" s="9" t="s">
        <v>3034</v>
      </c>
      <c r="E1369" s="9" t="s">
        <v>3025</v>
      </c>
      <c r="F1369" s="9" t="s">
        <v>197</v>
      </c>
      <c r="H1369" s="9"/>
    </row>
    <row r="1370" ht="14.25" customHeight="1">
      <c r="C1370" s="9" t="s">
        <v>3030</v>
      </c>
      <c r="D1370" s="9" t="s">
        <v>3034</v>
      </c>
      <c r="E1370" s="9" t="s">
        <v>3025</v>
      </c>
      <c r="F1370" s="9" t="s">
        <v>172</v>
      </c>
      <c r="H1370" s="9"/>
    </row>
    <row r="1371" ht="14.25" customHeight="1">
      <c r="C1371" s="9" t="s">
        <v>3030</v>
      </c>
      <c r="D1371" s="9" t="s">
        <v>3034</v>
      </c>
      <c r="E1371" s="9" t="s">
        <v>3025</v>
      </c>
      <c r="F1371" s="9" t="s">
        <v>98</v>
      </c>
      <c r="H1371" s="9"/>
    </row>
    <row r="1372" ht="14.25" customHeight="1">
      <c r="C1372" s="9" t="s">
        <v>3030</v>
      </c>
      <c r="D1372" s="9" t="s">
        <v>3034</v>
      </c>
      <c r="E1372" s="9" t="s">
        <v>3025</v>
      </c>
      <c r="F1372" s="9" t="s">
        <v>341</v>
      </c>
      <c r="H1372" s="9"/>
    </row>
    <row r="1373" ht="14.25" customHeight="1">
      <c r="C1373" s="9" t="s">
        <v>3030</v>
      </c>
      <c r="D1373" s="9" t="s">
        <v>3034</v>
      </c>
      <c r="E1373" s="9" t="s">
        <v>3025</v>
      </c>
      <c r="F1373" s="9" t="s">
        <v>3033</v>
      </c>
      <c r="H1373" s="9"/>
    </row>
    <row r="1374" ht="14.25" customHeight="1">
      <c r="C1374" s="9" t="s">
        <v>3030</v>
      </c>
      <c r="D1374" s="9" t="s">
        <v>3034</v>
      </c>
      <c r="E1374" s="9" t="s">
        <v>3025</v>
      </c>
      <c r="F1374" s="9" t="s">
        <v>367</v>
      </c>
      <c r="H1374" s="9"/>
    </row>
    <row r="1375" ht="14.25" customHeight="1">
      <c r="C1375" s="9" t="s">
        <v>3030</v>
      </c>
      <c r="D1375" s="9" t="s">
        <v>3034</v>
      </c>
      <c r="E1375" s="9" t="s">
        <v>3025</v>
      </c>
      <c r="F1375" s="9" t="s">
        <v>529</v>
      </c>
      <c r="H1375" s="9"/>
    </row>
    <row r="1376" ht="14.25" customHeight="1">
      <c r="C1376" s="9" t="s">
        <v>3030</v>
      </c>
      <c r="D1376" s="9" t="s">
        <v>3034</v>
      </c>
      <c r="E1376" s="9" t="s">
        <v>3025</v>
      </c>
      <c r="F1376" s="9" t="s">
        <v>282</v>
      </c>
      <c r="H1376" s="9"/>
    </row>
    <row r="1377" ht="14.25" customHeight="1">
      <c r="C1377" s="9" t="s">
        <v>3030</v>
      </c>
      <c r="D1377" s="9" t="s">
        <v>3034</v>
      </c>
      <c r="E1377" s="9" t="s">
        <v>3025</v>
      </c>
      <c r="F1377" s="9" t="s">
        <v>321</v>
      </c>
      <c r="H1377" s="9"/>
    </row>
    <row r="1378" ht="14.25" customHeight="1">
      <c r="C1378" s="9" t="s">
        <v>3030</v>
      </c>
      <c r="D1378" s="9" t="s">
        <v>3034</v>
      </c>
      <c r="E1378" s="9" t="s">
        <v>3025</v>
      </c>
      <c r="F1378" s="9" t="s">
        <v>479</v>
      </c>
      <c r="H1378" s="9"/>
    </row>
    <row r="1379" ht="14.25" customHeight="1">
      <c r="C1379" s="9" t="s">
        <v>3030</v>
      </c>
      <c r="D1379" s="9" t="s">
        <v>3034</v>
      </c>
      <c r="E1379" s="9" t="s">
        <v>3025</v>
      </c>
      <c r="F1379" s="9" t="s">
        <v>517</v>
      </c>
      <c r="H1379" s="9"/>
    </row>
    <row r="1380" ht="14.25" customHeight="1">
      <c r="C1380" s="9" t="s">
        <v>3030</v>
      </c>
      <c r="D1380" s="9" t="s">
        <v>3034</v>
      </c>
      <c r="E1380" s="9" t="s">
        <v>3025</v>
      </c>
      <c r="F1380" s="9" t="s">
        <v>2309</v>
      </c>
      <c r="H1380" s="9"/>
    </row>
    <row r="1381" ht="14.25" customHeight="1">
      <c r="C1381" s="9" t="s">
        <v>3030</v>
      </c>
      <c r="D1381" s="9" t="s">
        <v>3034</v>
      </c>
      <c r="E1381" s="9" t="s">
        <v>3025</v>
      </c>
      <c r="F1381" s="9" t="s">
        <v>507</v>
      </c>
      <c r="H1381" s="9"/>
    </row>
    <row r="1382" ht="14.25" customHeight="1">
      <c r="C1382" s="9" t="s">
        <v>3030</v>
      </c>
      <c r="D1382" s="9" t="s">
        <v>3034</v>
      </c>
      <c r="E1382" s="9" t="s">
        <v>3025</v>
      </c>
      <c r="F1382" s="9" t="s">
        <v>336</v>
      </c>
      <c r="H1382" s="9"/>
    </row>
    <row r="1383" ht="14.25" customHeight="1">
      <c r="C1383" s="9" t="s">
        <v>3030</v>
      </c>
      <c r="D1383" s="9" t="s">
        <v>3034</v>
      </c>
      <c r="E1383" s="9" t="s">
        <v>3025</v>
      </c>
      <c r="F1383" s="9" t="s">
        <v>235</v>
      </c>
      <c r="H1383" s="9"/>
    </row>
    <row r="1384" ht="14.25" customHeight="1">
      <c r="C1384" s="9" t="s">
        <v>3030</v>
      </c>
      <c r="D1384" s="9" t="s">
        <v>3034</v>
      </c>
      <c r="E1384" s="9" t="s">
        <v>3025</v>
      </c>
      <c r="F1384" s="9" t="s">
        <v>2957</v>
      </c>
      <c r="H1384" s="9"/>
    </row>
    <row r="1385" ht="14.25" customHeight="1">
      <c r="C1385" s="9" t="s">
        <v>3030</v>
      </c>
      <c r="D1385" s="9" t="s">
        <v>3034</v>
      </c>
      <c r="E1385" s="9" t="s">
        <v>3025</v>
      </c>
      <c r="F1385" s="9" t="s">
        <v>264</v>
      </c>
      <c r="H1385" s="9"/>
    </row>
    <row r="1386" ht="14.25" customHeight="1">
      <c r="C1386" s="199" t="s">
        <v>3035</v>
      </c>
      <c r="D1386" s="199" t="s">
        <v>3036</v>
      </c>
      <c r="E1386" s="9" t="s">
        <v>3025</v>
      </c>
      <c r="F1386" s="9" t="s">
        <v>474</v>
      </c>
      <c r="H1386" s="9"/>
    </row>
    <row r="1387" ht="14.25" customHeight="1">
      <c r="C1387" s="199" t="s">
        <v>3035</v>
      </c>
      <c r="D1387" s="199" t="s">
        <v>3036</v>
      </c>
      <c r="E1387" s="9" t="s">
        <v>3025</v>
      </c>
      <c r="F1387" s="9" t="s">
        <v>284</v>
      </c>
      <c r="H1387" s="9"/>
    </row>
    <row r="1388" ht="14.25" customHeight="1">
      <c r="C1388" s="199" t="s">
        <v>3035</v>
      </c>
      <c r="D1388" s="199" t="s">
        <v>3036</v>
      </c>
      <c r="E1388" s="9" t="s">
        <v>3025</v>
      </c>
      <c r="F1388" s="9" t="s">
        <v>493</v>
      </c>
      <c r="H1388" s="9"/>
    </row>
    <row r="1389" ht="14.25" customHeight="1">
      <c r="C1389" s="199" t="s">
        <v>3035</v>
      </c>
      <c r="D1389" s="199" t="s">
        <v>3036</v>
      </c>
      <c r="E1389" s="9" t="s">
        <v>3025</v>
      </c>
      <c r="F1389" s="9" t="s">
        <v>450</v>
      </c>
      <c r="H1389" s="9"/>
    </row>
    <row r="1390" ht="14.25" customHeight="1">
      <c r="C1390" s="199" t="s">
        <v>3035</v>
      </c>
      <c r="D1390" s="199" t="s">
        <v>3036</v>
      </c>
      <c r="E1390" s="9" t="s">
        <v>3025</v>
      </c>
      <c r="F1390" s="9" t="s">
        <v>2296</v>
      </c>
      <c r="H1390" s="9"/>
    </row>
    <row r="1391" ht="14.25" customHeight="1">
      <c r="C1391" s="199" t="s">
        <v>3035</v>
      </c>
      <c r="D1391" s="199" t="s">
        <v>3036</v>
      </c>
      <c r="E1391" s="9" t="s">
        <v>3025</v>
      </c>
      <c r="F1391" s="9" t="s">
        <v>276</v>
      </c>
      <c r="H1391" s="9"/>
    </row>
    <row r="1392" ht="14.25" customHeight="1">
      <c r="C1392" s="199" t="s">
        <v>3035</v>
      </c>
      <c r="D1392" s="199" t="s">
        <v>3036</v>
      </c>
      <c r="E1392" s="9" t="s">
        <v>3025</v>
      </c>
      <c r="F1392" s="9" t="s">
        <v>431</v>
      </c>
      <c r="H1392" s="9"/>
    </row>
    <row r="1393" ht="14.25" customHeight="1">
      <c r="C1393" s="199" t="s">
        <v>3035</v>
      </c>
      <c r="D1393" s="199" t="s">
        <v>3036</v>
      </c>
      <c r="E1393" s="9" t="s">
        <v>3025</v>
      </c>
      <c r="F1393" s="9" t="s">
        <v>1272</v>
      </c>
      <c r="H1393" s="9"/>
    </row>
    <row r="1394" ht="14.25" customHeight="1">
      <c r="C1394" s="199" t="s">
        <v>3035</v>
      </c>
      <c r="D1394" s="199" t="s">
        <v>3036</v>
      </c>
      <c r="E1394" s="9" t="s">
        <v>3025</v>
      </c>
      <c r="F1394" s="9" t="s">
        <v>420</v>
      </c>
      <c r="H1394" s="9"/>
    </row>
    <row r="1395" ht="14.25" customHeight="1">
      <c r="C1395" s="199" t="s">
        <v>3035</v>
      </c>
      <c r="D1395" s="199" t="s">
        <v>3036</v>
      </c>
      <c r="E1395" s="9" t="s">
        <v>3025</v>
      </c>
      <c r="F1395" s="9" t="s">
        <v>482</v>
      </c>
      <c r="H1395" s="9"/>
    </row>
    <row r="1396" ht="14.25" customHeight="1">
      <c r="C1396" s="199" t="s">
        <v>3035</v>
      </c>
      <c r="D1396" s="199" t="s">
        <v>3036</v>
      </c>
      <c r="E1396" s="9" t="s">
        <v>3025</v>
      </c>
      <c r="F1396" s="9" t="s">
        <v>136</v>
      </c>
      <c r="H1396" s="9"/>
    </row>
    <row r="1397" ht="14.25" customHeight="1">
      <c r="C1397" s="199" t="s">
        <v>3035</v>
      </c>
      <c r="D1397" s="199" t="s">
        <v>3036</v>
      </c>
      <c r="E1397" s="9" t="s">
        <v>3025</v>
      </c>
      <c r="F1397" s="9" t="s">
        <v>408</v>
      </c>
      <c r="H1397" s="9"/>
    </row>
    <row r="1398" ht="14.25" customHeight="1">
      <c r="C1398" s="199" t="s">
        <v>3035</v>
      </c>
      <c r="D1398" s="199" t="s">
        <v>3036</v>
      </c>
      <c r="E1398" s="9" t="s">
        <v>3025</v>
      </c>
      <c r="F1398" s="9" t="s">
        <v>2301</v>
      </c>
      <c r="H1398" s="9"/>
    </row>
    <row r="1399" ht="14.25" customHeight="1">
      <c r="C1399" s="199" t="s">
        <v>3035</v>
      </c>
      <c r="D1399" s="199" t="s">
        <v>3036</v>
      </c>
      <c r="E1399" s="9" t="s">
        <v>3025</v>
      </c>
      <c r="F1399" s="9" t="s">
        <v>197</v>
      </c>
      <c r="H1399" s="9"/>
    </row>
    <row r="1400" ht="14.25" customHeight="1">
      <c r="C1400" s="199" t="s">
        <v>3035</v>
      </c>
      <c r="D1400" s="199" t="s">
        <v>3036</v>
      </c>
      <c r="E1400" s="9" t="s">
        <v>3025</v>
      </c>
      <c r="F1400" s="9" t="s">
        <v>172</v>
      </c>
      <c r="H1400" s="9"/>
    </row>
    <row r="1401" ht="14.25" customHeight="1">
      <c r="C1401" s="199" t="s">
        <v>3035</v>
      </c>
      <c r="D1401" s="199" t="s">
        <v>3036</v>
      </c>
      <c r="E1401" s="9" t="s">
        <v>3025</v>
      </c>
      <c r="F1401" s="9" t="s">
        <v>98</v>
      </c>
      <c r="H1401" s="9"/>
    </row>
    <row r="1402" ht="14.25" customHeight="1">
      <c r="C1402" s="199" t="s">
        <v>3035</v>
      </c>
      <c r="D1402" s="199" t="s">
        <v>3036</v>
      </c>
      <c r="E1402" s="9" t="s">
        <v>3025</v>
      </c>
      <c r="F1402" s="9" t="s">
        <v>341</v>
      </c>
      <c r="H1402" s="9"/>
    </row>
    <row r="1403" ht="14.25" customHeight="1">
      <c r="C1403" s="199" t="s">
        <v>3035</v>
      </c>
      <c r="D1403" s="199" t="s">
        <v>3036</v>
      </c>
      <c r="E1403" s="9" t="s">
        <v>3025</v>
      </c>
      <c r="F1403" s="9" t="s">
        <v>367</v>
      </c>
      <c r="H1403" s="9"/>
    </row>
    <row r="1404" ht="14.25" customHeight="1">
      <c r="C1404" s="199" t="s">
        <v>3035</v>
      </c>
      <c r="D1404" s="199" t="s">
        <v>3036</v>
      </c>
      <c r="E1404" s="9" t="s">
        <v>3025</v>
      </c>
      <c r="F1404" s="9" t="s">
        <v>529</v>
      </c>
      <c r="H1404" s="9"/>
    </row>
    <row r="1405" ht="14.25" customHeight="1">
      <c r="C1405" s="199" t="s">
        <v>3035</v>
      </c>
      <c r="D1405" s="199" t="s">
        <v>3036</v>
      </c>
      <c r="E1405" s="9" t="s">
        <v>3025</v>
      </c>
      <c r="F1405" s="9" t="s">
        <v>282</v>
      </c>
      <c r="H1405" s="9"/>
    </row>
    <row r="1406" ht="14.25" customHeight="1">
      <c r="C1406" s="199" t="s">
        <v>3035</v>
      </c>
      <c r="D1406" s="199" t="s">
        <v>3036</v>
      </c>
      <c r="E1406" s="9" t="s">
        <v>3025</v>
      </c>
      <c r="F1406" s="9" t="s">
        <v>321</v>
      </c>
      <c r="H1406" s="9"/>
    </row>
    <row r="1407" ht="14.25" customHeight="1">
      <c r="C1407" s="199" t="s">
        <v>3035</v>
      </c>
      <c r="D1407" s="199" t="s">
        <v>3036</v>
      </c>
      <c r="E1407" s="9" t="s">
        <v>3025</v>
      </c>
      <c r="F1407" s="9" t="s">
        <v>272</v>
      </c>
      <c r="H1407" s="9"/>
    </row>
    <row r="1408" ht="14.25" customHeight="1">
      <c r="C1408" s="199" t="s">
        <v>3035</v>
      </c>
      <c r="D1408" s="199" t="s">
        <v>3036</v>
      </c>
      <c r="E1408" s="9" t="s">
        <v>3025</v>
      </c>
      <c r="F1408" s="9" t="s">
        <v>517</v>
      </c>
      <c r="H1408" s="9"/>
    </row>
    <row r="1409" ht="14.25" customHeight="1">
      <c r="C1409" s="199" t="s">
        <v>3035</v>
      </c>
      <c r="D1409" s="199" t="s">
        <v>3036</v>
      </c>
      <c r="E1409" s="9" t="s">
        <v>3025</v>
      </c>
      <c r="F1409" s="9" t="s">
        <v>2309</v>
      </c>
      <c r="H1409" s="9"/>
    </row>
    <row r="1410" ht="14.25" customHeight="1">
      <c r="C1410" s="199" t="s">
        <v>3035</v>
      </c>
      <c r="D1410" s="199" t="s">
        <v>3036</v>
      </c>
      <c r="E1410" s="9" t="s">
        <v>3025</v>
      </c>
      <c r="F1410" s="9" t="s">
        <v>507</v>
      </c>
      <c r="H1410" s="9"/>
    </row>
    <row r="1411" ht="14.25" customHeight="1">
      <c r="C1411" s="199" t="s">
        <v>3035</v>
      </c>
      <c r="D1411" s="199" t="s">
        <v>3036</v>
      </c>
      <c r="E1411" s="9" t="s">
        <v>3025</v>
      </c>
      <c r="F1411" s="9" t="s">
        <v>336</v>
      </c>
      <c r="H1411" s="9"/>
    </row>
    <row r="1412" ht="14.25" customHeight="1">
      <c r="C1412" s="199" t="s">
        <v>3035</v>
      </c>
      <c r="D1412" s="199" t="s">
        <v>3036</v>
      </c>
      <c r="E1412" s="9" t="s">
        <v>3025</v>
      </c>
      <c r="F1412" s="9" t="s">
        <v>235</v>
      </c>
      <c r="H1412" s="9"/>
    </row>
    <row r="1413" ht="14.25" customHeight="1">
      <c r="C1413" s="199" t="s">
        <v>3035</v>
      </c>
      <c r="D1413" s="199" t="s">
        <v>3036</v>
      </c>
      <c r="E1413" s="9" t="s">
        <v>3025</v>
      </c>
      <c r="F1413" s="9" t="s">
        <v>327</v>
      </c>
      <c r="H1413" s="9"/>
    </row>
    <row r="1414" ht="14.25" customHeight="1">
      <c r="C1414" s="199" t="s">
        <v>3035</v>
      </c>
      <c r="D1414" s="199" t="s">
        <v>3036</v>
      </c>
      <c r="E1414" s="9" t="s">
        <v>3025</v>
      </c>
      <c r="F1414" s="9" t="s">
        <v>264</v>
      </c>
      <c r="H1414" s="9"/>
    </row>
    <row r="1415" ht="14.25" customHeight="1">
      <c r="C1415" s="199" t="s">
        <v>1433</v>
      </c>
      <c r="D1415" s="199" t="s">
        <v>1433</v>
      </c>
      <c r="E1415" s="9" t="s">
        <v>3025</v>
      </c>
      <c r="F1415" s="9" t="s">
        <v>474</v>
      </c>
      <c r="H1415" s="9"/>
    </row>
    <row r="1416" ht="14.25" customHeight="1">
      <c r="C1416" s="199" t="s">
        <v>1433</v>
      </c>
      <c r="D1416" s="199" t="s">
        <v>1433</v>
      </c>
      <c r="E1416" s="9" t="s">
        <v>3025</v>
      </c>
      <c r="F1416" s="9" t="s">
        <v>3032</v>
      </c>
      <c r="H1416" s="9"/>
    </row>
    <row r="1417" ht="14.25" customHeight="1">
      <c r="C1417" s="199" t="s">
        <v>1433</v>
      </c>
      <c r="D1417" s="199" t="s">
        <v>1433</v>
      </c>
      <c r="E1417" s="9" t="s">
        <v>3025</v>
      </c>
      <c r="F1417" s="9" t="s">
        <v>284</v>
      </c>
      <c r="H1417" s="9"/>
    </row>
    <row r="1418" ht="14.25" customHeight="1">
      <c r="C1418" s="199" t="s">
        <v>1433</v>
      </c>
      <c r="D1418" s="199" t="s">
        <v>1433</v>
      </c>
      <c r="E1418" s="9" t="s">
        <v>3025</v>
      </c>
      <c r="F1418" s="9" t="s">
        <v>493</v>
      </c>
      <c r="H1418" s="9"/>
    </row>
    <row r="1419" ht="14.25" customHeight="1">
      <c r="C1419" s="199" t="s">
        <v>1433</v>
      </c>
      <c r="D1419" s="199" t="s">
        <v>1433</v>
      </c>
      <c r="E1419" s="9" t="s">
        <v>3025</v>
      </c>
      <c r="F1419" s="9" t="s">
        <v>450</v>
      </c>
      <c r="H1419" s="9"/>
    </row>
    <row r="1420" ht="14.25" customHeight="1">
      <c r="C1420" s="199" t="s">
        <v>1433</v>
      </c>
      <c r="D1420" s="199" t="s">
        <v>1433</v>
      </c>
      <c r="E1420" s="9" t="s">
        <v>3025</v>
      </c>
      <c r="F1420" s="9" t="s">
        <v>2296</v>
      </c>
      <c r="H1420" s="9"/>
    </row>
    <row r="1421" ht="14.25" customHeight="1">
      <c r="C1421" s="199" t="s">
        <v>1433</v>
      </c>
      <c r="D1421" s="199" t="s">
        <v>1433</v>
      </c>
      <c r="E1421" s="9" t="s">
        <v>3025</v>
      </c>
      <c r="F1421" s="9" t="s">
        <v>276</v>
      </c>
      <c r="H1421" s="9"/>
    </row>
    <row r="1422" ht="14.25" customHeight="1">
      <c r="C1422" s="199" t="s">
        <v>1433</v>
      </c>
      <c r="D1422" s="199" t="s">
        <v>1433</v>
      </c>
      <c r="E1422" s="9" t="s">
        <v>3025</v>
      </c>
      <c r="F1422" s="9" t="s">
        <v>431</v>
      </c>
      <c r="H1422" s="9"/>
    </row>
    <row r="1423" ht="14.25" customHeight="1">
      <c r="C1423" s="199" t="s">
        <v>1433</v>
      </c>
      <c r="D1423" s="199" t="s">
        <v>1433</v>
      </c>
      <c r="E1423" s="9" t="s">
        <v>3025</v>
      </c>
      <c r="F1423" s="9" t="s">
        <v>26</v>
      </c>
      <c r="H1423" s="9"/>
    </row>
    <row r="1424" ht="14.25" customHeight="1">
      <c r="C1424" s="199" t="s">
        <v>1433</v>
      </c>
      <c r="D1424" s="199" t="s">
        <v>1433</v>
      </c>
      <c r="E1424" s="9" t="s">
        <v>3025</v>
      </c>
      <c r="F1424" s="9" t="s">
        <v>420</v>
      </c>
      <c r="H1424" s="9"/>
    </row>
    <row r="1425" ht="14.25" customHeight="1">
      <c r="C1425" s="199" t="s">
        <v>1433</v>
      </c>
      <c r="D1425" s="199" t="s">
        <v>1433</v>
      </c>
      <c r="E1425" s="9" t="s">
        <v>3025</v>
      </c>
      <c r="F1425" s="9" t="s">
        <v>482</v>
      </c>
      <c r="H1425" s="9"/>
    </row>
    <row r="1426" ht="14.25" customHeight="1">
      <c r="C1426" s="199" t="s">
        <v>1433</v>
      </c>
      <c r="D1426" s="199" t="s">
        <v>1433</v>
      </c>
      <c r="E1426" s="9" t="s">
        <v>3025</v>
      </c>
      <c r="F1426" s="15" t="s">
        <v>136</v>
      </c>
      <c r="H1426" s="9"/>
    </row>
    <row r="1427" ht="14.25" customHeight="1">
      <c r="C1427" s="199" t="s">
        <v>1433</v>
      </c>
      <c r="D1427" s="199" t="s">
        <v>1433</v>
      </c>
      <c r="E1427" s="9" t="s">
        <v>3025</v>
      </c>
      <c r="F1427" s="9" t="s">
        <v>408</v>
      </c>
      <c r="H1427" s="9"/>
    </row>
    <row r="1428" ht="14.25" customHeight="1">
      <c r="C1428" s="199" t="s">
        <v>1433</v>
      </c>
      <c r="D1428" s="199" t="s">
        <v>1433</v>
      </c>
      <c r="E1428" s="9" t="s">
        <v>3025</v>
      </c>
      <c r="F1428" s="9" t="s">
        <v>2301</v>
      </c>
      <c r="H1428" s="9"/>
    </row>
    <row r="1429" ht="14.25" customHeight="1">
      <c r="C1429" s="199" t="s">
        <v>1433</v>
      </c>
      <c r="D1429" s="199" t="s">
        <v>1433</v>
      </c>
      <c r="E1429" s="9" t="s">
        <v>3025</v>
      </c>
      <c r="F1429" s="9" t="s">
        <v>197</v>
      </c>
      <c r="H1429" s="9"/>
    </row>
    <row r="1430" ht="14.25" customHeight="1">
      <c r="C1430" s="199" t="s">
        <v>1433</v>
      </c>
      <c r="D1430" s="199" t="s">
        <v>1433</v>
      </c>
      <c r="E1430" s="9" t="s">
        <v>3025</v>
      </c>
      <c r="F1430" s="9" t="s">
        <v>172</v>
      </c>
      <c r="H1430" s="9"/>
    </row>
    <row r="1431" ht="14.25" customHeight="1">
      <c r="C1431" s="199" t="s">
        <v>1433</v>
      </c>
      <c r="D1431" s="199" t="s">
        <v>1433</v>
      </c>
      <c r="E1431" s="9" t="s">
        <v>3025</v>
      </c>
      <c r="F1431" s="9" t="s">
        <v>98</v>
      </c>
      <c r="H1431" s="9"/>
    </row>
    <row r="1432" ht="14.25" customHeight="1">
      <c r="C1432" s="199" t="s">
        <v>1433</v>
      </c>
      <c r="D1432" s="199" t="s">
        <v>1433</v>
      </c>
      <c r="E1432" s="9" t="s">
        <v>3025</v>
      </c>
      <c r="F1432" s="9" t="s">
        <v>341</v>
      </c>
      <c r="H1432" s="9"/>
    </row>
    <row r="1433" ht="14.25" customHeight="1">
      <c r="C1433" s="199" t="s">
        <v>1433</v>
      </c>
      <c r="D1433" s="199" t="s">
        <v>1433</v>
      </c>
      <c r="E1433" s="9" t="s">
        <v>3025</v>
      </c>
      <c r="F1433" s="9" t="s">
        <v>3033</v>
      </c>
      <c r="H1433" s="9"/>
    </row>
    <row r="1434" ht="14.25" customHeight="1">
      <c r="C1434" s="199" t="s">
        <v>1433</v>
      </c>
      <c r="D1434" s="199" t="s">
        <v>1433</v>
      </c>
      <c r="E1434" s="9" t="s">
        <v>3025</v>
      </c>
      <c r="F1434" s="9" t="s">
        <v>367</v>
      </c>
      <c r="H1434" s="9"/>
    </row>
    <row r="1435" ht="14.25" customHeight="1">
      <c r="C1435" s="199" t="s">
        <v>1433</v>
      </c>
      <c r="D1435" s="199" t="s">
        <v>1433</v>
      </c>
      <c r="E1435" s="9" t="s">
        <v>3025</v>
      </c>
      <c r="F1435" s="9" t="s">
        <v>529</v>
      </c>
      <c r="H1435" s="9"/>
    </row>
    <row r="1436" ht="14.25" customHeight="1">
      <c r="C1436" s="199" t="s">
        <v>1433</v>
      </c>
      <c r="D1436" s="199" t="s">
        <v>1433</v>
      </c>
      <c r="E1436" s="9" t="s">
        <v>3025</v>
      </c>
      <c r="F1436" s="9" t="s">
        <v>282</v>
      </c>
      <c r="H1436" s="9"/>
    </row>
    <row r="1437" ht="14.25" customHeight="1">
      <c r="C1437" s="199" t="s">
        <v>1433</v>
      </c>
      <c r="D1437" s="199" t="s">
        <v>1433</v>
      </c>
      <c r="E1437" s="9" t="s">
        <v>3025</v>
      </c>
      <c r="F1437" s="9" t="s">
        <v>321</v>
      </c>
      <c r="H1437" s="9"/>
    </row>
    <row r="1438" ht="14.25" customHeight="1">
      <c r="C1438" s="199" t="s">
        <v>1433</v>
      </c>
      <c r="D1438" s="199" t="s">
        <v>1433</v>
      </c>
      <c r="E1438" s="9" t="s">
        <v>3025</v>
      </c>
      <c r="F1438" s="9" t="s">
        <v>479</v>
      </c>
      <c r="H1438" s="9"/>
    </row>
    <row r="1439" ht="14.25" customHeight="1">
      <c r="C1439" s="199" t="s">
        <v>1433</v>
      </c>
      <c r="D1439" s="199" t="s">
        <v>1433</v>
      </c>
      <c r="E1439" s="9" t="s">
        <v>3025</v>
      </c>
      <c r="F1439" s="9" t="s">
        <v>517</v>
      </c>
      <c r="H1439" s="9"/>
    </row>
    <row r="1440" ht="14.25" customHeight="1">
      <c r="C1440" s="199" t="s">
        <v>1433</v>
      </c>
      <c r="D1440" s="199" t="s">
        <v>1433</v>
      </c>
      <c r="E1440" s="9" t="s">
        <v>3025</v>
      </c>
      <c r="F1440" s="9" t="s">
        <v>2309</v>
      </c>
      <c r="H1440" s="9"/>
    </row>
    <row r="1441" ht="14.25" customHeight="1">
      <c r="C1441" s="199" t="s">
        <v>1433</v>
      </c>
      <c r="D1441" s="199" t="s">
        <v>1433</v>
      </c>
      <c r="E1441" s="9" t="s">
        <v>3025</v>
      </c>
      <c r="F1441" s="9" t="s">
        <v>507</v>
      </c>
      <c r="H1441" s="9"/>
    </row>
    <row r="1442" ht="14.25" customHeight="1">
      <c r="C1442" s="199" t="s">
        <v>1433</v>
      </c>
      <c r="D1442" s="199" t="s">
        <v>1433</v>
      </c>
      <c r="E1442" s="9" t="s">
        <v>3025</v>
      </c>
      <c r="F1442" s="9" t="s">
        <v>336</v>
      </c>
      <c r="H1442" s="9"/>
    </row>
    <row r="1443" ht="14.25" customHeight="1">
      <c r="C1443" s="199" t="s">
        <v>1433</v>
      </c>
      <c r="D1443" s="199" t="s">
        <v>1433</v>
      </c>
      <c r="E1443" s="9" t="s">
        <v>3025</v>
      </c>
      <c r="F1443" s="9" t="s">
        <v>235</v>
      </c>
      <c r="H1443" s="9"/>
    </row>
    <row r="1444" ht="14.25" customHeight="1">
      <c r="C1444" s="199" t="s">
        <v>1433</v>
      </c>
      <c r="D1444" s="199" t="s">
        <v>1433</v>
      </c>
      <c r="E1444" s="9" t="s">
        <v>3025</v>
      </c>
      <c r="F1444" s="9" t="s">
        <v>2957</v>
      </c>
      <c r="H1444" s="9"/>
    </row>
    <row r="1445" ht="14.25" customHeight="1">
      <c r="C1445" s="199" t="s">
        <v>1433</v>
      </c>
      <c r="D1445" s="199" t="s">
        <v>1433</v>
      </c>
      <c r="E1445" s="9" t="s">
        <v>3025</v>
      </c>
      <c r="F1445" s="9" t="s">
        <v>264</v>
      </c>
      <c r="H1445" s="9"/>
    </row>
    <row r="1446" ht="14.25" customHeight="1">
      <c r="C1446" s="9" t="s">
        <v>3030</v>
      </c>
      <c r="D1446" s="9" t="s">
        <v>3031</v>
      </c>
      <c r="E1446" s="9" t="s">
        <v>3037</v>
      </c>
      <c r="F1446" s="9" t="s">
        <v>507</v>
      </c>
      <c r="H1446" s="9"/>
    </row>
    <row r="1447" ht="14.25" customHeight="1">
      <c r="C1447" s="9" t="s">
        <v>1419</v>
      </c>
      <c r="D1447" s="9" t="s">
        <v>3038</v>
      </c>
      <c r="E1447" s="9" t="s">
        <v>3039</v>
      </c>
      <c r="F1447" s="9" t="s">
        <v>474</v>
      </c>
      <c r="H1447" s="9"/>
    </row>
    <row r="1448" ht="14.25" customHeight="1">
      <c r="C1448" s="9" t="s">
        <v>1419</v>
      </c>
      <c r="D1448" s="9" t="s">
        <v>3038</v>
      </c>
      <c r="E1448" s="9" t="s">
        <v>3039</v>
      </c>
      <c r="F1448" s="9" t="s">
        <v>3032</v>
      </c>
      <c r="H1448" s="9"/>
    </row>
    <row r="1449" ht="14.25" customHeight="1">
      <c r="C1449" s="9" t="s">
        <v>1419</v>
      </c>
      <c r="D1449" s="9" t="s">
        <v>3038</v>
      </c>
      <c r="E1449" s="9" t="s">
        <v>3039</v>
      </c>
      <c r="F1449" s="9" t="s">
        <v>284</v>
      </c>
      <c r="H1449" s="9"/>
    </row>
    <row r="1450" ht="14.25" customHeight="1">
      <c r="C1450" s="9" t="s">
        <v>1419</v>
      </c>
      <c r="D1450" s="9" t="s">
        <v>3038</v>
      </c>
      <c r="E1450" s="9" t="s">
        <v>3039</v>
      </c>
      <c r="F1450" s="9" t="s">
        <v>493</v>
      </c>
      <c r="H1450" s="9"/>
    </row>
    <row r="1451" ht="14.25" customHeight="1">
      <c r="C1451" s="9" t="s">
        <v>1419</v>
      </c>
      <c r="D1451" s="9" t="s">
        <v>3038</v>
      </c>
      <c r="E1451" s="9" t="s">
        <v>3039</v>
      </c>
      <c r="F1451" s="9" t="s">
        <v>450</v>
      </c>
      <c r="H1451" s="9"/>
    </row>
    <row r="1452" ht="14.25" customHeight="1">
      <c r="C1452" s="9" t="s">
        <v>1419</v>
      </c>
      <c r="D1452" s="9" t="s">
        <v>3038</v>
      </c>
      <c r="E1452" s="9" t="s">
        <v>3039</v>
      </c>
      <c r="F1452" s="9" t="s">
        <v>2296</v>
      </c>
      <c r="H1452" s="9"/>
    </row>
    <row r="1453" ht="14.25" customHeight="1">
      <c r="C1453" s="9" t="s">
        <v>1419</v>
      </c>
      <c r="D1453" s="9" t="s">
        <v>3038</v>
      </c>
      <c r="E1453" s="9" t="s">
        <v>3039</v>
      </c>
      <c r="F1453" s="9" t="s">
        <v>276</v>
      </c>
      <c r="H1453" s="9"/>
    </row>
    <row r="1454" ht="14.25" customHeight="1">
      <c r="C1454" s="9" t="s">
        <v>1419</v>
      </c>
      <c r="D1454" s="9" t="s">
        <v>3038</v>
      </c>
      <c r="E1454" s="9" t="s">
        <v>3039</v>
      </c>
      <c r="F1454" s="9" t="s">
        <v>431</v>
      </c>
      <c r="H1454" s="9"/>
    </row>
    <row r="1455" ht="14.25" customHeight="1">
      <c r="C1455" s="9" t="s">
        <v>1419</v>
      </c>
      <c r="D1455" s="9" t="s">
        <v>3038</v>
      </c>
      <c r="E1455" s="9" t="s">
        <v>3039</v>
      </c>
      <c r="F1455" s="9" t="s">
        <v>26</v>
      </c>
      <c r="H1455" s="9"/>
    </row>
    <row r="1456" ht="14.25" customHeight="1">
      <c r="C1456" s="9" t="s">
        <v>1419</v>
      </c>
      <c r="D1456" s="9" t="s">
        <v>3038</v>
      </c>
      <c r="E1456" s="9" t="s">
        <v>3039</v>
      </c>
      <c r="F1456" s="9" t="s">
        <v>420</v>
      </c>
      <c r="H1456" s="9"/>
    </row>
    <row r="1457" ht="14.25" customHeight="1">
      <c r="C1457" s="9" t="s">
        <v>1419</v>
      </c>
      <c r="D1457" s="9" t="s">
        <v>3038</v>
      </c>
      <c r="E1457" s="9" t="s">
        <v>3039</v>
      </c>
      <c r="F1457" s="9" t="s">
        <v>482</v>
      </c>
      <c r="H1457" s="9"/>
    </row>
    <row r="1458" ht="14.25" customHeight="1">
      <c r="C1458" s="9" t="s">
        <v>1419</v>
      </c>
      <c r="D1458" s="9" t="s">
        <v>3038</v>
      </c>
      <c r="E1458" s="9" t="s">
        <v>3039</v>
      </c>
      <c r="F1458" s="9" t="s">
        <v>136</v>
      </c>
      <c r="H1458" s="9"/>
    </row>
    <row r="1459" ht="14.25" customHeight="1">
      <c r="C1459" s="9" t="s">
        <v>1419</v>
      </c>
      <c r="D1459" s="9" t="s">
        <v>3038</v>
      </c>
      <c r="E1459" s="9" t="s">
        <v>3039</v>
      </c>
      <c r="F1459" s="9" t="s">
        <v>408</v>
      </c>
      <c r="H1459" s="9"/>
    </row>
    <row r="1460" ht="14.25" customHeight="1">
      <c r="C1460" s="9" t="s">
        <v>1419</v>
      </c>
      <c r="D1460" s="9" t="s">
        <v>3038</v>
      </c>
      <c r="E1460" s="9" t="s">
        <v>3039</v>
      </c>
      <c r="F1460" s="9" t="s">
        <v>2301</v>
      </c>
      <c r="H1460" s="9"/>
    </row>
    <row r="1461" ht="14.25" customHeight="1">
      <c r="C1461" s="9" t="s">
        <v>1419</v>
      </c>
      <c r="D1461" s="9" t="s">
        <v>3038</v>
      </c>
      <c r="E1461" s="9" t="s">
        <v>3039</v>
      </c>
      <c r="F1461" s="9" t="s">
        <v>197</v>
      </c>
      <c r="H1461" s="9"/>
    </row>
    <row r="1462" ht="14.25" customHeight="1">
      <c r="C1462" s="9" t="s">
        <v>1419</v>
      </c>
      <c r="D1462" s="9" t="s">
        <v>3038</v>
      </c>
      <c r="E1462" s="9" t="s">
        <v>3039</v>
      </c>
      <c r="F1462" s="9" t="s">
        <v>172</v>
      </c>
      <c r="H1462" s="9"/>
    </row>
    <row r="1463" ht="14.25" customHeight="1">
      <c r="C1463" s="9" t="s">
        <v>1419</v>
      </c>
      <c r="D1463" s="9" t="s">
        <v>3038</v>
      </c>
      <c r="E1463" s="9" t="s">
        <v>3039</v>
      </c>
      <c r="F1463" s="9" t="s">
        <v>98</v>
      </c>
      <c r="H1463" s="9"/>
    </row>
    <row r="1464" ht="14.25" customHeight="1">
      <c r="C1464" s="9" t="s">
        <v>1419</v>
      </c>
      <c r="D1464" s="9" t="s">
        <v>3038</v>
      </c>
      <c r="E1464" s="9" t="s">
        <v>3039</v>
      </c>
      <c r="F1464" s="9" t="s">
        <v>341</v>
      </c>
      <c r="H1464" s="9"/>
    </row>
    <row r="1465" ht="14.25" customHeight="1">
      <c r="C1465" s="9" t="s">
        <v>1419</v>
      </c>
      <c r="D1465" s="9" t="s">
        <v>3038</v>
      </c>
      <c r="E1465" s="9" t="s">
        <v>3039</v>
      </c>
      <c r="F1465" s="9" t="s">
        <v>3033</v>
      </c>
      <c r="H1465" s="9"/>
    </row>
    <row r="1466" ht="14.25" customHeight="1">
      <c r="C1466" s="9" t="s">
        <v>1419</v>
      </c>
      <c r="D1466" s="9" t="s">
        <v>3038</v>
      </c>
      <c r="E1466" s="9" t="s">
        <v>3039</v>
      </c>
      <c r="F1466" s="9" t="s">
        <v>367</v>
      </c>
      <c r="H1466" s="9"/>
    </row>
    <row r="1467" ht="14.25" customHeight="1">
      <c r="C1467" s="9" t="s">
        <v>1419</v>
      </c>
      <c r="D1467" s="9" t="s">
        <v>3038</v>
      </c>
      <c r="E1467" s="9" t="s">
        <v>3039</v>
      </c>
      <c r="F1467" s="9" t="s">
        <v>529</v>
      </c>
      <c r="H1467" s="9"/>
    </row>
    <row r="1468" ht="14.25" customHeight="1">
      <c r="C1468" s="9" t="s">
        <v>1419</v>
      </c>
      <c r="D1468" s="9" t="s">
        <v>3038</v>
      </c>
      <c r="E1468" s="9" t="s">
        <v>3039</v>
      </c>
      <c r="F1468" s="9" t="s">
        <v>282</v>
      </c>
      <c r="H1468" s="9"/>
    </row>
    <row r="1469" ht="14.25" customHeight="1">
      <c r="C1469" s="9" t="s">
        <v>1419</v>
      </c>
      <c r="D1469" s="9" t="s">
        <v>3038</v>
      </c>
      <c r="E1469" s="9" t="s">
        <v>3039</v>
      </c>
      <c r="F1469" s="9" t="s">
        <v>321</v>
      </c>
      <c r="H1469" s="9"/>
    </row>
    <row r="1470" ht="14.25" customHeight="1">
      <c r="C1470" s="9" t="s">
        <v>1419</v>
      </c>
      <c r="D1470" s="9" t="s">
        <v>3038</v>
      </c>
      <c r="E1470" s="9" t="s">
        <v>3039</v>
      </c>
      <c r="F1470" s="9" t="s">
        <v>479</v>
      </c>
      <c r="H1470" s="9"/>
    </row>
    <row r="1471" ht="14.25" customHeight="1">
      <c r="C1471" s="9" t="s">
        <v>1419</v>
      </c>
      <c r="D1471" s="9" t="s">
        <v>3038</v>
      </c>
      <c r="E1471" s="9" t="s">
        <v>3039</v>
      </c>
      <c r="F1471" s="9" t="s">
        <v>517</v>
      </c>
      <c r="H1471" s="9"/>
    </row>
    <row r="1472" ht="14.25" customHeight="1">
      <c r="C1472" s="9" t="s">
        <v>1419</v>
      </c>
      <c r="D1472" s="9" t="s">
        <v>3038</v>
      </c>
      <c r="E1472" s="9" t="s">
        <v>3039</v>
      </c>
      <c r="F1472" s="9" t="s">
        <v>2309</v>
      </c>
      <c r="H1472" s="9"/>
    </row>
    <row r="1473" ht="14.25" customHeight="1">
      <c r="C1473" s="9" t="s">
        <v>1419</v>
      </c>
      <c r="D1473" s="9" t="s">
        <v>3038</v>
      </c>
      <c r="E1473" s="9" t="s">
        <v>3039</v>
      </c>
      <c r="F1473" s="9" t="s">
        <v>507</v>
      </c>
      <c r="H1473" s="9"/>
    </row>
    <row r="1474" ht="14.25" customHeight="1">
      <c r="C1474" s="9" t="s">
        <v>1419</v>
      </c>
      <c r="D1474" s="9" t="s">
        <v>3038</v>
      </c>
      <c r="E1474" s="9" t="s">
        <v>3039</v>
      </c>
      <c r="F1474" s="9" t="s">
        <v>336</v>
      </c>
      <c r="H1474" s="9"/>
    </row>
    <row r="1475" ht="14.25" customHeight="1">
      <c r="C1475" s="9" t="s">
        <v>1419</v>
      </c>
      <c r="D1475" s="9" t="s">
        <v>3038</v>
      </c>
      <c r="E1475" s="9" t="s">
        <v>3039</v>
      </c>
      <c r="F1475" s="9" t="s">
        <v>235</v>
      </c>
      <c r="H1475" s="9"/>
    </row>
    <row r="1476" ht="14.25" customHeight="1">
      <c r="C1476" s="9" t="s">
        <v>1419</v>
      </c>
      <c r="D1476" s="9" t="s">
        <v>3038</v>
      </c>
      <c r="E1476" s="9" t="s">
        <v>3039</v>
      </c>
      <c r="F1476" s="9" t="s">
        <v>2957</v>
      </c>
      <c r="H1476" s="9"/>
    </row>
    <row r="1477" ht="14.25" customHeight="1">
      <c r="C1477" s="9" t="s">
        <v>1419</v>
      </c>
      <c r="D1477" s="9" t="s">
        <v>3038</v>
      </c>
      <c r="E1477" s="9" t="s">
        <v>3039</v>
      </c>
      <c r="F1477" s="9" t="s">
        <v>264</v>
      </c>
      <c r="H1477" s="9"/>
    </row>
    <row r="1478" ht="14.25" customHeight="1">
      <c r="C1478" s="9" t="s">
        <v>1419</v>
      </c>
      <c r="D1478" s="9" t="s">
        <v>3040</v>
      </c>
      <c r="E1478" s="9" t="s">
        <v>3039</v>
      </c>
      <c r="F1478" s="9" t="s">
        <v>474</v>
      </c>
      <c r="H1478" s="9"/>
    </row>
    <row r="1479" ht="14.25" customHeight="1">
      <c r="C1479" s="9" t="s">
        <v>1419</v>
      </c>
      <c r="D1479" s="9" t="s">
        <v>3040</v>
      </c>
      <c r="E1479" s="9" t="s">
        <v>3039</v>
      </c>
      <c r="F1479" s="9" t="s">
        <v>3032</v>
      </c>
      <c r="H1479" s="9"/>
    </row>
    <row r="1480" ht="14.25" customHeight="1">
      <c r="C1480" s="9" t="s">
        <v>1419</v>
      </c>
      <c r="D1480" s="9" t="s">
        <v>3040</v>
      </c>
      <c r="E1480" s="9" t="s">
        <v>3039</v>
      </c>
      <c r="F1480" s="9" t="s">
        <v>284</v>
      </c>
      <c r="H1480" s="9"/>
    </row>
    <row r="1481" ht="14.25" customHeight="1">
      <c r="C1481" s="9" t="s">
        <v>1419</v>
      </c>
      <c r="D1481" s="9" t="s">
        <v>3040</v>
      </c>
      <c r="E1481" s="9" t="s">
        <v>3039</v>
      </c>
      <c r="F1481" s="9" t="s">
        <v>493</v>
      </c>
      <c r="H1481" s="9"/>
    </row>
    <row r="1482" ht="14.25" customHeight="1">
      <c r="C1482" s="9" t="s">
        <v>1419</v>
      </c>
      <c r="D1482" s="9" t="s">
        <v>3040</v>
      </c>
      <c r="E1482" s="9" t="s">
        <v>3039</v>
      </c>
      <c r="F1482" s="9" t="s">
        <v>450</v>
      </c>
      <c r="H1482" s="9"/>
    </row>
    <row r="1483" ht="14.25" customHeight="1">
      <c r="C1483" s="9" t="s">
        <v>1419</v>
      </c>
      <c r="D1483" s="9" t="s">
        <v>3040</v>
      </c>
      <c r="E1483" s="9" t="s">
        <v>3039</v>
      </c>
      <c r="F1483" s="9" t="s">
        <v>2296</v>
      </c>
      <c r="H1483" s="9"/>
    </row>
    <row r="1484" ht="14.25" customHeight="1">
      <c r="C1484" s="9" t="s">
        <v>1419</v>
      </c>
      <c r="D1484" s="9" t="s">
        <v>3040</v>
      </c>
      <c r="E1484" s="9" t="s">
        <v>3039</v>
      </c>
      <c r="F1484" s="9" t="s">
        <v>276</v>
      </c>
      <c r="H1484" s="9"/>
    </row>
    <row r="1485" ht="14.25" customHeight="1">
      <c r="C1485" s="9" t="s">
        <v>1419</v>
      </c>
      <c r="D1485" s="9" t="s">
        <v>3040</v>
      </c>
      <c r="E1485" s="9" t="s">
        <v>3039</v>
      </c>
      <c r="F1485" s="9" t="s">
        <v>431</v>
      </c>
      <c r="H1485" s="9"/>
    </row>
    <row r="1486" ht="14.25" customHeight="1">
      <c r="C1486" s="9" t="s">
        <v>1419</v>
      </c>
      <c r="D1486" s="9" t="s">
        <v>3040</v>
      </c>
      <c r="E1486" s="9" t="s">
        <v>3039</v>
      </c>
      <c r="F1486" s="9" t="s">
        <v>26</v>
      </c>
      <c r="H1486" s="9"/>
    </row>
    <row r="1487" ht="14.25" customHeight="1">
      <c r="C1487" s="9" t="s">
        <v>1419</v>
      </c>
      <c r="D1487" s="9" t="s">
        <v>3040</v>
      </c>
      <c r="E1487" s="9" t="s">
        <v>3039</v>
      </c>
      <c r="F1487" s="9" t="s">
        <v>420</v>
      </c>
      <c r="H1487" s="9"/>
    </row>
    <row r="1488" ht="14.25" customHeight="1">
      <c r="C1488" s="9" t="s">
        <v>1419</v>
      </c>
      <c r="D1488" s="9" t="s">
        <v>3040</v>
      </c>
      <c r="E1488" s="9" t="s">
        <v>3039</v>
      </c>
      <c r="F1488" s="9" t="s">
        <v>482</v>
      </c>
      <c r="H1488" s="9"/>
    </row>
    <row r="1489" ht="14.25" customHeight="1">
      <c r="C1489" s="9" t="s">
        <v>1419</v>
      </c>
      <c r="D1489" s="9" t="s">
        <v>3040</v>
      </c>
      <c r="E1489" s="9" t="s">
        <v>3039</v>
      </c>
      <c r="F1489" s="9" t="s">
        <v>136</v>
      </c>
      <c r="H1489" s="9"/>
    </row>
    <row r="1490" ht="14.25" customHeight="1">
      <c r="C1490" s="9" t="s">
        <v>1419</v>
      </c>
      <c r="D1490" s="9" t="s">
        <v>3040</v>
      </c>
      <c r="E1490" s="9" t="s">
        <v>3039</v>
      </c>
      <c r="F1490" s="9" t="s">
        <v>408</v>
      </c>
      <c r="H1490" s="9"/>
    </row>
    <row r="1491" ht="14.25" customHeight="1">
      <c r="C1491" s="9" t="s">
        <v>1419</v>
      </c>
      <c r="D1491" s="9" t="s">
        <v>3040</v>
      </c>
      <c r="E1491" s="9" t="s">
        <v>3039</v>
      </c>
      <c r="F1491" s="9" t="s">
        <v>2301</v>
      </c>
      <c r="H1491" s="9"/>
    </row>
    <row r="1492" ht="14.25" customHeight="1">
      <c r="C1492" s="9" t="s">
        <v>1419</v>
      </c>
      <c r="D1492" s="9" t="s">
        <v>3040</v>
      </c>
      <c r="E1492" s="9" t="s">
        <v>3039</v>
      </c>
      <c r="F1492" s="9" t="s">
        <v>197</v>
      </c>
      <c r="H1492" s="9"/>
    </row>
    <row r="1493" ht="14.25" customHeight="1">
      <c r="C1493" s="9" t="s">
        <v>1419</v>
      </c>
      <c r="D1493" s="9" t="s">
        <v>3040</v>
      </c>
      <c r="E1493" s="9" t="s">
        <v>3039</v>
      </c>
      <c r="F1493" s="9" t="s">
        <v>172</v>
      </c>
      <c r="H1493" s="9"/>
    </row>
    <row r="1494" ht="14.25" customHeight="1">
      <c r="C1494" s="9" t="s">
        <v>1419</v>
      </c>
      <c r="D1494" s="9" t="s">
        <v>3040</v>
      </c>
      <c r="E1494" s="9" t="s">
        <v>3039</v>
      </c>
      <c r="F1494" s="9" t="s">
        <v>98</v>
      </c>
      <c r="H1494" s="9"/>
    </row>
    <row r="1495" ht="14.25" customHeight="1">
      <c r="C1495" s="9" t="s">
        <v>1419</v>
      </c>
      <c r="D1495" s="9" t="s">
        <v>3040</v>
      </c>
      <c r="E1495" s="9" t="s">
        <v>3039</v>
      </c>
      <c r="F1495" s="9" t="s">
        <v>341</v>
      </c>
      <c r="H1495" s="9"/>
    </row>
    <row r="1496" ht="14.25" customHeight="1">
      <c r="C1496" s="9" t="s">
        <v>1419</v>
      </c>
      <c r="D1496" s="9" t="s">
        <v>3040</v>
      </c>
      <c r="E1496" s="9" t="s">
        <v>3039</v>
      </c>
      <c r="F1496" s="9" t="s">
        <v>3033</v>
      </c>
      <c r="H1496" s="9"/>
    </row>
    <row r="1497" ht="14.25" customHeight="1">
      <c r="C1497" s="9" t="s">
        <v>1419</v>
      </c>
      <c r="D1497" s="9" t="s">
        <v>3040</v>
      </c>
      <c r="E1497" s="9" t="s">
        <v>3039</v>
      </c>
      <c r="F1497" s="9" t="s">
        <v>367</v>
      </c>
      <c r="H1497" s="9"/>
    </row>
    <row r="1498" ht="14.25" customHeight="1">
      <c r="C1498" s="9" t="s">
        <v>1419</v>
      </c>
      <c r="D1498" s="9" t="s">
        <v>3040</v>
      </c>
      <c r="E1498" s="9" t="s">
        <v>3039</v>
      </c>
      <c r="F1498" s="9" t="s">
        <v>529</v>
      </c>
      <c r="H1498" s="9"/>
    </row>
    <row r="1499" ht="14.25" customHeight="1">
      <c r="C1499" s="9" t="s">
        <v>1419</v>
      </c>
      <c r="D1499" s="9" t="s">
        <v>3040</v>
      </c>
      <c r="E1499" s="9" t="s">
        <v>3039</v>
      </c>
      <c r="F1499" s="9" t="s">
        <v>282</v>
      </c>
      <c r="H1499" s="9"/>
    </row>
    <row r="1500" ht="14.25" customHeight="1">
      <c r="C1500" s="9" t="s">
        <v>1419</v>
      </c>
      <c r="D1500" s="9" t="s">
        <v>3040</v>
      </c>
      <c r="E1500" s="9" t="s">
        <v>3039</v>
      </c>
      <c r="F1500" s="9" t="s">
        <v>321</v>
      </c>
      <c r="H1500" s="9"/>
    </row>
    <row r="1501" ht="14.25" customHeight="1">
      <c r="C1501" s="9" t="s">
        <v>1419</v>
      </c>
      <c r="D1501" s="9" t="s">
        <v>3040</v>
      </c>
      <c r="E1501" s="9" t="s">
        <v>3039</v>
      </c>
      <c r="F1501" s="9" t="s">
        <v>479</v>
      </c>
      <c r="H1501" s="9"/>
    </row>
    <row r="1502" ht="14.25" customHeight="1">
      <c r="C1502" s="9" t="s">
        <v>1419</v>
      </c>
      <c r="D1502" s="9" t="s">
        <v>3040</v>
      </c>
      <c r="E1502" s="9" t="s">
        <v>3039</v>
      </c>
      <c r="F1502" s="9" t="s">
        <v>517</v>
      </c>
      <c r="H1502" s="9"/>
    </row>
    <row r="1503" ht="14.25" customHeight="1">
      <c r="C1503" s="9" t="s">
        <v>1419</v>
      </c>
      <c r="D1503" s="9" t="s">
        <v>3040</v>
      </c>
      <c r="E1503" s="9" t="s">
        <v>3039</v>
      </c>
      <c r="F1503" s="9" t="s">
        <v>2309</v>
      </c>
      <c r="H1503" s="9"/>
    </row>
    <row r="1504" ht="14.25" customHeight="1">
      <c r="C1504" s="9" t="s">
        <v>1419</v>
      </c>
      <c r="D1504" s="9" t="s">
        <v>3040</v>
      </c>
      <c r="E1504" s="9" t="s">
        <v>3039</v>
      </c>
      <c r="F1504" s="9" t="s">
        <v>507</v>
      </c>
      <c r="H1504" s="9"/>
    </row>
    <row r="1505" ht="14.25" customHeight="1">
      <c r="C1505" s="9" t="s">
        <v>1419</v>
      </c>
      <c r="D1505" s="9" t="s">
        <v>3040</v>
      </c>
      <c r="E1505" s="9" t="s">
        <v>3039</v>
      </c>
      <c r="F1505" s="9" t="s">
        <v>336</v>
      </c>
      <c r="H1505" s="9"/>
    </row>
    <row r="1506" ht="14.25" customHeight="1">
      <c r="C1506" s="9" t="s">
        <v>1419</v>
      </c>
      <c r="D1506" s="9" t="s">
        <v>3040</v>
      </c>
      <c r="E1506" s="9" t="s">
        <v>3039</v>
      </c>
      <c r="F1506" s="9" t="s">
        <v>235</v>
      </c>
      <c r="H1506" s="9"/>
    </row>
    <row r="1507" ht="14.25" customHeight="1">
      <c r="C1507" s="9" t="s">
        <v>1419</v>
      </c>
      <c r="D1507" s="9" t="s">
        <v>3040</v>
      </c>
      <c r="E1507" s="9" t="s">
        <v>3039</v>
      </c>
      <c r="F1507" s="9" t="s">
        <v>2957</v>
      </c>
      <c r="H1507" s="9"/>
    </row>
    <row r="1508" ht="14.25" customHeight="1">
      <c r="C1508" s="9" t="s">
        <v>1419</v>
      </c>
      <c r="D1508" s="9" t="s">
        <v>3040</v>
      </c>
      <c r="E1508" s="9" t="s">
        <v>3039</v>
      </c>
      <c r="F1508" s="9" t="s">
        <v>264</v>
      </c>
      <c r="H1508" s="9"/>
    </row>
    <row r="1509" ht="14.25" customHeight="1">
      <c r="C1509" s="9" t="s">
        <v>1419</v>
      </c>
      <c r="D1509" s="9" t="s">
        <v>3041</v>
      </c>
      <c r="E1509" s="9" t="s">
        <v>3039</v>
      </c>
      <c r="F1509" s="9" t="s">
        <v>474</v>
      </c>
      <c r="H1509" s="9"/>
    </row>
    <row r="1510" ht="14.25" customHeight="1">
      <c r="C1510" s="9" t="s">
        <v>1419</v>
      </c>
      <c r="D1510" s="9" t="s">
        <v>3041</v>
      </c>
      <c r="E1510" s="9" t="s">
        <v>3039</v>
      </c>
      <c r="F1510" s="9" t="s">
        <v>3032</v>
      </c>
      <c r="H1510" s="9"/>
    </row>
    <row r="1511" ht="14.25" customHeight="1">
      <c r="C1511" s="9" t="s">
        <v>1419</v>
      </c>
      <c r="D1511" s="9" t="s">
        <v>3041</v>
      </c>
      <c r="E1511" s="9" t="s">
        <v>3039</v>
      </c>
      <c r="F1511" s="9" t="s">
        <v>284</v>
      </c>
      <c r="H1511" s="9"/>
    </row>
    <row r="1512" ht="14.25" customHeight="1">
      <c r="C1512" s="9" t="s">
        <v>1419</v>
      </c>
      <c r="D1512" s="9" t="s">
        <v>3041</v>
      </c>
      <c r="E1512" s="9" t="s">
        <v>3039</v>
      </c>
      <c r="F1512" s="9" t="s">
        <v>493</v>
      </c>
      <c r="H1512" s="9"/>
    </row>
    <row r="1513" ht="14.25" customHeight="1">
      <c r="C1513" s="9" t="s">
        <v>1419</v>
      </c>
      <c r="D1513" s="9" t="s">
        <v>3041</v>
      </c>
      <c r="E1513" s="9" t="s">
        <v>3039</v>
      </c>
      <c r="F1513" s="9" t="s">
        <v>450</v>
      </c>
      <c r="H1513" s="9"/>
    </row>
    <row r="1514" ht="14.25" customHeight="1">
      <c r="C1514" s="9" t="s">
        <v>1419</v>
      </c>
      <c r="D1514" s="9" t="s">
        <v>3041</v>
      </c>
      <c r="E1514" s="9" t="s">
        <v>3039</v>
      </c>
      <c r="F1514" s="9" t="s">
        <v>2296</v>
      </c>
      <c r="H1514" s="9"/>
    </row>
    <row r="1515" ht="14.25" customHeight="1">
      <c r="C1515" s="9" t="s">
        <v>1419</v>
      </c>
      <c r="D1515" s="9" t="s">
        <v>3041</v>
      </c>
      <c r="E1515" s="9" t="s">
        <v>3039</v>
      </c>
      <c r="F1515" s="9" t="s">
        <v>276</v>
      </c>
      <c r="H1515" s="9"/>
    </row>
    <row r="1516" ht="14.25" customHeight="1">
      <c r="C1516" s="9" t="s">
        <v>1419</v>
      </c>
      <c r="D1516" s="9" t="s">
        <v>3041</v>
      </c>
      <c r="E1516" s="9" t="s">
        <v>3039</v>
      </c>
      <c r="F1516" s="9" t="s">
        <v>431</v>
      </c>
      <c r="H1516" s="9"/>
    </row>
    <row r="1517" ht="14.25" customHeight="1">
      <c r="C1517" s="9" t="s">
        <v>1419</v>
      </c>
      <c r="D1517" s="9" t="s">
        <v>3041</v>
      </c>
      <c r="E1517" s="9" t="s">
        <v>3039</v>
      </c>
      <c r="F1517" s="9" t="s">
        <v>26</v>
      </c>
      <c r="H1517" s="9"/>
    </row>
    <row r="1518" ht="14.25" customHeight="1">
      <c r="C1518" s="9" t="s">
        <v>1419</v>
      </c>
      <c r="D1518" s="9" t="s">
        <v>3041</v>
      </c>
      <c r="E1518" s="9" t="s">
        <v>3039</v>
      </c>
      <c r="F1518" s="9" t="s">
        <v>420</v>
      </c>
      <c r="H1518" s="9"/>
    </row>
    <row r="1519" ht="14.25" customHeight="1">
      <c r="C1519" s="9" t="s">
        <v>1419</v>
      </c>
      <c r="D1519" s="9" t="s">
        <v>3041</v>
      </c>
      <c r="E1519" s="9" t="s">
        <v>3039</v>
      </c>
      <c r="F1519" s="9" t="s">
        <v>482</v>
      </c>
      <c r="H1519" s="9"/>
    </row>
    <row r="1520" ht="14.25" customHeight="1">
      <c r="C1520" s="9" t="s">
        <v>1419</v>
      </c>
      <c r="D1520" s="9" t="s">
        <v>3041</v>
      </c>
      <c r="E1520" s="9" t="s">
        <v>3039</v>
      </c>
      <c r="F1520" s="9" t="s">
        <v>136</v>
      </c>
      <c r="H1520" s="9"/>
    </row>
    <row r="1521" ht="14.25" customHeight="1">
      <c r="C1521" s="9" t="s">
        <v>1419</v>
      </c>
      <c r="D1521" s="9" t="s">
        <v>3041</v>
      </c>
      <c r="E1521" s="9" t="s">
        <v>3039</v>
      </c>
      <c r="F1521" s="9" t="s">
        <v>408</v>
      </c>
      <c r="H1521" s="9"/>
    </row>
    <row r="1522" ht="14.25" customHeight="1">
      <c r="C1522" s="9" t="s">
        <v>1419</v>
      </c>
      <c r="D1522" s="9" t="s">
        <v>3041</v>
      </c>
      <c r="E1522" s="9" t="s">
        <v>3039</v>
      </c>
      <c r="F1522" s="9" t="s">
        <v>2301</v>
      </c>
      <c r="H1522" s="9"/>
    </row>
    <row r="1523" ht="14.25" customHeight="1">
      <c r="C1523" s="9" t="s">
        <v>1419</v>
      </c>
      <c r="D1523" s="9" t="s">
        <v>3041</v>
      </c>
      <c r="E1523" s="9" t="s">
        <v>3039</v>
      </c>
      <c r="F1523" s="9" t="s">
        <v>197</v>
      </c>
      <c r="H1523" s="9"/>
    </row>
    <row r="1524" ht="14.25" customHeight="1">
      <c r="C1524" s="9" t="s">
        <v>1419</v>
      </c>
      <c r="D1524" s="9" t="s">
        <v>3041</v>
      </c>
      <c r="E1524" s="9" t="s">
        <v>3039</v>
      </c>
      <c r="F1524" s="9" t="s">
        <v>172</v>
      </c>
      <c r="H1524" s="9"/>
    </row>
    <row r="1525" ht="14.25" customHeight="1">
      <c r="C1525" s="9" t="s">
        <v>1419</v>
      </c>
      <c r="D1525" s="9" t="s">
        <v>3041</v>
      </c>
      <c r="E1525" s="9" t="s">
        <v>3039</v>
      </c>
      <c r="F1525" s="9" t="s">
        <v>98</v>
      </c>
      <c r="H1525" s="9"/>
    </row>
    <row r="1526" ht="14.25" customHeight="1">
      <c r="C1526" s="9" t="s">
        <v>1419</v>
      </c>
      <c r="D1526" s="9" t="s">
        <v>3041</v>
      </c>
      <c r="E1526" s="9" t="s">
        <v>3039</v>
      </c>
      <c r="F1526" s="9" t="s">
        <v>341</v>
      </c>
      <c r="H1526" s="9"/>
    </row>
    <row r="1527" ht="14.25" customHeight="1">
      <c r="C1527" s="9" t="s">
        <v>1419</v>
      </c>
      <c r="D1527" s="9" t="s">
        <v>3041</v>
      </c>
      <c r="E1527" s="9" t="s">
        <v>3039</v>
      </c>
      <c r="F1527" s="9" t="s">
        <v>3033</v>
      </c>
      <c r="H1527" s="9"/>
    </row>
    <row r="1528" ht="14.25" customHeight="1">
      <c r="C1528" s="9" t="s">
        <v>1419</v>
      </c>
      <c r="D1528" s="9" t="s">
        <v>3041</v>
      </c>
      <c r="E1528" s="9" t="s">
        <v>3039</v>
      </c>
      <c r="F1528" s="9" t="s">
        <v>367</v>
      </c>
      <c r="H1528" s="9"/>
    </row>
    <row r="1529" ht="14.25" customHeight="1">
      <c r="C1529" s="9" t="s">
        <v>1419</v>
      </c>
      <c r="D1529" s="9" t="s">
        <v>3041</v>
      </c>
      <c r="E1529" s="9" t="s">
        <v>3039</v>
      </c>
      <c r="F1529" s="9" t="s">
        <v>529</v>
      </c>
      <c r="H1529" s="9"/>
    </row>
    <row r="1530" ht="14.25" customHeight="1">
      <c r="C1530" s="9" t="s">
        <v>1419</v>
      </c>
      <c r="D1530" s="9" t="s">
        <v>3041</v>
      </c>
      <c r="E1530" s="9" t="s">
        <v>3039</v>
      </c>
      <c r="F1530" s="9" t="s">
        <v>282</v>
      </c>
      <c r="H1530" s="9"/>
    </row>
    <row r="1531" ht="14.25" customHeight="1">
      <c r="C1531" s="9" t="s">
        <v>1419</v>
      </c>
      <c r="D1531" s="9" t="s">
        <v>3041</v>
      </c>
      <c r="E1531" s="9" t="s">
        <v>3039</v>
      </c>
      <c r="F1531" s="9" t="s">
        <v>321</v>
      </c>
      <c r="H1531" s="9"/>
    </row>
    <row r="1532" ht="14.25" customHeight="1">
      <c r="C1532" s="9" t="s">
        <v>1419</v>
      </c>
      <c r="D1532" s="9" t="s">
        <v>3041</v>
      </c>
      <c r="E1532" s="9" t="s">
        <v>3039</v>
      </c>
      <c r="F1532" s="9" t="s">
        <v>479</v>
      </c>
      <c r="H1532" s="9"/>
    </row>
    <row r="1533" ht="14.25" customHeight="1">
      <c r="C1533" s="9" t="s">
        <v>1419</v>
      </c>
      <c r="D1533" s="9" t="s">
        <v>3041</v>
      </c>
      <c r="E1533" s="9" t="s">
        <v>3039</v>
      </c>
      <c r="F1533" s="9" t="s">
        <v>517</v>
      </c>
      <c r="H1533" s="9"/>
    </row>
    <row r="1534" ht="14.25" customHeight="1">
      <c r="C1534" s="9" t="s">
        <v>1419</v>
      </c>
      <c r="D1534" s="9" t="s">
        <v>3041</v>
      </c>
      <c r="E1534" s="9" t="s">
        <v>3039</v>
      </c>
      <c r="F1534" s="9" t="s">
        <v>2309</v>
      </c>
      <c r="H1534" s="9"/>
    </row>
    <row r="1535" ht="14.25" customHeight="1">
      <c r="C1535" s="9" t="s">
        <v>1419</v>
      </c>
      <c r="D1535" s="9" t="s">
        <v>3041</v>
      </c>
      <c r="E1535" s="9" t="s">
        <v>3039</v>
      </c>
      <c r="F1535" s="9" t="s">
        <v>507</v>
      </c>
      <c r="H1535" s="9"/>
    </row>
    <row r="1536" ht="14.25" customHeight="1">
      <c r="C1536" s="9" t="s">
        <v>1419</v>
      </c>
      <c r="D1536" s="9" t="s">
        <v>3041</v>
      </c>
      <c r="E1536" s="9" t="s">
        <v>3039</v>
      </c>
      <c r="F1536" s="9" t="s">
        <v>336</v>
      </c>
      <c r="H1536" s="9"/>
    </row>
    <row r="1537" ht="14.25" customHeight="1">
      <c r="C1537" s="9" t="s">
        <v>1419</v>
      </c>
      <c r="D1537" s="9" t="s">
        <v>3041</v>
      </c>
      <c r="E1537" s="9" t="s">
        <v>3039</v>
      </c>
      <c r="F1537" s="9" t="s">
        <v>235</v>
      </c>
      <c r="H1537" s="9"/>
    </row>
    <row r="1538" ht="14.25" customHeight="1">
      <c r="C1538" s="9" t="s">
        <v>1419</v>
      </c>
      <c r="D1538" s="9" t="s">
        <v>3041</v>
      </c>
      <c r="E1538" s="9" t="s">
        <v>3039</v>
      </c>
      <c r="F1538" s="9" t="s">
        <v>2957</v>
      </c>
      <c r="H1538" s="9"/>
    </row>
    <row r="1539" ht="14.25" customHeight="1">
      <c r="C1539" s="9" t="s">
        <v>1419</v>
      </c>
      <c r="D1539" s="9" t="s">
        <v>3041</v>
      </c>
      <c r="E1539" s="9" t="s">
        <v>3039</v>
      </c>
      <c r="F1539" s="9" t="s">
        <v>264</v>
      </c>
      <c r="H1539" s="9"/>
    </row>
    <row r="1540" ht="14.25" customHeight="1">
      <c r="C1540" s="9" t="s">
        <v>1419</v>
      </c>
      <c r="D1540" s="9" t="s">
        <v>3042</v>
      </c>
      <c r="E1540" s="9" t="s">
        <v>3039</v>
      </c>
      <c r="F1540" s="9" t="s">
        <v>474</v>
      </c>
      <c r="H1540" s="9"/>
    </row>
    <row r="1541" ht="14.25" customHeight="1">
      <c r="C1541" s="9" t="s">
        <v>1419</v>
      </c>
      <c r="D1541" s="9" t="s">
        <v>3042</v>
      </c>
      <c r="E1541" s="9" t="s">
        <v>3039</v>
      </c>
      <c r="F1541" s="9" t="s">
        <v>3032</v>
      </c>
      <c r="H1541" s="9"/>
    </row>
    <row r="1542" ht="14.25" customHeight="1">
      <c r="C1542" s="9" t="s">
        <v>1419</v>
      </c>
      <c r="D1542" s="9" t="s">
        <v>3042</v>
      </c>
      <c r="E1542" s="9" t="s">
        <v>3039</v>
      </c>
      <c r="F1542" s="9" t="s">
        <v>284</v>
      </c>
      <c r="H1542" s="9"/>
    </row>
    <row r="1543" ht="14.25" customHeight="1">
      <c r="C1543" s="9" t="s">
        <v>1419</v>
      </c>
      <c r="D1543" s="9" t="s">
        <v>3042</v>
      </c>
      <c r="E1543" s="9" t="s">
        <v>3039</v>
      </c>
      <c r="F1543" s="9" t="s">
        <v>493</v>
      </c>
      <c r="H1543" s="9"/>
    </row>
    <row r="1544" ht="14.25" customHeight="1">
      <c r="C1544" s="9" t="s">
        <v>1419</v>
      </c>
      <c r="D1544" s="9" t="s">
        <v>3042</v>
      </c>
      <c r="E1544" s="9" t="s">
        <v>3039</v>
      </c>
      <c r="F1544" s="9" t="s">
        <v>450</v>
      </c>
      <c r="H1544" s="9"/>
    </row>
    <row r="1545" ht="14.25" customHeight="1">
      <c r="C1545" s="9" t="s">
        <v>1419</v>
      </c>
      <c r="D1545" s="9" t="s">
        <v>3042</v>
      </c>
      <c r="E1545" s="9" t="s">
        <v>3039</v>
      </c>
      <c r="F1545" s="9" t="s">
        <v>2296</v>
      </c>
      <c r="H1545" s="9"/>
    </row>
    <row r="1546" ht="14.25" customHeight="1">
      <c r="C1546" s="9" t="s">
        <v>1419</v>
      </c>
      <c r="D1546" s="9" t="s">
        <v>3042</v>
      </c>
      <c r="E1546" s="9" t="s">
        <v>3039</v>
      </c>
      <c r="F1546" s="9" t="s">
        <v>276</v>
      </c>
      <c r="H1546" s="9"/>
    </row>
    <row r="1547" ht="14.25" customHeight="1">
      <c r="C1547" s="9" t="s">
        <v>1419</v>
      </c>
      <c r="D1547" s="9" t="s">
        <v>3042</v>
      </c>
      <c r="E1547" s="9" t="s">
        <v>3039</v>
      </c>
      <c r="F1547" s="9" t="s">
        <v>431</v>
      </c>
      <c r="H1547" s="9"/>
    </row>
    <row r="1548" ht="14.25" customHeight="1">
      <c r="C1548" s="9" t="s">
        <v>1419</v>
      </c>
      <c r="D1548" s="9" t="s">
        <v>3042</v>
      </c>
      <c r="E1548" s="9" t="s">
        <v>3039</v>
      </c>
      <c r="F1548" s="9" t="s">
        <v>26</v>
      </c>
      <c r="H1548" s="9"/>
    </row>
    <row r="1549" ht="14.25" customHeight="1">
      <c r="C1549" s="9" t="s">
        <v>1419</v>
      </c>
      <c r="D1549" s="9" t="s">
        <v>3042</v>
      </c>
      <c r="E1549" s="9" t="s">
        <v>3039</v>
      </c>
      <c r="F1549" s="9" t="s">
        <v>420</v>
      </c>
      <c r="H1549" s="9"/>
    </row>
    <row r="1550" ht="14.25" customHeight="1">
      <c r="C1550" s="9" t="s">
        <v>1419</v>
      </c>
      <c r="D1550" s="9" t="s">
        <v>3042</v>
      </c>
      <c r="E1550" s="9" t="s">
        <v>3039</v>
      </c>
      <c r="F1550" s="9" t="s">
        <v>482</v>
      </c>
      <c r="H1550" s="9"/>
    </row>
    <row r="1551" ht="14.25" customHeight="1">
      <c r="C1551" s="9" t="s">
        <v>1419</v>
      </c>
      <c r="D1551" s="9" t="s">
        <v>3042</v>
      </c>
      <c r="E1551" s="9" t="s">
        <v>3039</v>
      </c>
      <c r="F1551" s="9" t="s">
        <v>136</v>
      </c>
      <c r="H1551" s="9"/>
    </row>
    <row r="1552" ht="14.25" customHeight="1">
      <c r="C1552" s="9" t="s">
        <v>1419</v>
      </c>
      <c r="D1552" s="9" t="s">
        <v>3042</v>
      </c>
      <c r="E1552" s="9" t="s">
        <v>3039</v>
      </c>
      <c r="F1552" s="9" t="s">
        <v>408</v>
      </c>
      <c r="H1552" s="9"/>
    </row>
    <row r="1553" ht="14.25" customHeight="1">
      <c r="C1553" s="9" t="s">
        <v>1419</v>
      </c>
      <c r="D1553" s="9" t="s">
        <v>3042</v>
      </c>
      <c r="E1553" s="9" t="s">
        <v>3039</v>
      </c>
      <c r="F1553" s="9" t="s">
        <v>2301</v>
      </c>
      <c r="H1553" s="9"/>
    </row>
    <row r="1554" ht="14.25" customHeight="1">
      <c r="C1554" s="9" t="s">
        <v>1419</v>
      </c>
      <c r="D1554" s="9" t="s">
        <v>3042</v>
      </c>
      <c r="E1554" s="9" t="s">
        <v>3039</v>
      </c>
      <c r="F1554" s="9" t="s">
        <v>197</v>
      </c>
      <c r="H1554" s="9"/>
    </row>
    <row r="1555" ht="14.25" customHeight="1">
      <c r="C1555" s="9" t="s">
        <v>1419</v>
      </c>
      <c r="D1555" s="9" t="s">
        <v>3042</v>
      </c>
      <c r="E1555" s="9" t="s">
        <v>3039</v>
      </c>
      <c r="F1555" s="9" t="s">
        <v>172</v>
      </c>
      <c r="H1555" s="9"/>
    </row>
    <row r="1556" ht="14.25" customHeight="1">
      <c r="C1556" s="9" t="s">
        <v>1419</v>
      </c>
      <c r="D1556" s="9" t="s">
        <v>3042</v>
      </c>
      <c r="E1556" s="9" t="s">
        <v>3039</v>
      </c>
      <c r="F1556" s="9" t="s">
        <v>98</v>
      </c>
      <c r="H1556" s="9"/>
    </row>
    <row r="1557" ht="14.25" customHeight="1">
      <c r="C1557" s="9" t="s">
        <v>1419</v>
      </c>
      <c r="D1557" s="9" t="s">
        <v>3042</v>
      </c>
      <c r="E1557" s="9" t="s">
        <v>3039</v>
      </c>
      <c r="F1557" s="9" t="s">
        <v>341</v>
      </c>
      <c r="H1557" s="9"/>
    </row>
    <row r="1558" ht="14.25" customHeight="1">
      <c r="C1558" s="9" t="s">
        <v>1419</v>
      </c>
      <c r="D1558" s="9" t="s">
        <v>3042</v>
      </c>
      <c r="E1558" s="9" t="s">
        <v>3039</v>
      </c>
      <c r="F1558" s="9" t="s">
        <v>3033</v>
      </c>
      <c r="H1558" s="9"/>
    </row>
    <row r="1559" ht="14.25" customHeight="1">
      <c r="C1559" s="9" t="s">
        <v>1419</v>
      </c>
      <c r="D1559" s="9" t="s">
        <v>3042</v>
      </c>
      <c r="E1559" s="9" t="s">
        <v>3039</v>
      </c>
      <c r="F1559" s="9" t="s">
        <v>367</v>
      </c>
      <c r="H1559" s="9"/>
    </row>
    <row r="1560" ht="14.25" customHeight="1">
      <c r="C1560" s="9" t="s">
        <v>1419</v>
      </c>
      <c r="D1560" s="9" t="s">
        <v>3042</v>
      </c>
      <c r="E1560" s="9" t="s">
        <v>3039</v>
      </c>
      <c r="F1560" s="9" t="s">
        <v>529</v>
      </c>
      <c r="H1560" s="9"/>
    </row>
    <row r="1561" ht="14.25" customHeight="1">
      <c r="C1561" s="9" t="s">
        <v>1419</v>
      </c>
      <c r="D1561" s="9" t="s">
        <v>3042</v>
      </c>
      <c r="E1561" s="9" t="s">
        <v>3039</v>
      </c>
      <c r="F1561" s="9" t="s">
        <v>282</v>
      </c>
      <c r="H1561" s="9"/>
    </row>
    <row r="1562" ht="14.25" customHeight="1">
      <c r="C1562" s="9" t="s">
        <v>1419</v>
      </c>
      <c r="D1562" s="9" t="s">
        <v>3042</v>
      </c>
      <c r="E1562" s="9" t="s">
        <v>3039</v>
      </c>
      <c r="F1562" s="9" t="s">
        <v>321</v>
      </c>
      <c r="H1562" s="9"/>
    </row>
    <row r="1563" ht="14.25" customHeight="1">
      <c r="C1563" s="9" t="s">
        <v>1419</v>
      </c>
      <c r="D1563" s="9" t="s">
        <v>3042</v>
      </c>
      <c r="E1563" s="9" t="s">
        <v>3039</v>
      </c>
      <c r="F1563" s="9" t="s">
        <v>479</v>
      </c>
      <c r="H1563" s="9"/>
    </row>
    <row r="1564" ht="14.25" customHeight="1">
      <c r="C1564" s="9" t="s">
        <v>1419</v>
      </c>
      <c r="D1564" s="9" t="s">
        <v>3042</v>
      </c>
      <c r="E1564" s="9" t="s">
        <v>3039</v>
      </c>
      <c r="F1564" s="9" t="s">
        <v>517</v>
      </c>
      <c r="H1564" s="9"/>
    </row>
    <row r="1565" ht="14.25" customHeight="1">
      <c r="C1565" s="9" t="s">
        <v>1419</v>
      </c>
      <c r="D1565" s="9" t="s">
        <v>3042</v>
      </c>
      <c r="E1565" s="9" t="s">
        <v>3039</v>
      </c>
      <c r="F1565" s="9" t="s">
        <v>2309</v>
      </c>
      <c r="H1565" s="9"/>
    </row>
    <row r="1566" ht="14.25" customHeight="1">
      <c r="C1566" s="9" t="s">
        <v>1419</v>
      </c>
      <c r="D1566" s="9" t="s">
        <v>3042</v>
      </c>
      <c r="E1566" s="9" t="s">
        <v>3039</v>
      </c>
      <c r="F1566" s="9" t="s">
        <v>507</v>
      </c>
      <c r="H1566" s="9"/>
    </row>
    <row r="1567" ht="14.25" customHeight="1">
      <c r="C1567" s="9" t="s">
        <v>1419</v>
      </c>
      <c r="D1567" s="9" t="s">
        <v>3042</v>
      </c>
      <c r="E1567" s="9" t="s">
        <v>3039</v>
      </c>
      <c r="F1567" s="9" t="s">
        <v>336</v>
      </c>
      <c r="H1567" s="9"/>
    </row>
    <row r="1568" ht="14.25" customHeight="1">
      <c r="C1568" s="9" t="s">
        <v>1419</v>
      </c>
      <c r="D1568" s="9" t="s">
        <v>3042</v>
      </c>
      <c r="E1568" s="9" t="s">
        <v>3039</v>
      </c>
      <c r="F1568" s="9" t="s">
        <v>235</v>
      </c>
      <c r="H1568" s="9"/>
    </row>
    <row r="1569" ht="14.25" customHeight="1">
      <c r="C1569" s="9" t="s">
        <v>1419</v>
      </c>
      <c r="D1569" s="9" t="s">
        <v>3042</v>
      </c>
      <c r="E1569" s="9" t="s">
        <v>3039</v>
      </c>
      <c r="F1569" s="9" t="s">
        <v>2957</v>
      </c>
      <c r="H1569" s="9"/>
    </row>
    <row r="1570" ht="14.25" customHeight="1">
      <c r="C1570" s="9" t="s">
        <v>1419</v>
      </c>
      <c r="D1570" s="9" t="s">
        <v>3042</v>
      </c>
      <c r="E1570" s="9" t="s">
        <v>3039</v>
      </c>
      <c r="F1570" s="9" t="s">
        <v>264</v>
      </c>
      <c r="H1570" s="9"/>
    </row>
    <row r="1571" ht="14.25" customHeight="1">
      <c r="C1571" s="200" t="s">
        <v>3043</v>
      </c>
      <c r="D1571" s="9" t="s">
        <v>3044</v>
      </c>
      <c r="E1571" s="200" t="s">
        <v>3039</v>
      </c>
      <c r="F1571" s="201" t="s">
        <v>474</v>
      </c>
      <c r="H1571" s="9"/>
    </row>
    <row r="1572" ht="14.25" customHeight="1">
      <c r="C1572" s="200" t="s">
        <v>3043</v>
      </c>
      <c r="D1572" s="9" t="s">
        <v>3044</v>
      </c>
      <c r="E1572" s="200" t="s">
        <v>3039</v>
      </c>
      <c r="F1572" s="201" t="s">
        <v>3045</v>
      </c>
      <c r="H1572" s="9"/>
    </row>
    <row r="1573" ht="14.25" customHeight="1">
      <c r="C1573" s="200" t="s">
        <v>3043</v>
      </c>
      <c r="D1573" s="9" t="s">
        <v>3044</v>
      </c>
      <c r="E1573" s="200" t="s">
        <v>3039</v>
      </c>
      <c r="F1573" s="201" t="s">
        <v>284</v>
      </c>
      <c r="H1573" s="9"/>
    </row>
    <row r="1574" ht="14.25" customHeight="1">
      <c r="C1574" s="200" t="s">
        <v>3043</v>
      </c>
      <c r="D1574" s="9" t="s">
        <v>3044</v>
      </c>
      <c r="E1574" s="200" t="s">
        <v>3039</v>
      </c>
      <c r="F1574" s="201" t="s">
        <v>493</v>
      </c>
      <c r="H1574" s="9"/>
    </row>
    <row r="1575" ht="14.25" customHeight="1">
      <c r="C1575" s="200" t="s">
        <v>3043</v>
      </c>
      <c r="D1575" s="9" t="s">
        <v>3044</v>
      </c>
      <c r="E1575" s="200" t="s">
        <v>3039</v>
      </c>
      <c r="F1575" s="201" t="s">
        <v>450</v>
      </c>
      <c r="H1575" s="9"/>
    </row>
    <row r="1576" ht="14.25" customHeight="1">
      <c r="C1576" s="200" t="s">
        <v>3043</v>
      </c>
      <c r="D1576" s="9" t="s">
        <v>3044</v>
      </c>
      <c r="E1576" s="200" t="s">
        <v>3039</v>
      </c>
      <c r="F1576" s="201" t="s">
        <v>395</v>
      </c>
      <c r="H1576" s="9"/>
    </row>
    <row r="1577" ht="14.25" customHeight="1">
      <c r="C1577" s="200" t="s">
        <v>3043</v>
      </c>
      <c r="D1577" s="9" t="s">
        <v>3044</v>
      </c>
      <c r="E1577" s="200" t="s">
        <v>3039</v>
      </c>
      <c r="F1577" s="201" t="s">
        <v>276</v>
      </c>
      <c r="H1577" s="9"/>
    </row>
    <row r="1578" ht="14.25" customHeight="1">
      <c r="C1578" s="200" t="s">
        <v>3043</v>
      </c>
      <c r="D1578" s="9" t="s">
        <v>3044</v>
      </c>
      <c r="E1578" s="200" t="s">
        <v>3039</v>
      </c>
      <c r="F1578" s="201" t="s">
        <v>431</v>
      </c>
      <c r="H1578" s="9"/>
    </row>
    <row r="1579" ht="14.25" customHeight="1">
      <c r="C1579" s="200" t="s">
        <v>3043</v>
      </c>
      <c r="D1579" s="9" t="s">
        <v>3044</v>
      </c>
      <c r="E1579" s="200" t="s">
        <v>3039</v>
      </c>
      <c r="F1579" s="201" t="s">
        <v>26</v>
      </c>
      <c r="H1579" s="9"/>
    </row>
    <row r="1580" ht="14.25" customHeight="1">
      <c r="C1580" s="200" t="s">
        <v>3043</v>
      </c>
      <c r="D1580" s="9" t="s">
        <v>3044</v>
      </c>
      <c r="E1580" s="200" t="s">
        <v>3039</v>
      </c>
      <c r="F1580" s="201" t="s">
        <v>420</v>
      </c>
      <c r="H1580" s="9"/>
    </row>
    <row r="1581" ht="14.25" customHeight="1">
      <c r="C1581" s="200" t="s">
        <v>3043</v>
      </c>
      <c r="D1581" s="9" t="s">
        <v>3044</v>
      </c>
      <c r="E1581" s="200" t="s">
        <v>3039</v>
      </c>
      <c r="F1581" s="201" t="s">
        <v>482</v>
      </c>
      <c r="H1581" s="9"/>
    </row>
    <row r="1582" ht="14.25" customHeight="1">
      <c r="C1582" s="200" t="s">
        <v>3043</v>
      </c>
      <c r="D1582" s="9" t="s">
        <v>3044</v>
      </c>
      <c r="E1582" s="200" t="s">
        <v>3039</v>
      </c>
      <c r="F1582" s="201" t="s">
        <v>136</v>
      </c>
      <c r="H1582" s="9"/>
    </row>
    <row r="1583" ht="14.25" customHeight="1">
      <c r="C1583" s="200" t="s">
        <v>3043</v>
      </c>
      <c r="D1583" s="9" t="s">
        <v>3044</v>
      </c>
      <c r="E1583" s="200" t="s">
        <v>3039</v>
      </c>
      <c r="F1583" s="201" t="s">
        <v>408</v>
      </c>
      <c r="H1583" s="9"/>
    </row>
    <row r="1584" ht="14.25" customHeight="1">
      <c r="C1584" s="200" t="s">
        <v>3043</v>
      </c>
      <c r="D1584" s="9" t="s">
        <v>3044</v>
      </c>
      <c r="E1584" s="200" t="s">
        <v>3039</v>
      </c>
      <c r="F1584" s="201" t="s">
        <v>2589</v>
      </c>
      <c r="H1584" s="9"/>
    </row>
    <row r="1585" ht="14.25" customHeight="1">
      <c r="C1585" s="200" t="s">
        <v>3043</v>
      </c>
      <c r="D1585" s="9" t="s">
        <v>3044</v>
      </c>
      <c r="E1585" s="200" t="s">
        <v>3039</v>
      </c>
      <c r="F1585" s="201" t="s">
        <v>197</v>
      </c>
      <c r="H1585" s="9"/>
    </row>
    <row r="1586" ht="14.25" customHeight="1">
      <c r="C1586" s="200" t="s">
        <v>3043</v>
      </c>
      <c r="D1586" s="9" t="s">
        <v>3044</v>
      </c>
      <c r="E1586" s="200" t="s">
        <v>3039</v>
      </c>
      <c r="F1586" s="201" t="s">
        <v>172</v>
      </c>
      <c r="H1586" s="9"/>
    </row>
    <row r="1587" ht="14.25" customHeight="1">
      <c r="C1587" s="200" t="s">
        <v>3043</v>
      </c>
      <c r="D1587" s="9" t="s">
        <v>3044</v>
      </c>
      <c r="E1587" s="200" t="s">
        <v>3039</v>
      </c>
      <c r="F1587" s="201" t="s">
        <v>98</v>
      </c>
      <c r="H1587" s="9"/>
    </row>
    <row r="1588" ht="14.25" customHeight="1">
      <c r="C1588" s="200" t="s">
        <v>3043</v>
      </c>
      <c r="D1588" s="9" t="s">
        <v>3044</v>
      </c>
      <c r="E1588" s="200" t="s">
        <v>3039</v>
      </c>
      <c r="F1588" s="201" t="s">
        <v>341</v>
      </c>
      <c r="H1588" s="9"/>
    </row>
    <row r="1589" ht="14.25" customHeight="1">
      <c r="C1589" s="200" t="s">
        <v>3043</v>
      </c>
      <c r="D1589" s="9" t="s">
        <v>3044</v>
      </c>
      <c r="E1589" s="200" t="s">
        <v>3039</v>
      </c>
      <c r="F1589" s="201" t="s">
        <v>3033</v>
      </c>
      <c r="H1589" s="9"/>
    </row>
    <row r="1590" ht="14.25" customHeight="1">
      <c r="C1590" s="200" t="s">
        <v>3043</v>
      </c>
      <c r="D1590" s="9" t="s">
        <v>3044</v>
      </c>
      <c r="E1590" s="200" t="s">
        <v>3039</v>
      </c>
      <c r="F1590" s="201" t="s">
        <v>367</v>
      </c>
      <c r="H1590" s="9"/>
    </row>
    <row r="1591" ht="14.25" customHeight="1">
      <c r="C1591" s="200" t="s">
        <v>3043</v>
      </c>
      <c r="D1591" s="9" t="s">
        <v>3044</v>
      </c>
      <c r="E1591" s="200" t="s">
        <v>3039</v>
      </c>
      <c r="F1591" s="201" t="s">
        <v>529</v>
      </c>
      <c r="H1591" s="9"/>
    </row>
    <row r="1592" ht="14.25" customHeight="1">
      <c r="C1592" s="200" t="s">
        <v>3043</v>
      </c>
      <c r="D1592" s="9" t="s">
        <v>3044</v>
      </c>
      <c r="E1592" s="200" t="s">
        <v>3039</v>
      </c>
      <c r="F1592" s="201" t="s">
        <v>282</v>
      </c>
      <c r="H1592" s="9"/>
    </row>
    <row r="1593" ht="14.25" customHeight="1">
      <c r="C1593" s="200" t="s">
        <v>3043</v>
      </c>
      <c r="D1593" s="9" t="s">
        <v>3044</v>
      </c>
      <c r="E1593" s="200" t="s">
        <v>3039</v>
      </c>
      <c r="F1593" s="201" t="s">
        <v>321</v>
      </c>
      <c r="H1593" s="9"/>
    </row>
    <row r="1594" ht="14.25" customHeight="1">
      <c r="C1594" s="200" t="s">
        <v>3043</v>
      </c>
      <c r="D1594" s="9" t="s">
        <v>3044</v>
      </c>
      <c r="E1594" s="200" t="s">
        <v>3039</v>
      </c>
      <c r="F1594" s="201" t="s">
        <v>479</v>
      </c>
      <c r="H1594" s="9"/>
    </row>
    <row r="1595" ht="14.25" customHeight="1">
      <c r="C1595" s="200" t="s">
        <v>3043</v>
      </c>
      <c r="D1595" s="9" t="s">
        <v>3044</v>
      </c>
      <c r="E1595" s="200" t="s">
        <v>3039</v>
      </c>
      <c r="F1595" s="201" t="s">
        <v>517</v>
      </c>
      <c r="H1595" s="9"/>
    </row>
    <row r="1596" ht="14.25" customHeight="1">
      <c r="C1596" s="200" t="s">
        <v>3043</v>
      </c>
      <c r="D1596" s="9" t="s">
        <v>3044</v>
      </c>
      <c r="E1596" s="200" t="s">
        <v>3039</v>
      </c>
      <c r="F1596" s="201" t="s">
        <v>507</v>
      </c>
      <c r="H1596" s="9"/>
    </row>
    <row r="1597" ht="14.25" customHeight="1">
      <c r="C1597" s="200" t="s">
        <v>3043</v>
      </c>
      <c r="D1597" s="9" t="s">
        <v>3044</v>
      </c>
      <c r="E1597" s="200" t="s">
        <v>3039</v>
      </c>
      <c r="F1597" s="201" t="s">
        <v>336</v>
      </c>
      <c r="H1597" s="9"/>
    </row>
    <row r="1598" ht="14.25" customHeight="1">
      <c r="C1598" s="200" t="s">
        <v>3043</v>
      </c>
      <c r="D1598" s="9" t="s">
        <v>3044</v>
      </c>
      <c r="E1598" s="200" t="s">
        <v>3039</v>
      </c>
      <c r="F1598" s="201" t="s">
        <v>235</v>
      </c>
      <c r="H1598" s="9"/>
    </row>
    <row r="1599" ht="14.25" customHeight="1">
      <c r="C1599" s="200" t="s">
        <v>3043</v>
      </c>
      <c r="D1599" s="9" t="s">
        <v>3044</v>
      </c>
      <c r="E1599" s="200" t="s">
        <v>3039</v>
      </c>
      <c r="F1599" s="201" t="s">
        <v>2957</v>
      </c>
      <c r="H1599" s="9"/>
    </row>
    <row r="1600" ht="14.25" customHeight="1">
      <c r="C1600" s="200" t="s">
        <v>3043</v>
      </c>
      <c r="D1600" s="9" t="s">
        <v>3044</v>
      </c>
      <c r="E1600" s="200" t="s">
        <v>3039</v>
      </c>
      <c r="F1600" s="201" t="s">
        <v>264</v>
      </c>
      <c r="H1600" s="9"/>
    </row>
    <row r="1601" ht="14.25" customHeight="1">
      <c r="C1601" s="9" t="s">
        <v>3035</v>
      </c>
      <c r="D1601" s="9" t="s">
        <v>3046</v>
      </c>
      <c r="E1601" s="200" t="s">
        <v>3039</v>
      </c>
      <c r="F1601" s="9" t="s">
        <v>474</v>
      </c>
      <c r="H1601" s="9"/>
    </row>
    <row r="1602" ht="14.25" customHeight="1">
      <c r="C1602" s="9" t="s">
        <v>3035</v>
      </c>
      <c r="D1602" s="9" t="s">
        <v>3046</v>
      </c>
      <c r="E1602" s="200" t="s">
        <v>3039</v>
      </c>
      <c r="F1602" s="9" t="s">
        <v>3032</v>
      </c>
      <c r="H1602" s="9"/>
    </row>
    <row r="1603" ht="14.25" customHeight="1">
      <c r="C1603" s="9" t="s">
        <v>3035</v>
      </c>
      <c r="D1603" s="9" t="s">
        <v>3046</v>
      </c>
      <c r="E1603" s="200" t="s">
        <v>3039</v>
      </c>
      <c r="F1603" s="9" t="s">
        <v>284</v>
      </c>
      <c r="H1603" s="9"/>
    </row>
    <row r="1604" ht="14.25" customHeight="1">
      <c r="C1604" s="9" t="s">
        <v>3035</v>
      </c>
      <c r="D1604" s="9" t="s">
        <v>3046</v>
      </c>
      <c r="E1604" s="200" t="s">
        <v>3039</v>
      </c>
      <c r="F1604" s="9" t="s">
        <v>493</v>
      </c>
      <c r="H1604" s="9"/>
    </row>
    <row r="1605" ht="14.25" customHeight="1">
      <c r="C1605" s="9" t="s">
        <v>3035</v>
      </c>
      <c r="D1605" s="9" t="s">
        <v>3046</v>
      </c>
      <c r="E1605" s="200" t="s">
        <v>3039</v>
      </c>
      <c r="F1605" s="9" t="s">
        <v>450</v>
      </c>
      <c r="H1605" s="9"/>
    </row>
    <row r="1606" ht="14.25" customHeight="1">
      <c r="C1606" s="9" t="s">
        <v>3035</v>
      </c>
      <c r="D1606" s="9" t="s">
        <v>3046</v>
      </c>
      <c r="E1606" s="200" t="s">
        <v>3039</v>
      </c>
      <c r="F1606" s="9" t="s">
        <v>2296</v>
      </c>
      <c r="H1606" s="9"/>
    </row>
    <row r="1607" ht="14.25" customHeight="1">
      <c r="C1607" s="9" t="s">
        <v>3035</v>
      </c>
      <c r="D1607" s="9" t="s">
        <v>3046</v>
      </c>
      <c r="E1607" s="200" t="s">
        <v>3039</v>
      </c>
      <c r="F1607" s="9" t="s">
        <v>276</v>
      </c>
      <c r="H1607" s="9"/>
    </row>
    <row r="1608" ht="14.25" customHeight="1">
      <c r="C1608" s="9" t="s">
        <v>3035</v>
      </c>
      <c r="D1608" s="9" t="s">
        <v>3046</v>
      </c>
      <c r="E1608" s="200" t="s">
        <v>3039</v>
      </c>
      <c r="F1608" s="9" t="s">
        <v>431</v>
      </c>
      <c r="H1608" s="9"/>
    </row>
    <row r="1609" ht="14.25" customHeight="1">
      <c r="C1609" s="9" t="s">
        <v>3035</v>
      </c>
      <c r="D1609" s="9" t="s">
        <v>3046</v>
      </c>
      <c r="E1609" s="200" t="s">
        <v>3039</v>
      </c>
      <c r="F1609" s="9" t="s">
        <v>26</v>
      </c>
      <c r="H1609" s="9"/>
    </row>
    <row r="1610" ht="14.25" customHeight="1">
      <c r="C1610" s="9" t="s">
        <v>3035</v>
      </c>
      <c r="D1610" s="9" t="s">
        <v>3046</v>
      </c>
      <c r="E1610" s="200" t="s">
        <v>3039</v>
      </c>
      <c r="F1610" s="9" t="s">
        <v>420</v>
      </c>
      <c r="H1610" s="9"/>
    </row>
    <row r="1611" ht="14.25" customHeight="1">
      <c r="C1611" s="9" t="s">
        <v>3035</v>
      </c>
      <c r="D1611" s="9" t="s">
        <v>3046</v>
      </c>
      <c r="E1611" s="200" t="s">
        <v>3039</v>
      </c>
      <c r="F1611" s="9" t="s">
        <v>482</v>
      </c>
      <c r="H1611" s="9"/>
    </row>
    <row r="1612" ht="14.25" customHeight="1">
      <c r="C1612" s="9" t="s">
        <v>3035</v>
      </c>
      <c r="D1612" s="9" t="s">
        <v>3046</v>
      </c>
      <c r="E1612" s="200" t="s">
        <v>3039</v>
      </c>
      <c r="F1612" s="15" t="s">
        <v>136</v>
      </c>
      <c r="H1612" s="9"/>
    </row>
    <row r="1613" ht="14.25" customHeight="1">
      <c r="C1613" s="9" t="s">
        <v>3035</v>
      </c>
      <c r="D1613" s="9" t="s">
        <v>3046</v>
      </c>
      <c r="E1613" s="200" t="s">
        <v>3039</v>
      </c>
      <c r="F1613" s="9" t="s">
        <v>408</v>
      </c>
      <c r="H1613" s="9"/>
    </row>
    <row r="1614" ht="14.25" customHeight="1">
      <c r="C1614" s="9" t="s">
        <v>3035</v>
      </c>
      <c r="D1614" s="9" t="s">
        <v>3046</v>
      </c>
      <c r="E1614" s="200" t="s">
        <v>3039</v>
      </c>
      <c r="F1614" s="9" t="s">
        <v>2301</v>
      </c>
      <c r="H1614" s="9"/>
    </row>
    <row r="1615" ht="14.25" customHeight="1">
      <c r="C1615" s="9" t="s">
        <v>3035</v>
      </c>
      <c r="D1615" s="9" t="s">
        <v>3046</v>
      </c>
      <c r="E1615" s="200" t="s">
        <v>3039</v>
      </c>
      <c r="F1615" s="9" t="s">
        <v>197</v>
      </c>
      <c r="H1615" s="9"/>
    </row>
    <row r="1616" ht="14.25" customHeight="1">
      <c r="C1616" s="9" t="s">
        <v>3035</v>
      </c>
      <c r="D1616" s="9" t="s">
        <v>3046</v>
      </c>
      <c r="E1616" s="200" t="s">
        <v>3039</v>
      </c>
      <c r="F1616" s="9" t="s">
        <v>172</v>
      </c>
      <c r="H1616" s="9"/>
    </row>
    <row r="1617" ht="14.25" customHeight="1">
      <c r="C1617" s="9" t="s">
        <v>3035</v>
      </c>
      <c r="D1617" s="9" t="s">
        <v>3046</v>
      </c>
      <c r="E1617" s="200" t="s">
        <v>3039</v>
      </c>
      <c r="F1617" s="9" t="s">
        <v>98</v>
      </c>
      <c r="H1617" s="9"/>
    </row>
    <row r="1618" ht="14.25" customHeight="1">
      <c r="C1618" s="9" t="s">
        <v>3035</v>
      </c>
      <c r="D1618" s="9" t="s">
        <v>3046</v>
      </c>
      <c r="E1618" s="200" t="s">
        <v>3039</v>
      </c>
      <c r="F1618" s="9" t="s">
        <v>341</v>
      </c>
      <c r="H1618" s="9"/>
    </row>
    <row r="1619" ht="14.25" customHeight="1">
      <c r="C1619" s="9" t="s">
        <v>3035</v>
      </c>
      <c r="D1619" s="9" t="s">
        <v>3046</v>
      </c>
      <c r="E1619" s="200" t="s">
        <v>3039</v>
      </c>
      <c r="F1619" s="9" t="s">
        <v>3033</v>
      </c>
      <c r="H1619" s="9"/>
    </row>
    <row r="1620" ht="14.25" customHeight="1">
      <c r="C1620" s="9" t="s">
        <v>3035</v>
      </c>
      <c r="D1620" s="9" t="s">
        <v>3046</v>
      </c>
      <c r="E1620" s="200" t="s">
        <v>3039</v>
      </c>
      <c r="F1620" s="9" t="s">
        <v>367</v>
      </c>
      <c r="H1620" s="9"/>
    </row>
    <row r="1621" ht="14.25" customHeight="1">
      <c r="C1621" s="9" t="s">
        <v>3035</v>
      </c>
      <c r="D1621" s="9" t="s">
        <v>3046</v>
      </c>
      <c r="E1621" s="200" t="s">
        <v>3039</v>
      </c>
      <c r="F1621" s="9" t="s">
        <v>529</v>
      </c>
      <c r="H1621" s="9"/>
    </row>
    <row r="1622" ht="14.25" customHeight="1">
      <c r="C1622" s="9" t="s">
        <v>3035</v>
      </c>
      <c r="D1622" s="9" t="s">
        <v>3046</v>
      </c>
      <c r="E1622" s="200" t="s">
        <v>3039</v>
      </c>
      <c r="F1622" s="9" t="s">
        <v>282</v>
      </c>
      <c r="H1622" s="9"/>
    </row>
    <row r="1623" ht="14.25" customHeight="1">
      <c r="C1623" s="9" t="s">
        <v>3035</v>
      </c>
      <c r="D1623" s="9" t="s">
        <v>3046</v>
      </c>
      <c r="E1623" s="200" t="s">
        <v>3039</v>
      </c>
      <c r="F1623" s="9" t="s">
        <v>321</v>
      </c>
      <c r="H1623" s="9"/>
    </row>
    <row r="1624" ht="14.25" customHeight="1">
      <c r="C1624" s="9" t="s">
        <v>3035</v>
      </c>
      <c r="D1624" s="9" t="s">
        <v>3046</v>
      </c>
      <c r="E1624" s="200" t="s">
        <v>3039</v>
      </c>
      <c r="F1624" s="9" t="s">
        <v>479</v>
      </c>
      <c r="H1624" s="9"/>
    </row>
    <row r="1625" ht="14.25" customHeight="1">
      <c r="C1625" s="9" t="s">
        <v>3035</v>
      </c>
      <c r="D1625" s="9" t="s">
        <v>3046</v>
      </c>
      <c r="E1625" s="200" t="s">
        <v>3039</v>
      </c>
      <c r="F1625" s="9" t="s">
        <v>517</v>
      </c>
      <c r="H1625" s="9"/>
    </row>
    <row r="1626" ht="14.25" customHeight="1">
      <c r="C1626" s="9" t="s">
        <v>3035</v>
      </c>
      <c r="D1626" s="9" t="s">
        <v>3046</v>
      </c>
      <c r="E1626" s="200" t="s">
        <v>3039</v>
      </c>
      <c r="F1626" s="9" t="s">
        <v>2309</v>
      </c>
      <c r="H1626" s="9"/>
    </row>
    <row r="1627" ht="14.25" customHeight="1">
      <c r="C1627" s="9" t="s">
        <v>3035</v>
      </c>
      <c r="D1627" s="9" t="s">
        <v>3046</v>
      </c>
      <c r="E1627" s="200" t="s">
        <v>3039</v>
      </c>
      <c r="F1627" s="9" t="s">
        <v>507</v>
      </c>
      <c r="H1627" s="9"/>
    </row>
    <row r="1628" ht="14.25" customHeight="1">
      <c r="C1628" s="9" t="s">
        <v>3035</v>
      </c>
      <c r="D1628" s="9" t="s">
        <v>3046</v>
      </c>
      <c r="E1628" s="200" t="s">
        <v>3039</v>
      </c>
      <c r="F1628" s="9" t="s">
        <v>336</v>
      </c>
      <c r="H1628" s="9"/>
    </row>
    <row r="1629" ht="14.25" customHeight="1">
      <c r="C1629" s="9" t="s">
        <v>3035</v>
      </c>
      <c r="D1629" s="9" t="s">
        <v>3046</v>
      </c>
      <c r="E1629" s="200" t="s">
        <v>3039</v>
      </c>
      <c r="F1629" s="9" t="s">
        <v>235</v>
      </c>
      <c r="H1629" s="9"/>
    </row>
    <row r="1630" ht="14.25" customHeight="1">
      <c r="C1630" s="9" t="s">
        <v>3035</v>
      </c>
      <c r="D1630" s="9" t="s">
        <v>3046</v>
      </c>
      <c r="E1630" s="200" t="s">
        <v>3039</v>
      </c>
      <c r="F1630" s="9" t="s">
        <v>2957</v>
      </c>
      <c r="H1630" s="9"/>
    </row>
    <row r="1631" ht="14.25" customHeight="1">
      <c r="C1631" s="9" t="s">
        <v>3035</v>
      </c>
      <c r="D1631" s="9" t="s">
        <v>3046</v>
      </c>
      <c r="E1631" s="200" t="s">
        <v>3039</v>
      </c>
      <c r="F1631" s="9" t="s">
        <v>264</v>
      </c>
      <c r="H1631" s="9"/>
    </row>
    <row r="1632" ht="14.25" customHeight="1">
      <c r="C1632" s="199" t="s">
        <v>3047</v>
      </c>
      <c r="D1632" s="199" t="s">
        <v>3048</v>
      </c>
      <c r="E1632" s="9" t="s">
        <v>3039</v>
      </c>
      <c r="F1632" s="9" t="s">
        <v>474</v>
      </c>
      <c r="H1632" s="9"/>
    </row>
    <row r="1633" ht="14.25" customHeight="1">
      <c r="C1633" s="199" t="s">
        <v>3047</v>
      </c>
      <c r="D1633" s="199" t="s">
        <v>3048</v>
      </c>
      <c r="E1633" s="9" t="s">
        <v>3039</v>
      </c>
      <c r="F1633" s="9" t="s">
        <v>3032</v>
      </c>
      <c r="H1633" s="9"/>
    </row>
    <row r="1634" ht="14.25" customHeight="1">
      <c r="C1634" s="199" t="s">
        <v>3047</v>
      </c>
      <c r="D1634" s="199" t="s">
        <v>3048</v>
      </c>
      <c r="E1634" s="9" t="s">
        <v>3039</v>
      </c>
      <c r="F1634" s="9" t="s">
        <v>284</v>
      </c>
      <c r="H1634" s="9"/>
    </row>
    <row r="1635" ht="14.25" customHeight="1">
      <c r="C1635" s="199" t="s">
        <v>3047</v>
      </c>
      <c r="D1635" s="199" t="s">
        <v>3048</v>
      </c>
      <c r="E1635" s="9" t="s">
        <v>3039</v>
      </c>
      <c r="F1635" s="9" t="s">
        <v>493</v>
      </c>
      <c r="H1635" s="9"/>
    </row>
    <row r="1636" ht="14.25" customHeight="1">
      <c r="C1636" s="199" t="s">
        <v>3047</v>
      </c>
      <c r="D1636" s="199" t="s">
        <v>3048</v>
      </c>
      <c r="E1636" s="9" t="s">
        <v>3039</v>
      </c>
      <c r="F1636" s="9" t="s">
        <v>450</v>
      </c>
      <c r="H1636" s="9"/>
    </row>
    <row r="1637" ht="14.25" customHeight="1">
      <c r="C1637" s="199" t="s">
        <v>3047</v>
      </c>
      <c r="D1637" s="199" t="s">
        <v>3048</v>
      </c>
      <c r="E1637" s="9" t="s">
        <v>3039</v>
      </c>
      <c r="F1637" s="9" t="s">
        <v>2296</v>
      </c>
      <c r="H1637" s="9"/>
    </row>
    <row r="1638" ht="14.25" customHeight="1">
      <c r="C1638" s="199" t="s">
        <v>3047</v>
      </c>
      <c r="D1638" s="199" t="s">
        <v>3048</v>
      </c>
      <c r="E1638" s="9" t="s">
        <v>3039</v>
      </c>
      <c r="F1638" s="9" t="s">
        <v>276</v>
      </c>
      <c r="H1638" s="9"/>
    </row>
    <row r="1639" ht="14.25" customHeight="1">
      <c r="C1639" s="199" t="s">
        <v>3047</v>
      </c>
      <c r="D1639" s="199" t="s">
        <v>3048</v>
      </c>
      <c r="E1639" s="9" t="s">
        <v>3039</v>
      </c>
      <c r="F1639" s="9" t="s">
        <v>431</v>
      </c>
      <c r="H1639" s="9"/>
    </row>
    <row r="1640" ht="14.25" customHeight="1">
      <c r="C1640" s="199" t="s">
        <v>3047</v>
      </c>
      <c r="D1640" s="199" t="s">
        <v>3048</v>
      </c>
      <c r="E1640" s="9" t="s">
        <v>3039</v>
      </c>
      <c r="F1640" s="9" t="s">
        <v>26</v>
      </c>
      <c r="H1640" s="9"/>
    </row>
    <row r="1641" ht="14.25" customHeight="1">
      <c r="C1641" s="199" t="s">
        <v>3047</v>
      </c>
      <c r="D1641" s="199" t="s">
        <v>3048</v>
      </c>
      <c r="E1641" s="9" t="s">
        <v>3039</v>
      </c>
      <c r="F1641" s="9" t="s">
        <v>420</v>
      </c>
      <c r="H1641" s="9"/>
    </row>
    <row r="1642" ht="14.25" customHeight="1">
      <c r="C1642" s="199" t="s">
        <v>3047</v>
      </c>
      <c r="D1642" s="199" t="s">
        <v>3048</v>
      </c>
      <c r="E1642" s="9" t="s">
        <v>3039</v>
      </c>
      <c r="F1642" s="9" t="s">
        <v>482</v>
      </c>
      <c r="H1642" s="9"/>
    </row>
    <row r="1643" ht="14.25" customHeight="1">
      <c r="C1643" s="199" t="s">
        <v>3047</v>
      </c>
      <c r="D1643" s="199" t="s">
        <v>3048</v>
      </c>
      <c r="E1643" s="9" t="s">
        <v>3039</v>
      </c>
      <c r="F1643" s="9" t="s">
        <v>136</v>
      </c>
      <c r="H1643" s="9"/>
    </row>
    <row r="1644" ht="14.25" customHeight="1">
      <c r="C1644" s="199" t="s">
        <v>3047</v>
      </c>
      <c r="D1644" s="199" t="s">
        <v>3048</v>
      </c>
      <c r="E1644" s="9" t="s">
        <v>3039</v>
      </c>
      <c r="F1644" s="9" t="s">
        <v>408</v>
      </c>
      <c r="H1644" s="9"/>
    </row>
    <row r="1645" ht="14.25" customHeight="1">
      <c r="C1645" s="199" t="s">
        <v>3047</v>
      </c>
      <c r="D1645" s="199" t="s">
        <v>3048</v>
      </c>
      <c r="E1645" s="9" t="s">
        <v>3039</v>
      </c>
      <c r="F1645" s="9" t="s">
        <v>2301</v>
      </c>
      <c r="H1645" s="9"/>
    </row>
    <row r="1646" ht="14.25" customHeight="1">
      <c r="C1646" s="199" t="s">
        <v>3047</v>
      </c>
      <c r="D1646" s="199" t="s">
        <v>3048</v>
      </c>
      <c r="E1646" s="9" t="s">
        <v>3039</v>
      </c>
      <c r="F1646" s="9" t="s">
        <v>197</v>
      </c>
      <c r="H1646" s="9"/>
    </row>
    <row r="1647" ht="14.25" customHeight="1">
      <c r="C1647" s="199" t="s">
        <v>3047</v>
      </c>
      <c r="D1647" s="199" t="s">
        <v>3048</v>
      </c>
      <c r="E1647" s="9" t="s">
        <v>3039</v>
      </c>
      <c r="F1647" s="9" t="s">
        <v>172</v>
      </c>
      <c r="H1647" s="9"/>
    </row>
    <row r="1648" ht="14.25" customHeight="1">
      <c r="C1648" s="199" t="s">
        <v>3047</v>
      </c>
      <c r="D1648" s="199" t="s">
        <v>3048</v>
      </c>
      <c r="E1648" s="9" t="s">
        <v>3039</v>
      </c>
      <c r="F1648" s="9" t="s">
        <v>98</v>
      </c>
      <c r="H1648" s="9"/>
    </row>
    <row r="1649" ht="14.25" customHeight="1">
      <c r="C1649" s="199" t="s">
        <v>3047</v>
      </c>
      <c r="D1649" s="199" t="s">
        <v>3048</v>
      </c>
      <c r="E1649" s="9" t="s">
        <v>3039</v>
      </c>
      <c r="F1649" s="9" t="s">
        <v>341</v>
      </c>
      <c r="H1649" s="9"/>
    </row>
    <row r="1650" ht="14.25" customHeight="1">
      <c r="C1650" s="199" t="s">
        <v>3047</v>
      </c>
      <c r="D1650" s="199" t="s">
        <v>3048</v>
      </c>
      <c r="E1650" s="9" t="s">
        <v>3039</v>
      </c>
      <c r="F1650" s="9" t="s">
        <v>3033</v>
      </c>
      <c r="H1650" s="9"/>
    </row>
    <row r="1651" ht="14.25" customHeight="1">
      <c r="C1651" s="199" t="s">
        <v>3047</v>
      </c>
      <c r="D1651" s="199" t="s">
        <v>3048</v>
      </c>
      <c r="E1651" s="9" t="s">
        <v>3039</v>
      </c>
      <c r="F1651" s="9" t="s">
        <v>367</v>
      </c>
      <c r="H1651" s="9"/>
    </row>
    <row r="1652" ht="14.25" customHeight="1">
      <c r="C1652" s="199" t="s">
        <v>3047</v>
      </c>
      <c r="D1652" s="199" t="s">
        <v>3048</v>
      </c>
      <c r="E1652" s="9" t="s">
        <v>3039</v>
      </c>
      <c r="F1652" s="9" t="s">
        <v>529</v>
      </c>
      <c r="H1652" s="9"/>
    </row>
    <row r="1653" ht="14.25" customHeight="1">
      <c r="C1653" s="199" t="s">
        <v>3047</v>
      </c>
      <c r="D1653" s="199" t="s">
        <v>3048</v>
      </c>
      <c r="E1653" s="9" t="s">
        <v>3039</v>
      </c>
      <c r="F1653" s="9" t="s">
        <v>282</v>
      </c>
      <c r="H1653" s="9"/>
    </row>
    <row r="1654" ht="14.25" customHeight="1">
      <c r="C1654" s="199" t="s">
        <v>3047</v>
      </c>
      <c r="D1654" s="199" t="s">
        <v>3048</v>
      </c>
      <c r="E1654" s="9" t="s">
        <v>3039</v>
      </c>
      <c r="F1654" s="9" t="s">
        <v>321</v>
      </c>
      <c r="H1654" s="9"/>
    </row>
    <row r="1655" ht="14.25" customHeight="1">
      <c r="C1655" s="199" t="s">
        <v>3047</v>
      </c>
      <c r="D1655" s="199" t="s">
        <v>3048</v>
      </c>
      <c r="E1655" s="9" t="s">
        <v>3039</v>
      </c>
      <c r="F1655" s="9" t="s">
        <v>479</v>
      </c>
      <c r="H1655" s="9"/>
    </row>
    <row r="1656" ht="14.25" customHeight="1">
      <c r="C1656" s="199" t="s">
        <v>3047</v>
      </c>
      <c r="D1656" s="199" t="s">
        <v>3048</v>
      </c>
      <c r="E1656" s="9" t="s">
        <v>3039</v>
      </c>
      <c r="F1656" s="9" t="s">
        <v>517</v>
      </c>
      <c r="H1656" s="9"/>
    </row>
    <row r="1657" ht="14.25" customHeight="1">
      <c r="C1657" s="199" t="s">
        <v>3047</v>
      </c>
      <c r="D1657" s="199" t="s">
        <v>3048</v>
      </c>
      <c r="E1657" s="9" t="s">
        <v>3039</v>
      </c>
      <c r="F1657" s="9" t="s">
        <v>2309</v>
      </c>
      <c r="H1657" s="9"/>
    </row>
    <row r="1658" ht="14.25" customHeight="1">
      <c r="C1658" s="199" t="s">
        <v>3047</v>
      </c>
      <c r="D1658" s="199" t="s">
        <v>3048</v>
      </c>
      <c r="E1658" s="9" t="s">
        <v>3039</v>
      </c>
      <c r="F1658" s="9" t="s">
        <v>507</v>
      </c>
      <c r="H1658" s="9"/>
    </row>
    <row r="1659" ht="14.25" customHeight="1">
      <c r="C1659" s="199" t="s">
        <v>3047</v>
      </c>
      <c r="D1659" s="199" t="s">
        <v>3048</v>
      </c>
      <c r="E1659" s="9" t="s">
        <v>3039</v>
      </c>
      <c r="F1659" s="9" t="s">
        <v>336</v>
      </c>
      <c r="H1659" s="9"/>
    </row>
    <row r="1660" ht="14.25" customHeight="1">
      <c r="C1660" s="199" t="s">
        <v>3047</v>
      </c>
      <c r="D1660" s="199" t="s">
        <v>3048</v>
      </c>
      <c r="E1660" s="9" t="s">
        <v>3039</v>
      </c>
      <c r="F1660" s="9" t="s">
        <v>235</v>
      </c>
      <c r="H1660" s="9"/>
    </row>
    <row r="1661" ht="14.25" customHeight="1">
      <c r="C1661" s="199" t="s">
        <v>3047</v>
      </c>
      <c r="D1661" s="199" t="s">
        <v>3048</v>
      </c>
      <c r="E1661" s="9" t="s">
        <v>3039</v>
      </c>
      <c r="F1661" s="9" t="s">
        <v>2957</v>
      </c>
      <c r="H1661" s="9"/>
    </row>
    <row r="1662" ht="14.25" customHeight="1">
      <c r="C1662" s="199" t="s">
        <v>3047</v>
      </c>
      <c r="D1662" s="199" t="s">
        <v>3048</v>
      </c>
      <c r="E1662" s="9" t="s">
        <v>3039</v>
      </c>
      <c r="F1662" s="9" t="s">
        <v>264</v>
      </c>
      <c r="H1662" s="9"/>
    </row>
    <row r="1663" ht="14.25" customHeight="1">
      <c r="C1663" s="9" t="s">
        <v>1390</v>
      </c>
      <c r="D1663" s="9" t="s">
        <v>1390</v>
      </c>
      <c r="E1663" s="9" t="s">
        <v>3049</v>
      </c>
      <c r="F1663" s="9" t="s">
        <v>3050</v>
      </c>
      <c r="H1663" s="9"/>
    </row>
    <row r="1664" ht="14.25" customHeight="1">
      <c r="C1664" s="9" t="s">
        <v>1390</v>
      </c>
      <c r="D1664" s="9" t="s">
        <v>1390</v>
      </c>
      <c r="E1664" s="9" t="s">
        <v>3049</v>
      </c>
      <c r="F1664" s="9" t="s">
        <v>3051</v>
      </c>
      <c r="H1664" s="9"/>
    </row>
    <row r="1665" ht="14.25" customHeight="1">
      <c r="C1665" s="9" t="s">
        <v>1390</v>
      </c>
      <c r="D1665" s="9" t="s">
        <v>1390</v>
      </c>
      <c r="E1665" s="9" t="s">
        <v>3049</v>
      </c>
      <c r="F1665" s="9" t="s">
        <v>3052</v>
      </c>
      <c r="H1665" s="9"/>
    </row>
    <row r="1666" ht="14.25" customHeight="1">
      <c r="C1666" s="9" t="s">
        <v>1390</v>
      </c>
      <c r="D1666" s="9" t="s">
        <v>1390</v>
      </c>
      <c r="E1666" s="9" t="s">
        <v>3049</v>
      </c>
      <c r="F1666" s="9" t="s">
        <v>3053</v>
      </c>
      <c r="H1666" s="9"/>
    </row>
    <row r="1667" ht="14.25" customHeight="1">
      <c r="C1667" s="9" t="s">
        <v>1390</v>
      </c>
      <c r="D1667" s="9" t="s">
        <v>1390</v>
      </c>
      <c r="E1667" s="9" t="s">
        <v>3049</v>
      </c>
      <c r="F1667" s="9" t="s">
        <v>3054</v>
      </c>
      <c r="H1667" s="9"/>
    </row>
    <row r="1668" ht="14.25" customHeight="1">
      <c r="C1668" s="9" t="s">
        <v>1390</v>
      </c>
      <c r="D1668" s="9" t="s">
        <v>1390</v>
      </c>
      <c r="E1668" s="9" t="s">
        <v>3049</v>
      </c>
      <c r="F1668" s="9" t="s">
        <v>3055</v>
      </c>
      <c r="H1668" s="9"/>
    </row>
    <row r="1669" ht="14.25" customHeight="1">
      <c r="C1669" s="9" t="s">
        <v>1390</v>
      </c>
      <c r="D1669" s="9" t="s">
        <v>1390</v>
      </c>
      <c r="E1669" s="9" t="s">
        <v>3049</v>
      </c>
      <c r="F1669" s="9" t="s">
        <v>3056</v>
      </c>
      <c r="H1669" s="9"/>
    </row>
    <row r="1670" ht="14.25" customHeight="1">
      <c r="C1670" s="9" t="s">
        <v>3057</v>
      </c>
      <c r="D1670" s="9" t="s">
        <v>3057</v>
      </c>
      <c r="E1670" s="9" t="s">
        <v>3049</v>
      </c>
      <c r="F1670" s="9" t="s">
        <v>493</v>
      </c>
      <c r="H1670" s="9"/>
    </row>
    <row r="1671" ht="14.25" customHeight="1">
      <c r="C1671" s="9" t="s">
        <v>3057</v>
      </c>
      <c r="D1671" s="9" t="s">
        <v>3057</v>
      </c>
      <c r="E1671" s="9" t="s">
        <v>3049</v>
      </c>
      <c r="F1671" s="9" t="s">
        <v>3058</v>
      </c>
      <c r="H1671" s="9"/>
    </row>
    <row r="1672" ht="14.25" customHeight="1">
      <c r="C1672" s="9" t="s">
        <v>3057</v>
      </c>
      <c r="D1672" s="9" t="s">
        <v>3057</v>
      </c>
      <c r="E1672" s="9" t="s">
        <v>3049</v>
      </c>
      <c r="F1672" s="9" t="s">
        <v>529</v>
      </c>
      <c r="H1672" s="9"/>
    </row>
    <row r="1673" ht="14.25" customHeight="1">
      <c r="C1673" s="9" t="s">
        <v>3057</v>
      </c>
      <c r="D1673" s="9" t="s">
        <v>3057</v>
      </c>
      <c r="E1673" s="9" t="s">
        <v>3049</v>
      </c>
      <c r="F1673" s="9" t="s">
        <v>1435</v>
      </c>
      <c r="H1673" s="9"/>
    </row>
    <row r="1674" ht="14.25" customHeight="1">
      <c r="C1674" s="9" t="s">
        <v>3057</v>
      </c>
      <c r="D1674" s="9" t="s">
        <v>3057</v>
      </c>
      <c r="E1674" s="9" t="s">
        <v>3049</v>
      </c>
      <c r="F1674" s="9" t="s">
        <v>3059</v>
      </c>
      <c r="H1674" s="9"/>
    </row>
    <row r="1675" ht="14.25" customHeight="1">
      <c r="C1675" s="9" t="s">
        <v>3057</v>
      </c>
      <c r="D1675" s="9" t="s">
        <v>3057</v>
      </c>
      <c r="E1675" s="9" t="s">
        <v>3049</v>
      </c>
      <c r="F1675" s="9" t="s">
        <v>3060</v>
      </c>
      <c r="H1675" s="9"/>
    </row>
    <row r="1676" ht="14.25" customHeight="1">
      <c r="C1676" s="9" t="s">
        <v>3057</v>
      </c>
      <c r="D1676" s="9" t="s">
        <v>3057</v>
      </c>
      <c r="E1676" s="9" t="s">
        <v>3049</v>
      </c>
      <c r="F1676" s="9" t="s">
        <v>3061</v>
      </c>
      <c r="H1676" s="9"/>
    </row>
    <row r="1677" ht="14.25" customHeight="1">
      <c r="C1677" s="9" t="s">
        <v>3057</v>
      </c>
      <c r="D1677" s="9" t="s">
        <v>3057</v>
      </c>
      <c r="E1677" s="9" t="s">
        <v>3049</v>
      </c>
      <c r="F1677" s="9" t="s">
        <v>1434</v>
      </c>
      <c r="H1677" s="9"/>
    </row>
    <row r="1678" ht="14.25" customHeight="1">
      <c r="C1678" s="9" t="s">
        <v>3057</v>
      </c>
      <c r="D1678" s="9" t="s">
        <v>3057</v>
      </c>
      <c r="E1678" s="9" t="s">
        <v>3049</v>
      </c>
      <c r="F1678" s="9" t="s">
        <v>517</v>
      </c>
      <c r="H1678" s="9"/>
    </row>
    <row r="1679" ht="14.25" customHeight="1">
      <c r="C1679" s="9" t="s">
        <v>3057</v>
      </c>
      <c r="D1679" s="9" t="s">
        <v>3057</v>
      </c>
      <c r="E1679" s="9" t="s">
        <v>3049</v>
      </c>
      <c r="F1679" s="9" t="s">
        <v>2309</v>
      </c>
      <c r="H1679" s="9"/>
    </row>
    <row r="1680" ht="14.25" customHeight="1">
      <c r="C1680" s="9" t="s">
        <v>3057</v>
      </c>
      <c r="D1680" s="9" t="s">
        <v>3057</v>
      </c>
      <c r="E1680" s="9" t="s">
        <v>3049</v>
      </c>
      <c r="F1680" s="9" t="s">
        <v>2972</v>
      </c>
      <c r="H1680" s="9"/>
    </row>
    <row r="1681" ht="14.25" customHeight="1">
      <c r="C1681" s="9" t="s">
        <v>3057</v>
      </c>
      <c r="D1681" s="9" t="s">
        <v>3057</v>
      </c>
      <c r="E1681" s="9" t="s">
        <v>3049</v>
      </c>
      <c r="F1681" s="9" t="s">
        <v>3062</v>
      </c>
      <c r="H1681" s="9"/>
    </row>
    <row r="1682" ht="14.25" customHeight="1">
      <c r="C1682" s="9" t="s">
        <v>3063</v>
      </c>
      <c r="D1682" s="9" t="s">
        <v>3063</v>
      </c>
      <c r="E1682" s="9" t="s">
        <v>3049</v>
      </c>
      <c r="F1682" s="202" t="s">
        <v>3064</v>
      </c>
      <c r="H1682" s="9"/>
    </row>
    <row r="1683" ht="14.25" customHeight="1">
      <c r="C1683" s="9" t="s">
        <v>3063</v>
      </c>
      <c r="D1683" s="9" t="s">
        <v>3063</v>
      </c>
      <c r="E1683" s="9" t="s">
        <v>3049</v>
      </c>
      <c r="F1683" s="202" t="s">
        <v>3065</v>
      </c>
      <c r="H1683" s="9"/>
    </row>
    <row r="1684" ht="14.25" customHeight="1">
      <c r="C1684" s="9" t="s">
        <v>3063</v>
      </c>
      <c r="D1684" s="9" t="s">
        <v>3063</v>
      </c>
      <c r="E1684" s="9" t="s">
        <v>3049</v>
      </c>
      <c r="F1684" s="202" t="s">
        <v>3066</v>
      </c>
      <c r="H1684" s="9"/>
    </row>
    <row r="1685" ht="14.25" customHeight="1">
      <c r="C1685" s="9" t="s">
        <v>3063</v>
      </c>
      <c r="D1685" s="9" t="s">
        <v>3063</v>
      </c>
      <c r="E1685" s="9" t="s">
        <v>3049</v>
      </c>
      <c r="F1685" s="202" t="s">
        <v>1437</v>
      </c>
      <c r="H1685" s="9"/>
    </row>
    <row r="1686" ht="14.25" customHeight="1">
      <c r="C1686" s="9" t="s">
        <v>3063</v>
      </c>
      <c r="D1686" s="9" t="s">
        <v>3063</v>
      </c>
      <c r="E1686" s="9" t="s">
        <v>3049</v>
      </c>
      <c r="F1686" s="202" t="s">
        <v>3067</v>
      </c>
      <c r="H1686" s="9"/>
    </row>
    <row r="1687" ht="14.25" customHeight="1">
      <c r="C1687" s="9" t="s">
        <v>3063</v>
      </c>
      <c r="D1687" s="9" t="s">
        <v>3063</v>
      </c>
      <c r="E1687" s="9" t="s">
        <v>3049</v>
      </c>
      <c r="F1687" s="202" t="s">
        <v>1436</v>
      </c>
      <c r="H1687" s="9"/>
    </row>
    <row r="1688" ht="14.25" customHeight="1">
      <c r="C1688" s="9" t="s">
        <v>3063</v>
      </c>
      <c r="D1688" s="9" t="s">
        <v>3063</v>
      </c>
      <c r="E1688" s="9" t="s">
        <v>3049</v>
      </c>
      <c r="F1688" s="202" t="s">
        <v>1434</v>
      </c>
      <c r="H1688" s="9"/>
    </row>
    <row r="1689" ht="14.25" customHeight="1">
      <c r="C1689" s="9" t="s">
        <v>3063</v>
      </c>
      <c r="D1689" s="9" t="s">
        <v>3063</v>
      </c>
      <c r="E1689" s="9" t="s">
        <v>3049</v>
      </c>
      <c r="F1689" s="203" t="s">
        <v>2309</v>
      </c>
      <c r="H1689" s="9"/>
    </row>
    <row r="1690" ht="14.25" customHeight="1">
      <c r="C1690" s="9" t="s">
        <v>3063</v>
      </c>
      <c r="D1690" s="9" t="s">
        <v>3063</v>
      </c>
      <c r="E1690" s="9" t="s">
        <v>3049</v>
      </c>
      <c r="F1690" s="202" t="s">
        <v>1441</v>
      </c>
      <c r="H1690" s="9"/>
    </row>
    <row r="1691" ht="14.25" customHeight="1">
      <c r="C1691" s="199" t="s">
        <v>3068</v>
      </c>
      <c r="D1691" s="199" t="s">
        <v>3068</v>
      </c>
      <c r="E1691" s="9" t="s">
        <v>3049</v>
      </c>
      <c r="F1691" s="9" t="s">
        <v>474</v>
      </c>
      <c r="H1691" s="9"/>
    </row>
    <row r="1692" ht="14.25" customHeight="1">
      <c r="C1692" s="199" t="s">
        <v>3068</v>
      </c>
      <c r="D1692" s="199" t="s">
        <v>3068</v>
      </c>
      <c r="E1692" s="9" t="s">
        <v>3049</v>
      </c>
      <c r="F1692" s="9" t="s">
        <v>3032</v>
      </c>
      <c r="H1692" s="9"/>
    </row>
    <row r="1693" ht="14.25" customHeight="1">
      <c r="C1693" s="199" t="s">
        <v>3068</v>
      </c>
      <c r="D1693" s="199" t="s">
        <v>3068</v>
      </c>
      <c r="E1693" s="9" t="s">
        <v>3049</v>
      </c>
      <c r="F1693" s="9" t="s">
        <v>284</v>
      </c>
      <c r="H1693" s="9"/>
    </row>
    <row r="1694" ht="14.25" customHeight="1">
      <c r="C1694" s="199" t="s">
        <v>3068</v>
      </c>
      <c r="D1694" s="199" t="s">
        <v>3068</v>
      </c>
      <c r="E1694" s="9" t="s">
        <v>3049</v>
      </c>
      <c r="F1694" s="9" t="s">
        <v>493</v>
      </c>
      <c r="H1694" s="9"/>
    </row>
    <row r="1695" ht="14.25" customHeight="1">
      <c r="C1695" s="199" t="s">
        <v>3068</v>
      </c>
      <c r="D1695" s="199" t="s">
        <v>3068</v>
      </c>
      <c r="E1695" s="9" t="s">
        <v>3049</v>
      </c>
      <c r="F1695" s="9" t="s">
        <v>450</v>
      </c>
      <c r="H1695" s="9"/>
    </row>
    <row r="1696" ht="14.25" customHeight="1">
      <c r="C1696" s="199" t="s">
        <v>3068</v>
      </c>
      <c r="D1696" s="199" t="s">
        <v>3068</v>
      </c>
      <c r="E1696" s="9" t="s">
        <v>3049</v>
      </c>
      <c r="F1696" s="9" t="s">
        <v>2296</v>
      </c>
      <c r="H1696" s="9"/>
    </row>
    <row r="1697" ht="14.25" customHeight="1">
      <c r="C1697" s="199" t="s">
        <v>3068</v>
      </c>
      <c r="D1697" s="199" t="s">
        <v>3068</v>
      </c>
      <c r="E1697" s="9" t="s">
        <v>3049</v>
      </c>
      <c r="F1697" s="9" t="s">
        <v>276</v>
      </c>
      <c r="H1697" s="9"/>
    </row>
    <row r="1698" ht="14.25" customHeight="1">
      <c r="C1698" s="199" t="s">
        <v>3068</v>
      </c>
      <c r="D1698" s="199" t="s">
        <v>3068</v>
      </c>
      <c r="E1698" s="9" t="s">
        <v>3049</v>
      </c>
      <c r="F1698" s="9" t="s">
        <v>431</v>
      </c>
      <c r="H1698" s="9"/>
    </row>
    <row r="1699" ht="14.25" customHeight="1">
      <c r="C1699" s="199" t="s">
        <v>3068</v>
      </c>
      <c r="D1699" s="199" t="s">
        <v>3068</v>
      </c>
      <c r="E1699" s="9" t="s">
        <v>3049</v>
      </c>
      <c r="F1699" s="9" t="s">
        <v>26</v>
      </c>
      <c r="H1699" s="9"/>
    </row>
    <row r="1700" ht="14.25" customHeight="1">
      <c r="C1700" s="199" t="s">
        <v>3068</v>
      </c>
      <c r="D1700" s="199" t="s">
        <v>3068</v>
      </c>
      <c r="E1700" s="9" t="s">
        <v>3049</v>
      </c>
      <c r="F1700" s="9" t="s">
        <v>420</v>
      </c>
      <c r="H1700" s="9"/>
    </row>
    <row r="1701" ht="14.25" customHeight="1">
      <c r="C1701" s="199" t="s">
        <v>3068</v>
      </c>
      <c r="D1701" s="199" t="s">
        <v>3068</v>
      </c>
      <c r="E1701" s="9" t="s">
        <v>3049</v>
      </c>
      <c r="F1701" s="9" t="s">
        <v>482</v>
      </c>
      <c r="H1701" s="9"/>
    </row>
    <row r="1702" ht="14.25" customHeight="1">
      <c r="C1702" s="199" t="s">
        <v>3068</v>
      </c>
      <c r="D1702" s="199" t="s">
        <v>3068</v>
      </c>
      <c r="E1702" s="9" t="s">
        <v>3049</v>
      </c>
      <c r="F1702" s="15" t="s">
        <v>136</v>
      </c>
      <c r="H1702" s="9"/>
    </row>
    <row r="1703" ht="14.25" customHeight="1">
      <c r="C1703" s="199" t="s">
        <v>3068</v>
      </c>
      <c r="D1703" s="199" t="s">
        <v>3068</v>
      </c>
      <c r="E1703" s="9" t="s">
        <v>3049</v>
      </c>
      <c r="F1703" s="9" t="s">
        <v>408</v>
      </c>
      <c r="H1703" s="9"/>
    </row>
    <row r="1704" ht="14.25" customHeight="1">
      <c r="C1704" s="199" t="s">
        <v>3068</v>
      </c>
      <c r="D1704" s="199" t="s">
        <v>3068</v>
      </c>
      <c r="E1704" s="9" t="s">
        <v>3049</v>
      </c>
      <c r="F1704" s="9" t="s">
        <v>2301</v>
      </c>
      <c r="H1704" s="9"/>
    </row>
    <row r="1705" ht="14.25" customHeight="1">
      <c r="C1705" s="199" t="s">
        <v>3068</v>
      </c>
      <c r="D1705" s="199" t="s">
        <v>3068</v>
      </c>
      <c r="E1705" s="9" t="s">
        <v>3049</v>
      </c>
      <c r="F1705" s="9" t="s">
        <v>197</v>
      </c>
      <c r="H1705" s="9"/>
    </row>
    <row r="1706" ht="14.25" customHeight="1">
      <c r="C1706" s="199" t="s">
        <v>3068</v>
      </c>
      <c r="D1706" s="199" t="s">
        <v>3068</v>
      </c>
      <c r="E1706" s="9" t="s">
        <v>3049</v>
      </c>
      <c r="F1706" s="9" t="s">
        <v>172</v>
      </c>
      <c r="H1706" s="9"/>
    </row>
    <row r="1707" ht="14.25" customHeight="1">
      <c r="C1707" s="199" t="s">
        <v>3068</v>
      </c>
      <c r="D1707" s="199" t="s">
        <v>3068</v>
      </c>
      <c r="E1707" s="9" t="s">
        <v>3049</v>
      </c>
      <c r="F1707" s="9" t="s">
        <v>98</v>
      </c>
      <c r="H1707" s="9"/>
    </row>
    <row r="1708" ht="14.25" customHeight="1">
      <c r="C1708" s="199" t="s">
        <v>3068</v>
      </c>
      <c r="D1708" s="199" t="s">
        <v>3068</v>
      </c>
      <c r="E1708" s="9" t="s">
        <v>3049</v>
      </c>
      <c r="F1708" s="9" t="s">
        <v>341</v>
      </c>
      <c r="H1708" s="9"/>
    </row>
    <row r="1709" ht="14.25" customHeight="1">
      <c r="C1709" s="199" t="s">
        <v>3068</v>
      </c>
      <c r="D1709" s="199" t="s">
        <v>3068</v>
      </c>
      <c r="E1709" s="9" t="s">
        <v>3049</v>
      </c>
      <c r="F1709" s="9" t="s">
        <v>3033</v>
      </c>
      <c r="H1709" s="9"/>
    </row>
    <row r="1710" ht="14.25" customHeight="1">
      <c r="C1710" s="199" t="s">
        <v>3068</v>
      </c>
      <c r="D1710" s="199" t="s">
        <v>3068</v>
      </c>
      <c r="E1710" s="9" t="s">
        <v>3049</v>
      </c>
      <c r="F1710" s="9" t="s">
        <v>367</v>
      </c>
      <c r="H1710" s="9"/>
    </row>
    <row r="1711" ht="14.25" customHeight="1">
      <c r="C1711" s="199" t="s">
        <v>3068</v>
      </c>
      <c r="D1711" s="199" t="s">
        <v>3068</v>
      </c>
      <c r="E1711" s="9" t="s">
        <v>3049</v>
      </c>
      <c r="F1711" s="9" t="s">
        <v>529</v>
      </c>
      <c r="H1711" s="9"/>
    </row>
    <row r="1712" ht="14.25" customHeight="1">
      <c r="C1712" s="199" t="s">
        <v>3068</v>
      </c>
      <c r="D1712" s="199" t="s">
        <v>3068</v>
      </c>
      <c r="E1712" s="9" t="s">
        <v>3049</v>
      </c>
      <c r="F1712" s="9" t="s">
        <v>282</v>
      </c>
      <c r="H1712" s="9"/>
    </row>
    <row r="1713" ht="14.25" customHeight="1">
      <c r="C1713" s="199" t="s">
        <v>3068</v>
      </c>
      <c r="D1713" s="199" t="s">
        <v>3068</v>
      </c>
      <c r="E1713" s="9" t="s">
        <v>3049</v>
      </c>
      <c r="F1713" s="9" t="s">
        <v>321</v>
      </c>
      <c r="H1713" s="9"/>
    </row>
    <row r="1714" ht="14.25" customHeight="1">
      <c r="C1714" s="199" t="s">
        <v>3068</v>
      </c>
      <c r="D1714" s="199" t="s">
        <v>3068</v>
      </c>
      <c r="E1714" s="9" t="s">
        <v>3049</v>
      </c>
      <c r="F1714" s="9" t="s">
        <v>479</v>
      </c>
      <c r="H1714" s="9"/>
    </row>
    <row r="1715" ht="14.25" customHeight="1">
      <c r="C1715" s="199" t="s">
        <v>3068</v>
      </c>
      <c r="D1715" s="199" t="s">
        <v>3068</v>
      </c>
      <c r="E1715" s="9" t="s">
        <v>3049</v>
      </c>
      <c r="F1715" s="9" t="s">
        <v>517</v>
      </c>
      <c r="H1715" s="9"/>
    </row>
    <row r="1716" ht="14.25" customHeight="1">
      <c r="C1716" s="199" t="s">
        <v>3068</v>
      </c>
      <c r="D1716" s="199" t="s">
        <v>3068</v>
      </c>
      <c r="E1716" s="9" t="s">
        <v>3049</v>
      </c>
      <c r="F1716" s="9" t="s">
        <v>2309</v>
      </c>
      <c r="H1716" s="9"/>
    </row>
    <row r="1717" ht="14.25" customHeight="1">
      <c r="C1717" s="199" t="s">
        <v>3068</v>
      </c>
      <c r="D1717" s="199" t="s">
        <v>3068</v>
      </c>
      <c r="E1717" s="9" t="s">
        <v>3049</v>
      </c>
      <c r="F1717" s="9" t="s">
        <v>507</v>
      </c>
      <c r="H1717" s="9"/>
    </row>
    <row r="1718" ht="14.25" customHeight="1">
      <c r="C1718" s="199" t="s">
        <v>3068</v>
      </c>
      <c r="D1718" s="199" t="s">
        <v>3068</v>
      </c>
      <c r="E1718" s="9" t="s">
        <v>3049</v>
      </c>
      <c r="F1718" s="9" t="s">
        <v>336</v>
      </c>
      <c r="H1718" s="9"/>
    </row>
    <row r="1719" ht="14.25" customHeight="1">
      <c r="C1719" s="199" t="s">
        <v>3068</v>
      </c>
      <c r="D1719" s="199" t="s">
        <v>3068</v>
      </c>
      <c r="E1719" s="9" t="s">
        <v>3049</v>
      </c>
      <c r="F1719" s="9" t="s">
        <v>235</v>
      </c>
      <c r="H1719" s="9"/>
    </row>
    <row r="1720" ht="14.25" customHeight="1">
      <c r="C1720" s="199" t="s">
        <v>3068</v>
      </c>
      <c r="D1720" s="199" t="s">
        <v>3068</v>
      </c>
      <c r="E1720" s="9" t="s">
        <v>3049</v>
      </c>
      <c r="F1720" s="9" t="s">
        <v>2957</v>
      </c>
      <c r="H1720" s="9"/>
    </row>
    <row r="1721" ht="14.25" customHeight="1">
      <c r="C1721" s="199" t="s">
        <v>3068</v>
      </c>
      <c r="D1721" s="199" t="s">
        <v>3068</v>
      </c>
      <c r="E1721" s="9" t="s">
        <v>3049</v>
      </c>
      <c r="F1721" s="9" t="s">
        <v>264</v>
      </c>
      <c r="H1721" s="9"/>
    </row>
    <row r="1722" ht="14.25" customHeight="1">
      <c r="C1722" s="185" t="s">
        <v>1410</v>
      </c>
      <c r="D1722" s="185" t="s">
        <v>1410</v>
      </c>
      <c r="E1722" s="185" t="s">
        <v>3049</v>
      </c>
      <c r="F1722" s="204" t="s">
        <v>3064</v>
      </c>
      <c r="H1722" s="9"/>
    </row>
    <row r="1723" ht="14.25" customHeight="1">
      <c r="C1723" s="185" t="s">
        <v>1410</v>
      </c>
      <c r="D1723" s="185" t="s">
        <v>1410</v>
      </c>
      <c r="E1723" s="185" t="s">
        <v>3049</v>
      </c>
      <c r="F1723" s="204" t="s">
        <v>3065</v>
      </c>
      <c r="H1723" s="9"/>
    </row>
    <row r="1724" ht="14.25" customHeight="1">
      <c r="C1724" s="185" t="s">
        <v>1410</v>
      </c>
      <c r="D1724" s="185" t="s">
        <v>1410</v>
      </c>
      <c r="E1724" s="185" t="s">
        <v>3049</v>
      </c>
      <c r="F1724" s="204" t="s">
        <v>3066</v>
      </c>
      <c r="H1724" s="9"/>
    </row>
    <row r="1725" ht="14.25" customHeight="1">
      <c r="C1725" s="185" t="s">
        <v>1410</v>
      </c>
      <c r="D1725" s="185" t="s">
        <v>1410</v>
      </c>
      <c r="E1725" s="185" t="s">
        <v>3049</v>
      </c>
      <c r="F1725" s="204" t="s">
        <v>1437</v>
      </c>
      <c r="H1725" s="9"/>
    </row>
    <row r="1726" ht="14.25" customHeight="1">
      <c r="C1726" s="185" t="s">
        <v>1410</v>
      </c>
      <c r="D1726" s="185" t="s">
        <v>1410</v>
      </c>
      <c r="E1726" s="185" t="s">
        <v>3049</v>
      </c>
      <c r="F1726" s="204" t="s">
        <v>3067</v>
      </c>
      <c r="H1726" s="9"/>
    </row>
    <row r="1727" ht="14.25" customHeight="1">
      <c r="C1727" s="185" t="s">
        <v>1410</v>
      </c>
      <c r="D1727" s="185" t="s">
        <v>1410</v>
      </c>
      <c r="E1727" s="185" t="s">
        <v>3049</v>
      </c>
      <c r="F1727" s="204" t="s">
        <v>1436</v>
      </c>
      <c r="H1727" s="9"/>
    </row>
    <row r="1728" ht="14.25" customHeight="1">
      <c r="C1728" s="185" t="s">
        <v>1410</v>
      </c>
      <c r="D1728" s="185" t="s">
        <v>1410</v>
      </c>
      <c r="E1728" s="185" t="s">
        <v>3049</v>
      </c>
      <c r="F1728" s="204" t="s">
        <v>1434</v>
      </c>
      <c r="H1728" s="9"/>
    </row>
    <row r="1729" ht="14.25" customHeight="1">
      <c r="C1729" s="185" t="s">
        <v>1410</v>
      </c>
      <c r="D1729" s="185" t="s">
        <v>1410</v>
      </c>
      <c r="E1729" s="185" t="s">
        <v>3049</v>
      </c>
      <c r="F1729" s="200" t="s">
        <v>2309</v>
      </c>
      <c r="H1729" s="9"/>
    </row>
    <row r="1730" ht="14.25" customHeight="1">
      <c r="C1730" s="185" t="s">
        <v>1410</v>
      </c>
      <c r="D1730" s="185" t="s">
        <v>1410</v>
      </c>
      <c r="E1730" s="185" t="s">
        <v>3049</v>
      </c>
      <c r="F1730" s="204" t="s">
        <v>1441</v>
      </c>
      <c r="H1730" s="9"/>
    </row>
    <row r="1731" ht="14.25" customHeight="1">
      <c r="C1731" s="205" t="s">
        <v>3069</v>
      </c>
      <c r="D1731" s="205" t="s">
        <v>3069</v>
      </c>
      <c r="E1731" s="9" t="s">
        <v>3049</v>
      </c>
      <c r="F1731" s="206" t="s">
        <v>3064</v>
      </c>
      <c r="H1731" s="9"/>
    </row>
    <row r="1732" ht="14.25" customHeight="1">
      <c r="C1732" s="205" t="s">
        <v>3069</v>
      </c>
      <c r="D1732" s="205" t="s">
        <v>3069</v>
      </c>
      <c r="E1732" s="9" t="s">
        <v>3049</v>
      </c>
      <c r="F1732" s="206" t="s">
        <v>3065</v>
      </c>
      <c r="H1732" s="9"/>
    </row>
    <row r="1733" ht="14.25" customHeight="1">
      <c r="C1733" s="205" t="s">
        <v>3069</v>
      </c>
      <c r="D1733" s="205" t="s">
        <v>3069</v>
      </c>
      <c r="E1733" s="9" t="s">
        <v>3049</v>
      </c>
      <c r="F1733" s="206" t="s">
        <v>3066</v>
      </c>
      <c r="H1733" s="9"/>
    </row>
    <row r="1734" ht="14.25" customHeight="1">
      <c r="C1734" s="205" t="s">
        <v>3069</v>
      </c>
      <c r="D1734" s="205" t="s">
        <v>3069</v>
      </c>
      <c r="E1734" s="9" t="s">
        <v>3049</v>
      </c>
      <c r="F1734" s="206" t="s">
        <v>1437</v>
      </c>
      <c r="H1734" s="9"/>
    </row>
    <row r="1735" ht="14.25" customHeight="1">
      <c r="C1735" s="205" t="s">
        <v>3069</v>
      </c>
      <c r="D1735" s="205" t="s">
        <v>3069</v>
      </c>
      <c r="E1735" s="9" t="s">
        <v>3049</v>
      </c>
      <c r="F1735" s="206" t="s">
        <v>3067</v>
      </c>
      <c r="H1735" s="9"/>
    </row>
    <row r="1736" ht="14.25" customHeight="1">
      <c r="C1736" s="205" t="s">
        <v>3069</v>
      </c>
      <c r="D1736" s="205" t="s">
        <v>3069</v>
      </c>
      <c r="E1736" s="9" t="s">
        <v>3049</v>
      </c>
      <c r="F1736" s="206" t="s">
        <v>1436</v>
      </c>
      <c r="H1736" s="9"/>
    </row>
    <row r="1737" ht="14.25" customHeight="1">
      <c r="C1737" s="205" t="s">
        <v>3069</v>
      </c>
      <c r="D1737" s="205" t="s">
        <v>3069</v>
      </c>
      <c r="E1737" s="9" t="s">
        <v>3049</v>
      </c>
      <c r="F1737" s="206" t="s">
        <v>1434</v>
      </c>
      <c r="H1737" s="9"/>
    </row>
    <row r="1738" ht="14.25" customHeight="1">
      <c r="C1738" s="205" t="s">
        <v>3069</v>
      </c>
      <c r="D1738" s="205" t="s">
        <v>3069</v>
      </c>
      <c r="E1738" s="9" t="s">
        <v>3049</v>
      </c>
      <c r="F1738" s="199" t="s">
        <v>2593</v>
      </c>
      <c r="H1738" s="9"/>
    </row>
    <row r="1739" ht="14.25" customHeight="1">
      <c r="C1739" s="205" t="s">
        <v>3069</v>
      </c>
      <c r="D1739" s="205" t="s">
        <v>3069</v>
      </c>
      <c r="E1739" s="9" t="s">
        <v>3049</v>
      </c>
      <c r="F1739" s="206" t="s">
        <v>1441</v>
      </c>
      <c r="H1739" s="9"/>
    </row>
    <row r="1740" ht="14.25" customHeight="1">
      <c r="C1740" s="185" t="s">
        <v>3070</v>
      </c>
      <c r="D1740" s="185" t="s">
        <v>3070</v>
      </c>
      <c r="E1740" s="185" t="s">
        <v>3049</v>
      </c>
      <c r="F1740" s="204" t="s">
        <v>3064</v>
      </c>
      <c r="H1740" s="9"/>
    </row>
    <row r="1741" ht="14.25" customHeight="1">
      <c r="C1741" s="185" t="s">
        <v>3070</v>
      </c>
      <c r="D1741" s="185" t="s">
        <v>3070</v>
      </c>
      <c r="E1741" s="185" t="s">
        <v>3049</v>
      </c>
      <c r="F1741" s="204" t="s">
        <v>3065</v>
      </c>
      <c r="H1741" s="9"/>
    </row>
    <row r="1742" ht="14.25" customHeight="1">
      <c r="C1742" s="185" t="s">
        <v>3070</v>
      </c>
      <c r="D1742" s="185" t="s">
        <v>3070</v>
      </c>
      <c r="E1742" s="185" t="s">
        <v>3049</v>
      </c>
      <c r="F1742" s="204" t="s">
        <v>3066</v>
      </c>
      <c r="H1742" s="9"/>
    </row>
    <row r="1743" ht="14.25" customHeight="1">
      <c r="C1743" s="185" t="s">
        <v>3070</v>
      </c>
      <c r="D1743" s="185" t="s">
        <v>3070</v>
      </c>
      <c r="E1743" s="185" t="s">
        <v>3049</v>
      </c>
      <c r="F1743" s="204" t="s">
        <v>1437</v>
      </c>
      <c r="H1743" s="9"/>
    </row>
    <row r="1744" ht="14.25" customHeight="1">
      <c r="C1744" s="185" t="s">
        <v>3070</v>
      </c>
      <c r="D1744" s="185" t="s">
        <v>3070</v>
      </c>
      <c r="E1744" s="185" t="s">
        <v>3049</v>
      </c>
      <c r="F1744" s="204" t="s">
        <v>3067</v>
      </c>
      <c r="H1744" s="9"/>
    </row>
    <row r="1745" ht="14.25" customHeight="1">
      <c r="C1745" s="185" t="s">
        <v>3070</v>
      </c>
      <c r="D1745" s="185" t="s">
        <v>3070</v>
      </c>
      <c r="E1745" s="185" t="s">
        <v>3049</v>
      </c>
      <c r="F1745" s="204" t="s">
        <v>1436</v>
      </c>
      <c r="H1745" s="9"/>
    </row>
    <row r="1746" ht="14.25" customHeight="1">
      <c r="C1746" s="185" t="s">
        <v>3070</v>
      </c>
      <c r="D1746" s="185" t="s">
        <v>3070</v>
      </c>
      <c r="E1746" s="185" t="s">
        <v>3049</v>
      </c>
      <c r="F1746" s="204" t="s">
        <v>1434</v>
      </c>
      <c r="H1746" s="9"/>
    </row>
    <row r="1747" ht="14.25" customHeight="1">
      <c r="C1747" s="185" t="s">
        <v>3070</v>
      </c>
      <c r="D1747" s="185" t="s">
        <v>3070</v>
      </c>
      <c r="E1747" s="185" t="s">
        <v>3049</v>
      </c>
      <c r="F1747" s="200" t="s">
        <v>2309</v>
      </c>
      <c r="H1747" s="9"/>
    </row>
    <row r="1748" ht="14.25" customHeight="1">
      <c r="C1748" s="185" t="s">
        <v>3070</v>
      </c>
      <c r="D1748" s="185" t="s">
        <v>3070</v>
      </c>
      <c r="E1748" s="185" t="s">
        <v>3049</v>
      </c>
      <c r="F1748" s="204" t="s">
        <v>1441</v>
      </c>
      <c r="H1748" s="9"/>
    </row>
    <row r="1749" ht="14.25" customHeight="1">
      <c r="C1749" s="199" t="s">
        <v>3071</v>
      </c>
      <c r="D1749" s="199" t="s">
        <v>3071</v>
      </c>
      <c r="E1749" s="9" t="s">
        <v>3049</v>
      </c>
      <c r="F1749" s="9" t="s">
        <v>474</v>
      </c>
      <c r="H1749" s="9"/>
    </row>
    <row r="1750" ht="14.25" customHeight="1">
      <c r="C1750" s="199" t="s">
        <v>3071</v>
      </c>
      <c r="D1750" s="199" t="s">
        <v>3071</v>
      </c>
      <c r="E1750" s="9" t="s">
        <v>3049</v>
      </c>
      <c r="F1750" s="9" t="s">
        <v>3032</v>
      </c>
      <c r="H1750" s="9"/>
    </row>
    <row r="1751" ht="14.25" customHeight="1">
      <c r="C1751" s="199" t="s">
        <v>3071</v>
      </c>
      <c r="D1751" s="199" t="s">
        <v>3071</v>
      </c>
      <c r="E1751" s="9" t="s">
        <v>3049</v>
      </c>
      <c r="F1751" s="9" t="s">
        <v>284</v>
      </c>
      <c r="H1751" s="9"/>
    </row>
    <row r="1752" ht="14.25" customHeight="1">
      <c r="C1752" s="199" t="s">
        <v>3071</v>
      </c>
      <c r="D1752" s="199" t="s">
        <v>3071</v>
      </c>
      <c r="E1752" s="9" t="s">
        <v>3049</v>
      </c>
      <c r="F1752" s="9" t="s">
        <v>493</v>
      </c>
      <c r="H1752" s="9"/>
    </row>
    <row r="1753" ht="14.25" customHeight="1">
      <c r="C1753" s="199" t="s">
        <v>3071</v>
      </c>
      <c r="D1753" s="199" t="s">
        <v>3071</v>
      </c>
      <c r="E1753" s="9" t="s">
        <v>3049</v>
      </c>
      <c r="F1753" s="9" t="s">
        <v>450</v>
      </c>
      <c r="H1753" s="9"/>
    </row>
    <row r="1754" ht="14.25" customHeight="1">
      <c r="C1754" s="199" t="s">
        <v>3071</v>
      </c>
      <c r="D1754" s="199" t="s">
        <v>3071</v>
      </c>
      <c r="E1754" s="9" t="s">
        <v>3049</v>
      </c>
      <c r="F1754" s="9" t="s">
        <v>2296</v>
      </c>
      <c r="H1754" s="9"/>
    </row>
    <row r="1755" ht="14.25" customHeight="1">
      <c r="C1755" s="199" t="s">
        <v>3071</v>
      </c>
      <c r="D1755" s="199" t="s">
        <v>3071</v>
      </c>
      <c r="E1755" s="9" t="s">
        <v>3049</v>
      </c>
      <c r="F1755" s="9" t="s">
        <v>276</v>
      </c>
      <c r="H1755" s="9"/>
    </row>
    <row r="1756" ht="14.25" customHeight="1">
      <c r="C1756" s="199" t="s">
        <v>3071</v>
      </c>
      <c r="D1756" s="199" t="s">
        <v>3071</v>
      </c>
      <c r="E1756" s="9" t="s">
        <v>3049</v>
      </c>
      <c r="F1756" s="9" t="s">
        <v>431</v>
      </c>
      <c r="H1756" s="9"/>
    </row>
    <row r="1757" ht="14.25" customHeight="1">
      <c r="C1757" s="199" t="s">
        <v>3071</v>
      </c>
      <c r="D1757" s="199" t="s">
        <v>3071</v>
      </c>
      <c r="E1757" s="9" t="s">
        <v>3049</v>
      </c>
      <c r="F1757" s="9" t="s">
        <v>26</v>
      </c>
      <c r="H1757" s="9"/>
    </row>
    <row r="1758" ht="14.25" customHeight="1">
      <c r="C1758" s="199" t="s">
        <v>3071</v>
      </c>
      <c r="D1758" s="199" t="s">
        <v>3071</v>
      </c>
      <c r="E1758" s="9" t="s">
        <v>3049</v>
      </c>
      <c r="F1758" s="9" t="s">
        <v>420</v>
      </c>
      <c r="H1758" s="9"/>
    </row>
    <row r="1759" ht="14.25" customHeight="1">
      <c r="C1759" s="199" t="s">
        <v>3071</v>
      </c>
      <c r="D1759" s="199" t="s">
        <v>3071</v>
      </c>
      <c r="E1759" s="9" t="s">
        <v>3049</v>
      </c>
      <c r="F1759" s="9" t="s">
        <v>482</v>
      </c>
      <c r="H1759" s="9"/>
    </row>
    <row r="1760" ht="14.25" customHeight="1">
      <c r="C1760" s="199" t="s">
        <v>3071</v>
      </c>
      <c r="D1760" s="199" t="s">
        <v>3071</v>
      </c>
      <c r="E1760" s="9" t="s">
        <v>3049</v>
      </c>
      <c r="F1760" s="9" t="s">
        <v>136</v>
      </c>
      <c r="H1760" s="9"/>
    </row>
    <row r="1761" ht="14.25" customHeight="1">
      <c r="C1761" s="199" t="s">
        <v>3071</v>
      </c>
      <c r="D1761" s="199" t="s">
        <v>3071</v>
      </c>
      <c r="E1761" s="9" t="s">
        <v>3049</v>
      </c>
      <c r="F1761" s="9" t="s">
        <v>408</v>
      </c>
      <c r="H1761" s="9"/>
    </row>
    <row r="1762" ht="14.25" customHeight="1">
      <c r="C1762" s="199" t="s">
        <v>3071</v>
      </c>
      <c r="D1762" s="199" t="s">
        <v>3071</v>
      </c>
      <c r="E1762" s="9" t="s">
        <v>3049</v>
      </c>
      <c r="F1762" s="9" t="s">
        <v>2301</v>
      </c>
      <c r="H1762" s="9"/>
    </row>
    <row r="1763" ht="14.25" customHeight="1">
      <c r="C1763" s="199" t="s">
        <v>3071</v>
      </c>
      <c r="D1763" s="199" t="s">
        <v>3071</v>
      </c>
      <c r="E1763" s="9" t="s">
        <v>3049</v>
      </c>
      <c r="F1763" s="9" t="s">
        <v>197</v>
      </c>
      <c r="H1763" s="9"/>
    </row>
    <row r="1764" ht="14.25" customHeight="1">
      <c r="C1764" s="199" t="s">
        <v>3071</v>
      </c>
      <c r="D1764" s="199" t="s">
        <v>3071</v>
      </c>
      <c r="E1764" s="9" t="s">
        <v>3049</v>
      </c>
      <c r="F1764" s="9" t="s">
        <v>172</v>
      </c>
      <c r="H1764" s="9"/>
    </row>
    <row r="1765" ht="14.25" customHeight="1">
      <c r="C1765" s="199" t="s">
        <v>3071</v>
      </c>
      <c r="D1765" s="199" t="s">
        <v>3071</v>
      </c>
      <c r="E1765" s="9" t="s">
        <v>3049</v>
      </c>
      <c r="F1765" s="9" t="s">
        <v>98</v>
      </c>
      <c r="H1765" s="9"/>
    </row>
    <row r="1766" ht="14.25" customHeight="1">
      <c r="C1766" s="199" t="s">
        <v>3071</v>
      </c>
      <c r="D1766" s="199" t="s">
        <v>3071</v>
      </c>
      <c r="E1766" s="9" t="s">
        <v>3049</v>
      </c>
      <c r="F1766" s="9" t="s">
        <v>341</v>
      </c>
      <c r="H1766" s="9"/>
    </row>
    <row r="1767" ht="14.25" customHeight="1">
      <c r="C1767" s="199" t="s">
        <v>3071</v>
      </c>
      <c r="D1767" s="199" t="s">
        <v>3071</v>
      </c>
      <c r="E1767" s="9" t="s">
        <v>3049</v>
      </c>
      <c r="F1767" s="9" t="s">
        <v>3033</v>
      </c>
      <c r="H1767" s="9"/>
    </row>
    <row r="1768" ht="14.25" customHeight="1">
      <c r="C1768" s="199" t="s">
        <v>3071</v>
      </c>
      <c r="D1768" s="199" t="s">
        <v>3071</v>
      </c>
      <c r="E1768" s="9" t="s">
        <v>3049</v>
      </c>
      <c r="F1768" s="9" t="s">
        <v>367</v>
      </c>
      <c r="H1768" s="9"/>
    </row>
    <row r="1769" ht="14.25" customHeight="1">
      <c r="C1769" s="199" t="s">
        <v>3071</v>
      </c>
      <c r="D1769" s="199" t="s">
        <v>3071</v>
      </c>
      <c r="E1769" s="9" t="s">
        <v>3049</v>
      </c>
      <c r="F1769" s="9" t="s">
        <v>529</v>
      </c>
      <c r="H1769" s="9"/>
    </row>
    <row r="1770" ht="14.25" customHeight="1">
      <c r="C1770" s="199" t="s">
        <v>3071</v>
      </c>
      <c r="D1770" s="199" t="s">
        <v>3071</v>
      </c>
      <c r="E1770" s="9" t="s">
        <v>3049</v>
      </c>
      <c r="F1770" s="9" t="s">
        <v>282</v>
      </c>
      <c r="H1770" s="9"/>
    </row>
    <row r="1771" ht="14.25" customHeight="1">
      <c r="C1771" s="199" t="s">
        <v>3071</v>
      </c>
      <c r="D1771" s="199" t="s">
        <v>3071</v>
      </c>
      <c r="E1771" s="9" t="s">
        <v>3049</v>
      </c>
      <c r="F1771" s="9" t="s">
        <v>321</v>
      </c>
      <c r="H1771" s="9"/>
    </row>
    <row r="1772" ht="14.25" customHeight="1">
      <c r="C1772" s="199" t="s">
        <v>3071</v>
      </c>
      <c r="D1772" s="199" t="s">
        <v>3071</v>
      </c>
      <c r="E1772" s="9" t="s">
        <v>3049</v>
      </c>
      <c r="F1772" s="9" t="s">
        <v>479</v>
      </c>
      <c r="H1772" s="9"/>
    </row>
    <row r="1773" ht="14.25" customHeight="1">
      <c r="C1773" s="199" t="s">
        <v>3071</v>
      </c>
      <c r="D1773" s="199" t="s">
        <v>3071</v>
      </c>
      <c r="E1773" s="9" t="s">
        <v>3049</v>
      </c>
      <c r="F1773" s="9" t="s">
        <v>517</v>
      </c>
      <c r="H1773" s="9"/>
    </row>
    <row r="1774" ht="14.25" customHeight="1">
      <c r="C1774" s="199" t="s">
        <v>3071</v>
      </c>
      <c r="D1774" s="199" t="s">
        <v>3071</v>
      </c>
      <c r="E1774" s="9" t="s">
        <v>3049</v>
      </c>
      <c r="F1774" s="9" t="s">
        <v>2309</v>
      </c>
      <c r="H1774" s="9"/>
    </row>
    <row r="1775" ht="14.25" customHeight="1">
      <c r="C1775" s="199" t="s">
        <v>3071</v>
      </c>
      <c r="D1775" s="199" t="s">
        <v>3071</v>
      </c>
      <c r="E1775" s="9" t="s">
        <v>3049</v>
      </c>
      <c r="F1775" s="9" t="s">
        <v>507</v>
      </c>
      <c r="H1775" s="9"/>
    </row>
    <row r="1776" ht="14.25" customHeight="1">
      <c r="C1776" s="199" t="s">
        <v>3071</v>
      </c>
      <c r="D1776" s="199" t="s">
        <v>3071</v>
      </c>
      <c r="E1776" s="9" t="s">
        <v>3049</v>
      </c>
      <c r="F1776" s="9" t="s">
        <v>336</v>
      </c>
      <c r="H1776" s="9"/>
    </row>
    <row r="1777" ht="14.25" customHeight="1">
      <c r="C1777" s="199" t="s">
        <v>3071</v>
      </c>
      <c r="D1777" s="199" t="s">
        <v>3071</v>
      </c>
      <c r="E1777" s="9" t="s">
        <v>3049</v>
      </c>
      <c r="F1777" s="9" t="s">
        <v>235</v>
      </c>
      <c r="H1777" s="9"/>
    </row>
    <row r="1778" ht="14.25" customHeight="1">
      <c r="C1778" s="199" t="s">
        <v>3071</v>
      </c>
      <c r="D1778" s="199" t="s">
        <v>3071</v>
      </c>
      <c r="E1778" s="9" t="s">
        <v>3049</v>
      </c>
      <c r="F1778" s="9" t="s">
        <v>2957</v>
      </c>
      <c r="H1778" s="9"/>
    </row>
    <row r="1779" ht="14.25" customHeight="1">
      <c r="C1779" s="199" t="s">
        <v>3071</v>
      </c>
      <c r="D1779" s="199" t="s">
        <v>3071</v>
      </c>
      <c r="E1779" s="9" t="s">
        <v>3049</v>
      </c>
      <c r="F1779" s="9" t="s">
        <v>264</v>
      </c>
      <c r="H1779" s="9"/>
    </row>
    <row r="1780" ht="14.25" customHeight="1">
      <c r="C1780" s="9" t="s">
        <v>1429</v>
      </c>
      <c r="D1780" s="9" t="s">
        <v>1429</v>
      </c>
      <c r="E1780" s="9" t="s">
        <v>3049</v>
      </c>
      <c r="F1780" s="9" t="s">
        <v>474</v>
      </c>
      <c r="H1780" s="9"/>
    </row>
    <row r="1781" ht="14.25" customHeight="1">
      <c r="C1781" s="9" t="s">
        <v>1429</v>
      </c>
      <c r="D1781" s="9" t="s">
        <v>1429</v>
      </c>
      <c r="E1781" s="9" t="s">
        <v>3049</v>
      </c>
      <c r="F1781" s="9" t="s">
        <v>3032</v>
      </c>
      <c r="H1781" s="9"/>
    </row>
    <row r="1782" ht="14.25" customHeight="1">
      <c r="C1782" s="9" t="s">
        <v>1429</v>
      </c>
      <c r="D1782" s="9" t="s">
        <v>1429</v>
      </c>
      <c r="E1782" s="9" t="s">
        <v>3049</v>
      </c>
      <c r="F1782" s="9" t="s">
        <v>284</v>
      </c>
      <c r="H1782" s="9"/>
    </row>
    <row r="1783" ht="14.25" customHeight="1">
      <c r="C1783" s="9" t="s">
        <v>1429</v>
      </c>
      <c r="D1783" s="9" t="s">
        <v>1429</v>
      </c>
      <c r="E1783" s="9" t="s">
        <v>3049</v>
      </c>
      <c r="F1783" s="9" t="s">
        <v>493</v>
      </c>
      <c r="H1783" s="9"/>
    </row>
    <row r="1784" ht="14.25" customHeight="1">
      <c r="C1784" s="9" t="s">
        <v>1429</v>
      </c>
      <c r="D1784" s="9" t="s">
        <v>1429</v>
      </c>
      <c r="E1784" s="9" t="s">
        <v>3049</v>
      </c>
      <c r="F1784" s="9" t="s">
        <v>450</v>
      </c>
      <c r="H1784" s="9"/>
    </row>
    <row r="1785" ht="14.25" customHeight="1">
      <c r="C1785" s="9" t="s">
        <v>1429</v>
      </c>
      <c r="D1785" s="9" t="s">
        <v>1429</v>
      </c>
      <c r="E1785" s="9" t="s">
        <v>3049</v>
      </c>
      <c r="F1785" s="9" t="s">
        <v>2296</v>
      </c>
      <c r="H1785" s="9"/>
    </row>
    <row r="1786" ht="14.25" customHeight="1">
      <c r="C1786" s="9" t="s">
        <v>1429</v>
      </c>
      <c r="D1786" s="9" t="s">
        <v>1429</v>
      </c>
      <c r="E1786" s="9" t="s">
        <v>3049</v>
      </c>
      <c r="F1786" s="9" t="s">
        <v>276</v>
      </c>
      <c r="H1786" s="9"/>
    </row>
    <row r="1787" ht="14.25" customHeight="1">
      <c r="C1787" s="9" t="s">
        <v>1429</v>
      </c>
      <c r="D1787" s="9" t="s">
        <v>1429</v>
      </c>
      <c r="E1787" s="9" t="s">
        <v>3049</v>
      </c>
      <c r="F1787" s="9" t="s">
        <v>431</v>
      </c>
      <c r="H1787" s="9"/>
    </row>
    <row r="1788" ht="14.25" customHeight="1">
      <c r="C1788" s="9" t="s">
        <v>1429</v>
      </c>
      <c r="D1788" s="9" t="s">
        <v>1429</v>
      </c>
      <c r="E1788" s="9" t="s">
        <v>3049</v>
      </c>
      <c r="F1788" s="9" t="s">
        <v>26</v>
      </c>
      <c r="H1788" s="9"/>
    </row>
    <row r="1789" ht="14.25" customHeight="1">
      <c r="C1789" s="9" t="s">
        <v>1429</v>
      </c>
      <c r="D1789" s="9" t="s">
        <v>1429</v>
      </c>
      <c r="E1789" s="9" t="s">
        <v>3049</v>
      </c>
      <c r="F1789" s="9" t="s">
        <v>420</v>
      </c>
      <c r="H1789" s="9"/>
    </row>
    <row r="1790" ht="14.25" customHeight="1">
      <c r="C1790" s="9" t="s">
        <v>1429</v>
      </c>
      <c r="D1790" s="9" t="s">
        <v>1429</v>
      </c>
      <c r="E1790" s="9" t="s">
        <v>3049</v>
      </c>
      <c r="F1790" s="9" t="s">
        <v>482</v>
      </c>
      <c r="H1790" s="9"/>
    </row>
    <row r="1791" ht="14.25" customHeight="1">
      <c r="C1791" s="9" t="s">
        <v>1429</v>
      </c>
      <c r="D1791" s="9" t="s">
        <v>1429</v>
      </c>
      <c r="E1791" s="9" t="s">
        <v>3049</v>
      </c>
      <c r="F1791" s="9" t="s">
        <v>136</v>
      </c>
      <c r="H1791" s="9"/>
    </row>
    <row r="1792" ht="14.25" customHeight="1">
      <c r="C1792" s="9" t="s">
        <v>1429</v>
      </c>
      <c r="D1792" s="9" t="s">
        <v>1429</v>
      </c>
      <c r="E1792" s="9" t="s">
        <v>3049</v>
      </c>
      <c r="F1792" s="9" t="s">
        <v>408</v>
      </c>
      <c r="H1792" s="9"/>
    </row>
    <row r="1793" ht="14.25" customHeight="1">
      <c r="C1793" s="9" t="s">
        <v>1429</v>
      </c>
      <c r="D1793" s="9" t="s">
        <v>1429</v>
      </c>
      <c r="E1793" s="9" t="s">
        <v>3049</v>
      </c>
      <c r="F1793" s="9" t="s">
        <v>2301</v>
      </c>
      <c r="H1793" s="9"/>
    </row>
    <row r="1794" ht="14.25" customHeight="1">
      <c r="C1794" s="9" t="s">
        <v>1429</v>
      </c>
      <c r="D1794" s="9" t="s">
        <v>1429</v>
      </c>
      <c r="E1794" s="9" t="s">
        <v>3049</v>
      </c>
      <c r="F1794" s="9" t="s">
        <v>197</v>
      </c>
      <c r="H1794" s="9"/>
    </row>
    <row r="1795" ht="14.25" customHeight="1">
      <c r="C1795" s="9" t="s">
        <v>1429</v>
      </c>
      <c r="D1795" s="9" t="s">
        <v>1429</v>
      </c>
      <c r="E1795" s="9" t="s">
        <v>3049</v>
      </c>
      <c r="F1795" s="9" t="s">
        <v>172</v>
      </c>
      <c r="H1795" s="9"/>
    </row>
    <row r="1796" ht="14.25" customHeight="1">
      <c r="C1796" s="9" t="s">
        <v>1429</v>
      </c>
      <c r="D1796" s="9" t="s">
        <v>1429</v>
      </c>
      <c r="E1796" s="9" t="s">
        <v>3049</v>
      </c>
      <c r="F1796" s="9" t="s">
        <v>98</v>
      </c>
      <c r="H1796" s="9"/>
    </row>
    <row r="1797" ht="14.25" customHeight="1">
      <c r="C1797" s="9" t="s">
        <v>1429</v>
      </c>
      <c r="D1797" s="9" t="s">
        <v>1429</v>
      </c>
      <c r="E1797" s="9" t="s">
        <v>3049</v>
      </c>
      <c r="F1797" s="9" t="s">
        <v>341</v>
      </c>
      <c r="H1797" s="9"/>
    </row>
    <row r="1798" ht="14.25" customHeight="1">
      <c r="C1798" s="9" t="s">
        <v>1429</v>
      </c>
      <c r="D1798" s="9" t="s">
        <v>1429</v>
      </c>
      <c r="E1798" s="9" t="s">
        <v>3049</v>
      </c>
      <c r="F1798" s="9" t="s">
        <v>3033</v>
      </c>
      <c r="H1798" s="9"/>
    </row>
    <row r="1799" ht="14.25" customHeight="1">
      <c r="C1799" s="9" t="s">
        <v>1429</v>
      </c>
      <c r="D1799" s="9" t="s">
        <v>1429</v>
      </c>
      <c r="E1799" s="9" t="s">
        <v>3049</v>
      </c>
      <c r="F1799" s="9" t="s">
        <v>367</v>
      </c>
      <c r="H1799" s="9"/>
    </row>
    <row r="1800" ht="14.25" customHeight="1">
      <c r="C1800" s="9" t="s">
        <v>1429</v>
      </c>
      <c r="D1800" s="9" t="s">
        <v>1429</v>
      </c>
      <c r="E1800" s="9" t="s">
        <v>3049</v>
      </c>
      <c r="F1800" s="9" t="s">
        <v>529</v>
      </c>
      <c r="H1800" s="9"/>
    </row>
    <row r="1801" ht="14.25" customHeight="1">
      <c r="C1801" s="9" t="s">
        <v>1429</v>
      </c>
      <c r="D1801" s="9" t="s">
        <v>1429</v>
      </c>
      <c r="E1801" s="9" t="s">
        <v>3049</v>
      </c>
      <c r="F1801" s="9" t="s">
        <v>282</v>
      </c>
      <c r="H1801" s="9"/>
    </row>
    <row r="1802" ht="14.25" customHeight="1">
      <c r="C1802" s="9" t="s">
        <v>1429</v>
      </c>
      <c r="D1802" s="9" t="s">
        <v>1429</v>
      </c>
      <c r="E1802" s="9" t="s">
        <v>3049</v>
      </c>
      <c r="F1802" s="9" t="s">
        <v>321</v>
      </c>
      <c r="H1802" s="9"/>
    </row>
    <row r="1803" ht="14.25" customHeight="1">
      <c r="C1803" s="9" t="s">
        <v>1429</v>
      </c>
      <c r="D1803" s="9" t="s">
        <v>1429</v>
      </c>
      <c r="E1803" s="9" t="s">
        <v>3049</v>
      </c>
      <c r="F1803" s="9" t="s">
        <v>479</v>
      </c>
      <c r="H1803" s="9"/>
    </row>
    <row r="1804" ht="14.25" customHeight="1">
      <c r="C1804" s="9" t="s">
        <v>1429</v>
      </c>
      <c r="D1804" s="9" t="s">
        <v>1429</v>
      </c>
      <c r="E1804" s="9" t="s">
        <v>3049</v>
      </c>
      <c r="F1804" s="9" t="s">
        <v>517</v>
      </c>
      <c r="H1804" s="9"/>
    </row>
    <row r="1805" ht="14.25" customHeight="1">
      <c r="C1805" s="9" t="s">
        <v>1429</v>
      </c>
      <c r="D1805" s="9" t="s">
        <v>1429</v>
      </c>
      <c r="E1805" s="9" t="s">
        <v>3049</v>
      </c>
      <c r="F1805" s="9" t="s">
        <v>507</v>
      </c>
      <c r="H1805" s="9"/>
    </row>
    <row r="1806" ht="14.25" customHeight="1">
      <c r="C1806" s="9" t="s">
        <v>1429</v>
      </c>
      <c r="D1806" s="9" t="s">
        <v>1429</v>
      </c>
      <c r="E1806" s="9" t="s">
        <v>3049</v>
      </c>
      <c r="F1806" s="9" t="s">
        <v>336</v>
      </c>
      <c r="H1806" s="9"/>
    </row>
    <row r="1807" ht="14.25" customHeight="1">
      <c r="C1807" s="9" t="s">
        <v>1429</v>
      </c>
      <c r="D1807" s="9" t="s">
        <v>1429</v>
      </c>
      <c r="E1807" s="9" t="s">
        <v>3049</v>
      </c>
      <c r="F1807" s="9" t="s">
        <v>235</v>
      </c>
      <c r="H1807" s="9"/>
    </row>
    <row r="1808" ht="14.25" customHeight="1">
      <c r="C1808" s="9" t="s">
        <v>1429</v>
      </c>
      <c r="D1808" s="9" t="s">
        <v>1429</v>
      </c>
      <c r="E1808" s="9" t="s">
        <v>3049</v>
      </c>
      <c r="F1808" s="9" t="s">
        <v>2957</v>
      </c>
      <c r="H1808" s="9"/>
    </row>
    <row r="1809" ht="14.25" customHeight="1">
      <c r="C1809" s="9" t="s">
        <v>1429</v>
      </c>
      <c r="D1809" s="9" t="s">
        <v>1429</v>
      </c>
      <c r="E1809" s="9" t="s">
        <v>3049</v>
      </c>
      <c r="F1809" s="9" t="s">
        <v>264</v>
      </c>
      <c r="H1809" s="9"/>
    </row>
    <row r="1810" ht="14.25" customHeight="1">
      <c r="C1810" s="9" t="s">
        <v>698</v>
      </c>
      <c r="D1810" s="9" t="s">
        <v>698</v>
      </c>
      <c r="E1810" s="9" t="s">
        <v>3072</v>
      </c>
      <c r="F1810" s="9" t="s">
        <v>474</v>
      </c>
      <c r="H1810" s="9"/>
    </row>
    <row r="1811" ht="14.25" customHeight="1">
      <c r="C1811" s="9" t="s">
        <v>698</v>
      </c>
      <c r="D1811" s="9" t="s">
        <v>698</v>
      </c>
      <c r="E1811" s="9" t="s">
        <v>3072</v>
      </c>
      <c r="F1811" s="9" t="s">
        <v>284</v>
      </c>
      <c r="H1811" s="9"/>
    </row>
    <row r="1812" ht="14.25" customHeight="1">
      <c r="C1812" s="9" t="s">
        <v>698</v>
      </c>
      <c r="D1812" s="9" t="s">
        <v>698</v>
      </c>
      <c r="E1812" s="9" t="s">
        <v>3072</v>
      </c>
      <c r="F1812" s="9" t="s">
        <v>493</v>
      </c>
      <c r="H1812" s="9"/>
    </row>
    <row r="1813" ht="14.25" customHeight="1">
      <c r="C1813" s="9" t="s">
        <v>698</v>
      </c>
      <c r="D1813" s="9" t="s">
        <v>698</v>
      </c>
      <c r="E1813" s="9" t="s">
        <v>3072</v>
      </c>
      <c r="F1813" s="9" t="s">
        <v>450</v>
      </c>
      <c r="H1813" s="9"/>
    </row>
    <row r="1814" ht="14.25" customHeight="1">
      <c r="C1814" s="9" t="s">
        <v>698</v>
      </c>
      <c r="D1814" s="9" t="s">
        <v>698</v>
      </c>
      <c r="E1814" s="9" t="s">
        <v>3072</v>
      </c>
      <c r="F1814" s="9" t="s">
        <v>395</v>
      </c>
      <c r="H1814" s="9"/>
    </row>
    <row r="1815" ht="14.25" customHeight="1">
      <c r="C1815" s="9" t="s">
        <v>698</v>
      </c>
      <c r="D1815" s="9" t="s">
        <v>698</v>
      </c>
      <c r="E1815" s="9" t="s">
        <v>3072</v>
      </c>
      <c r="F1815" s="9" t="s">
        <v>276</v>
      </c>
      <c r="H1815" s="9"/>
    </row>
    <row r="1816" ht="14.25" customHeight="1">
      <c r="C1816" s="9" t="s">
        <v>698</v>
      </c>
      <c r="D1816" s="9" t="s">
        <v>698</v>
      </c>
      <c r="E1816" s="9" t="s">
        <v>3072</v>
      </c>
      <c r="F1816" s="9" t="s">
        <v>431</v>
      </c>
      <c r="H1816" s="9"/>
    </row>
    <row r="1817" ht="14.25" customHeight="1">
      <c r="C1817" s="9" t="s">
        <v>698</v>
      </c>
      <c r="D1817" s="9" t="s">
        <v>698</v>
      </c>
      <c r="E1817" s="9" t="s">
        <v>3072</v>
      </c>
      <c r="F1817" s="9" t="s">
        <v>1272</v>
      </c>
      <c r="H1817" s="9"/>
    </row>
    <row r="1818" ht="14.25" customHeight="1">
      <c r="C1818" s="9" t="s">
        <v>698</v>
      </c>
      <c r="D1818" s="9" t="s">
        <v>698</v>
      </c>
      <c r="E1818" s="9" t="s">
        <v>3072</v>
      </c>
      <c r="F1818" s="9" t="s">
        <v>420</v>
      </c>
      <c r="H1818" s="9"/>
    </row>
    <row r="1819" ht="14.25" customHeight="1">
      <c r="C1819" s="9" t="s">
        <v>698</v>
      </c>
      <c r="D1819" s="9" t="s">
        <v>698</v>
      </c>
      <c r="E1819" s="9" t="s">
        <v>3072</v>
      </c>
      <c r="F1819" s="9" t="s">
        <v>482</v>
      </c>
      <c r="H1819" s="9"/>
    </row>
    <row r="1820" ht="14.25" customHeight="1">
      <c r="C1820" s="9" t="s">
        <v>698</v>
      </c>
      <c r="D1820" s="9" t="s">
        <v>698</v>
      </c>
      <c r="E1820" s="9" t="s">
        <v>3072</v>
      </c>
      <c r="F1820" s="9" t="s">
        <v>136</v>
      </c>
      <c r="H1820" s="9"/>
    </row>
    <row r="1821" ht="14.25" customHeight="1">
      <c r="C1821" s="9" t="s">
        <v>698</v>
      </c>
      <c r="D1821" s="9" t="s">
        <v>698</v>
      </c>
      <c r="E1821" s="9" t="s">
        <v>3072</v>
      </c>
      <c r="F1821" s="9" t="s">
        <v>408</v>
      </c>
      <c r="H1821" s="9"/>
    </row>
    <row r="1822" ht="14.25" customHeight="1">
      <c r="C1822" s="9" t="s">
        <v>698</v>
      </c>
      <c r="D1822" s="9" t="s">
        <v>698</v>
      </c>
      <c r="E1822" s="9" t="s">
        <v>3072</v>
      </c>
      <c r="F1822" s="9" t="s">
        <v>2589</v>
      </c>
      <c r="H1822" s="9"/>
    </row>
    <row r="1823" ht="14.25" customHeight="1">
      <c r="C1823" s="9" t="s">
        <v>698</v>
      </c>
      <c r="D1823" s="9" t="s">
        <v>698</v>
      </c>
      <c r="E1823" s="9" t="s">
        <v>3072</v>
      </c>
      <c r="F1823" s="9" t="s">
        <v>197</v>
      </c>
      <c r="H1823" s="9"/>
    </row>
    <row r="1824" ht="14.25" customHeight="1">
      <c r="C1824" s="9" t="s">
        <v>698</v>
      </c>
      <c r="D1824" s="9" t="s">
        <v>698</v>
      </c>
      <c r="E1824" s="9" t="s">
        <v>3072</v>
      </c>
      <c r="F1824" s="9" t="s">
        <v>172</v>
      </c>
      <c r="H1824" s="9"/>
    </row>
    <row r="1825" ht="14.25" customHeight="1">
      <c r="C1825" s="9" t="s">
        <v>698</v>
      </c>
      <c r="D1825" s="9" t="s">
        <v>698</v>
      </c>
      <c r="E1825" s="9" t="s">
        <v>3072</v>
      </c>
      <c r="F1825" s="9" t="s">
        <v>98</v>
      </c>
      <c r="H1825" s="9"/>
    </row>
    <row r="1826" ht="14.25" customHeight="1">
      <c r="C1826" s="9" t="s">
        <v>698</v>
      </c>
      <c r="D1826" s="9" t="s">
        <v>698</v>
      </c>
      <c r="E1826" s="9" t="s">
        <v>3072</v>
      </c>
      <c r="F1826" s="9" t="s">
        <v>341</v>
      </c>
      <c r="H1826" s="9"/>
    </row>
    <row r="1827" ht="14.25" customHeight="1">
      <c r="C1827" s="9" t="s">
        <v>698</v>
      </c>
      <c r="D1827" s="9" t="s">
        <v>698</v>
      </c>
      <c r="E1827" s="9" t="s">
        <v>3072</v>
      </c>
      <c r="F1827" s="9" t="s">
        <v>367</v>
      </c>
      <c r="H1827" s="9"/>
    </row>
    <row r="1828" ht="14.25" customHeight="1">
      <c r="C1828" s="9" t="s">
        <v>698</v>
      </c>
      <c r="D1828" s="9" t="s">
        <v>698</v>
      </c>
      <c r="E1828" s="9" t="s">
        <v>3072</v>
      </c>
      <c r="F1828" s="9" t="s">
        <v>529</v>
      </c>
      <c r="H1828" s="9"/>
    </row>
    <row r="1829" ht="14.25" customHeight="1">
      <c r="C1829" s="9" t="s">
        <v>698</v>
      </c>
      <c r="D1829" s="9" t="s">
        <v>698</v>
      </c>
      <c r="E1829" s="9" t="s">
        <v>3072</v>
      </c>
      <c r="F1829" s="9" t="s">
        <v>282</v>
      </c>
      <c r="H1829" s="9"/>
    </row>
    <row r="1830" ht="14.25" customHeight="1">
      <c r="C1830" s="9" t="s">
        <v>698</v>
      </c>
      <c r="D1830" s="9" t="s">
        <v>698</v>
      </c>
      <c r="E1830" s="9" t="s">
        <v>3072</v>
      </c>
      <c r="F1830" s="9" t="s">
        <v>321</v>
      </c>
      <c r="H1830" s="9"/>
    </row>
    <row r="1831" ht="14.25" customHeight="1">
      <c r="C1831" s="9" t="s">
        <v>698</v>
      </c>
      <c r="D1831" s="9" t="s">
        <v>698</v>
      </c>
      <c r="E1831" s="9" t="s">
        <v>3072</v>
      </c>
      <c r="F1831" s="9" t="s">
        <v>272</v>
      </c>
      <c r="H1831" s="9"/>
    </row>
    <row r="1832" ht="14.25" customHeight="1">
      <c r="C1832" s="9" t="s">
        <v>698</v>
      </c>
      <c r="D1832" s="9" t="s">
        <v>698</v>
      </c>
      <c r="E1832" s="9" t="s">
        <v>3072</v>
      </c>
      <c r="F1832" s="9" t="s">
        <v>517</v>
      </c>
      <c r="H1832" s="9"/>
    </row>
    <row r="1833" ht="14.25" customHeight="1">
      <c r="C1833" s="9" t="s">
        <v>698</v>
      </c>
      <c r="D1833" s="9" t="s">
        <v>698</v>
      </c>
      <c r="E1833" s="9" t="s">
        <v>3072</v>
      </c>
      <c r="F1833" s="9" t="s">
        <v>2593</v>
      </c>
      <c r="H1833" s="9"/>
    </row>
    <row r="1834" ht="14.25" customHeight="1">
      <c r="C1834" s="9" t="s">
        <v>698</v>
      </c>
      <c r="D1834" s="9" t="s">
        <v>698</v>
      </c>
      <c r="E1834" s="9" t="s">
        <v>3072</v>
      </c>
      <c r="F1834" s="9" t="s">
        <v>507</v>
      </c>
      <c r="H1834" s="9"/>
    </row>
    <row r="1835" ht="14.25" customHeight="1">
      <c r="C1835" s="9" t="s">
        <v>698</v>
      </c>
      <c r="D1835" s="9" t="s">
        <v>698</v>
      </c>
      <c r="E1835" s="9" t="s">
        <v>3072</v>
      </c>
      <c r="F1835" s="9" t="s">
        <v>336</v>
      </c>
      <c r="H1835" s="9"/>
    </row>
    <row r="1836" ht="14.25" customHeight="1">
      <c r="C1836" s="9" t="s">
        <v>698</v>
      </c>
      <c r="D1836" s="9" t="s">
        <v>698</v>
      </c>
      <c r="E1836" s="9" t="s">
        <v>3072</v>
      </c>
      <c r="F1836" s="9" t="s">
        <v>235</v>
      </c>
      <c r="H1836" s="9"/>
    </row>
    <row r="1837" ht="14.25" customHeight="1">
      <c r="C1837" s="9" t="s">
        <v>698</v>
      </c>
      <c r="D1837" s="9" t="s">
        <v>698</v>
      </c>
      <c r="E1837" s="9" t="s">
        <v>3072</v>
      </c>
      <c r="F1837" s="9" t="s">
        <v>264</v>
      </c>
      <c r="H1837" s="9"/>
    </row>
    <row r="1838" ht="14.25" customHeight="1">
      <c r="C1838" s="9" t="s">
        <v>1382</v>
      </c>
      <c r="D1838" s="9" t="s">
        <v>3073</v>
      </c>
      <c r="E1838" s="9" t="s">
        <v>3072</v>
      </c>
      <c r="F1838" s="9" t="s">
        <v>493</v>
      </c>
      <c r="H1838" s="9"/>
    </row>
    <row r="1839" ht="14.25" customHeight="1">
      <c r="C1839" s="9" t="s">
        <v>1382</v>
      </c>
      <c r="D1839" s="9" t="s">
        <v>3073</v>
      </c>
      <c r="E1839" s="9" t="s">
        <v>3072</v>
      </c>
      <c r="F1839" s="9" t="s">
        <v>1362</v>
      </c>
      <c r="H1839" s="9"/>
    </row>
    <row r="1840" ht="14.25" customHeight="1">
      <c r="C1840" s="9" t="s">
        <v>1382</v>
      </c>
      <c r="D1840" s="9" t="s">
        <v>3073</v>
      </c>
      <c r="E1840" s="9" t="s">
        <v>3072</v>
      </c>
      <c r="F1840" s="9" t="s">
        <v>2970</v>
      </c>
      <c r="H1840" s="9"/>
    </row>
    <row r="1841" ht="14.25" customHeight="1">
      <c r="C1841" s="9" t="s">
        <v>1382</v>
      </c>
      <c r="D1841" s="9" t="s">
        <v>3073</v>
      </c>
      <c r="E1841" s="9" t="s">
        <v>3072</v>
      </c>
      <c r="F1841" s="9" t="s">
        <v>3026</v>
      </c>
      <c r="H1841" s="9"/>
    </row>
    <row r="1842" ht="14.25" customHeight="1">
      <c r="C1842" s="9" t="s">
        <v>1382</v>
      </c>
      <c r="D1842" s="9" t="s">
        <v>3073</v>
      </c>
      <c r="E1842" s="9" t="s">
        <v>3072</v>
      </c>
      <c r="F1842" s="9" t="s">
        <v>2971</v>
      </c>
      <c r="H1842" s="9"/>
    </row>
    <row r="1843" ht="14.25" customHeight="1">
      <c r="C1843" s="9" t="s">
        <v>1382</v>
      </c>
      <c r="D1843" s="9" t="s">
        <v>3073</v>
      </c>
      <c r="E1843" s="9" t="s">
        <v>3072</v>
      </c>
      <c r="F1843" s="9" t="s">
        <v>1364</v>
      </c>
      <c r="H1843" s="9"/>
    </row>
    <row r="1844" ht="14.25" customHeight="1">
      <c r="C1844" s="9" t="s">
        <v>1382</v>
      </c>
      <c r="D1844" s="9" t="s">
        <v>3073</v>
      </c>
      <c r="E1844" s="9" t="s">
        <v>3072</v>
      </c>
      <c r="F1844" s="9" t="s">
        <v>3027</v>
      </c>
      <c r="H1844" s="9"/>
    </row>
    <row r="1845" ht="14.25" customHeight="1">
      <c r="C1845" s="9" t="s">
        <v>1382</v>
      </c>
      <c r="D1845" s="9" t="s">
        <v>3073</v>
      </c>
      <c r="E1845" s="9" t="s">
        <v>3072</v>
      </c>
      <c r="F1845" s="9" t="s">
        <v>136</v>
      </c>
      <c r="H1845" s="9"/>
    </row>
    <row r="1846" ht="14.25" customHeight="1">
      <c r="C1846" s="9" t="s">
        <v>1382</v>
      </c>
      <c r="D1846" s="9" t="s">
        <v>3073</v>
      </c>
      <c r="E1846" s="9" t="s">
        <v>3072</v>
      </c>
      <c r="F1846" s="9" t="s">
        <v>3028</v>
      </c>
      <c r="H1846" s="9"/>
    </row>
    <row r="1847" ht="14.25" customHeight="1">
      <c r="C1847" s="9" t="s">
        <v>1382</v>
      </c>
      <c r="D1847" s="9" t="s">
        <v>3073</v>
      </c>
      <c r="E1847" s="9" t="s">
        <v>3072</v>
      </c>
      <c r="F1847" s="9" t="s">
        <v>1365</v>
      </c>
      <c r="H1847" s="9"/>
    </row>
    <row r="1848" ht="14.25" customHeight="1">
      <c r="C1848" s="9" t="s">
        <v>1382</v>
      </c>
      <c r="D1848" s="9" t="s">
        <v>3073</v>
      </c>
      <c r="E1848" s="9" t="s">
        <v>3072</v>
      </c>
      <c r="F1848" s="9" t="s">
        <v>1360</v>
      </c>
      <c r="H1848" s="9"/>
    </row>
    <row r="1849" ht="14.25" customHeight="1">
      <c r="C1849" s="9" t="s">
        <v>1382</v>
      </c>
      <c r="D1849" s="9" t="s">
        <v>3073</v>
      </c>
      <c r="E1849" s="9" t="s">
        <v>3072</v>
      </c>
      <c r="F1849" s="9" t="s">
        <v>2301</v>
      </c>
      <c r="H1849" s="9"/>
    </row>
    <row r="1850" ht="14.25" customHeight="1">
      <c r="C1850" s="9" t="s">
        <v>1382</v>
      </c>
      <c r="D1850" s="9" t="s">
        <v>3073</v>
      </c>
      <c r="E1850" s="9" t="s">
        <v>3072</v>
      </c>
      <c r="F1850" s="9" t="s">
        <v>1359</v>
      </c>
      <c r="H1850" s="9"/>
    </row>
    <row r="1851" ht="14.25" customHeight="1">
      <c r="C1851" s="9" t="s">
        <v>1382</v>
      </c>
      <c r="D1851" s="9" t="s">
        <v>3073</v>
      </c>
      <c r="E1851" s="9" t="s">
        <v>3072</v>
      </c>
      <c r="F1851" s="9" t="s">
        <v>172</v>
      </c>
      <c r="H1851" s="9"/>
    </row>
    <row r="1852" ht="14.25" customHeight="1">
      <c r="C1852" s="9" t="s">
        <v>1382</v>
      </c>
      <c r="D1852" s="9" t="s">
        <v>3073</v>
      </c>
      <c r="E1852" s="9" t="s">
        <v>3072</v>
      </c>
      <c r="F1852" s="9" t="s">
        <v>98</v>
      </c>
      <c r="H1852" s="9"/>
    </row>
    <row r="1853" ht="14.25" customHeight="1">
      <c r="C1853" s="9" t="s">
        <v>1382</v>
      </c>
      <c r="D1853" s="9" t="s">
        <v>3073</v>
      </c>
      <c r="E1853" s="9" t="s">
        <v>3072</v>
      </c>
      <c r="F1853" s="9" t="s">
        <v>341</v>
      </c>
      <c r="H1853" s="9"/>
    </row>
    <row r="1854" ht="14.25" customHeight="1">
      <c r="C1854" s="9" t="s">
        <v>1382</v>
      </c>
      <c r="D1854" s="9" t="s">
        <v>3073</v>
      </c>
      <c r="E1854" s="9" t="s">
        <v>3072</v>
      </c>
      <c r="F1854" s="9" t="s">
        <v>529</v>
      </c>
      <c r="H1854" s="9"/>
    </row>
    <row r="1855" ht="14.25" customHeight="1">
      <c r="C1855" s="9" t="s">
        <v>1382</v>
      </c>
      <c r="D1855" s="9" t="s">
        <v>3073</v>
      </c>
      <c r="E1855" s="9" t="s">
        <v>3072</v>
      </c>
      <c r="F1855" s="9" t="s">
        <v>3029</v>
      </c>
      <c r="H1855" s="9"/>
    </row>
    <row r="1856" ht="14.25" customHeight="1">
      <c r="C1856" s="9" t="s">
        <v>1382</v>
      </c>
      <c r="D1856" s="9" t="s">
        <v>3073</v>
      </c>
      <c r="E1856" s="9" t="s">
        <v>3072</v>
      </c>
      <c r="F1856" s="9" t="s">
        <v>321</v>
      </c>
      <c r="H1856" s="9"/>
    </row>
    <row r="1857" ht="14.25" customHeight="1">
      <c r="C1857" s="9" t="s">
        <v>1382</v>
      </c>
      <c r="D1857" s="9" t="s">
        <v>3073</v>
      </c>
      <c r="E1857" s="9" t="s">
        <v>3072</v>
      </c>
      <c r="F1857" s="9" t="s">
        <v>1356</v>
      </c>
      <c r="H1857" s="9"/>
    </row>
    <row r="1858" ht="14.25" customHeight="1">
      <c r="C1858" s="9" t="s">
        <v>1382</v>
      </c>
      <c r="D1858" s="9" t="s">
        <v>3073</v>
      </c>
      <c r="E1858" s="9" t="s">
        <v>3072</v>
      </c>
      <c r="F1858" s="9" t="s">
        <v>517</v>
      </c>
      <c r="H1858" s="9"/>
    </row>
    <row r="1859" ht="14.25" customHeight="1">
      <c r="C1859" s="9" t="s">
        <v>1382</v>
      </c>
      <c r="D1859" s="9" t="s">
        <v>3073</v>
      </c>
      <c r="E1859" s="9" t="s">
        <v>3072</v>
      </c>
      <c r="F1859" s="9" t="s">
        <v>2309</v>
      </c>
      <c r="H1859" s="9"/>
    </row>
    <row r="1860" ht="14.25" customHeight="1">
      <c r="C1860" s="9" t="s">
        <v>1382</v>
      </c>
      <c r="D1860" s="9" t="s">
        <v>3073</v>
      </c>
      <c r="E1860" s="9" t="s">
        <v>3072</v>
      </c>
      <c r="F1860" s="9" t="s">
        <v>2972</v>
      </c>
      <c r="H1860" s="9"/>
    </row>
    <row r="1861" ht="14.25" customHeight="1">
      <c r="C1861" s="9" t="s">
        <v>1382</v>
      </c>
      <c r="D1861" s="9" t="s">
        <v>3073</v>
      </c>
      <c r="E1861" s="9" t="s">
        <v>3072</v>
      </c>
      <c r="F1861" s="9" t="s">
        <v>2973</v>
      </c>
      <c r="H1861" s="9"/>
    </row>
    <row r="1862" ht="14.25" customHeight="1">
      <c r="C1862" s="9" t="s">
        <v>1382</v>
      </c>
      <c r="D1862" s="9" t="s">
        <v>3074</v>
      </c>
      <c r="E1862" s="9" t="s">
        <v>3072</v>
      </c>
      <c r="F1862" s="9" t="s">
        <v>493</v>
      </c>
      <c r="H1862" s="9"/>
    </row>
    <row r="1863" ht="14.25" customHeight="1">
      <c r="C1863" s="9" t="s">
        <v>1382</v>
      </c>
      <c r="D1863" s="9" t="s">
        <v>3074</v>
      </c>
      <c r="E1863" s="9" t="s">
        <v>3072</v>
      </c>
      <c r="F1863" s="9" t="s">
        <v>1362</v>
      </c>
      <c r="H1863" s="9"/>
    </row>
    <row r="1864" ht="14.25" customHeight="1">
      <c r="C1864" s="9" t="s">
        <v>1382</v>
      </c>
      <c r="D1864" s="9" t="s">
        <v>3074</v>
      </c>
      <c r="E1864" s="9" t="s">
        <v>3072</v>
      </c>
      <c r="F1864" s="9" t="s">
        <v>2970</v>
      </c>
      <c r="H1864" s="9"/>
    </row>
    <row r="1865" ht="14.25" customHeight="1">
      <c r="C1865" s="9" t="s">
        <v>1382</v>
      </c>
      <c r="D1865" s="9" t="s">
        <v>3074</v>
      </c>
      <c r="E1865" s="9" t="s">
        <v>3072</v>
      </c>
      <c r="F1865" s="9" t="s">
        <v>3026</v>
      </c>
      <c r="H1865" s="9"/>
    </row>
    <row r="1866" ht="14.25" customHeight="1">
      <c r="C1866" s="9" t="s">
        <v>1382</v>
      </c>
      <c r="D1866" s="9" t="s">
        <v>3074</v>
      </c>
      <c r="E1866" s="9" t="s">
        <v>3072</v>
      </c>
      <c r="F1866" s="9" t="s">
        <v>2971</v>
      </c>
      <c r="H1866" s="9"/>
    </row>
    <row r="1867" ht="14.25" customHeight="1">
      <c r="C1867" s="9" t="s">
        <v>1382</v>
      </c>
      <c r="D1867" s="9" t="s">
        <v>3074</v>
      </c>
      <c r="E1867" s="9" t="s">
        <v>3072</v>
      </c>
      <c r="F1867" s="9" t="s">
        <v>1364</v>
      </c>
      <c r="H1867" s="9"/>
    </row>
    <row r="1868" ht="14.25" customHeight="1">
      <c r="C1868" s="9" t="s">
        <v>1382</v>
      </c>
      <c r="D1868" s="9" t="s">
        <v>3074</v>
      </c>
      <c r="E1868" s="9" t="s">
        <v>3072</v>
      </c>
      <c r="F1868" s="9" t="s">
        <v>3027</v>
      </c>
      <c r="H1868" s="9"/>
    </row>
    <row r="1869" ht="14.25" customHeight="1">
      <c r="C1869" s="9" t="s">
        <v>1382</v>
      </c>
      <c r="D1869" s="9" t="s">
        <v>3074</v>
      </c>
      <c r="E1869" s="9" t="s">
        <v>3072</v>
      </c>
      <c r="F1869" s="9" t="s">
        <v>136</v>
      </c>
      <c r="H1869" s="9"/>
    </row>
    <row r="1870" ht="14.25" customHeight="1">
      <c r="C1870" s="9" t="s">
        <v>1382</v>
      </c>
      <c r="D1870" s="9" t="s">
        <v>3074</v>
      </c>
      <c r="E1870" s="9" t="s">
        <v>3072</v>
      </c>
      <c r="F1870" s="9" t="s">
        <v>3028</v>
      </c>
      <c r="H1870" s="9"/>
    </row>
    <row r="1871" ht="14.25" customHeight="1">
      <c r="C1871" s="9" t="s">
        <v>1382</v>
      </c>
      <c r="D1871" s="9" t="s">
        <v>3074</v>
      </c>
      <c r="E1871" s="9" t="s">
        <v>3072</v>
      </c>
      <c r="F1871" s="9" t="s">
        <v>1365</v>
      </c>
      <c r="H1871" s="9"/>
    </row>
    <row r="1872" ht="14.25" customHeight="1">
      <c r="C1872" s="9" t="s">
        <v>1382</v>
      </c>
      <c r="D1872" s="9" t="s">
        <v>3074</v>
      </c>
      <c r="E1872" s="9" t="s">
        <v>3072</v>
      </c>
      <c r="F1872" s="9" t="s">
        <v>1360</v>
      </c>
      <c r="H1872" s="9"/>
    </row>
    <row r="1873" ht="14.25" customHeight="1">
      <c r="C1873" s="9" t="s">
        <v>1382</v>
      </c>
      <c r="D1873" s="9" t="s">
        <v>3074</v>
      </c>
      <c r="E1873" s="9" t="s">
        <v>3072</v>
      </c>
      <c r="F1873" s="9" t="s">
        <v>2301</v>
      </c>
      <c r="H1873" s="9"/>
    </row>
    <row r="1874" ht="14.25" customHeight="1">
      <c r="C1874" s="9" t="s">
        <v>1382</v>
      </c>
      <c r="D1874" s="9" t="s">
        <v>3074</v>
      </c>
      <c r="E1874" s="9" t="s">
        <v>3072</v>
      </c>
      <c r="F1874" s="9" t="s">
        <v>1359</v>
      </c>
      <c r="H1874" s="9"/>
    </row>
    <row r="1875" ht="14.25" customHeight="1">
      <c r="C1875" s="9" t="s">
        <v>1382</v>
      </c>
      <c r="D1875" s="9" t="s">
        <v>3074</v>
      </c>
      <c r="E1875" s="9" t="s">
        <v>3072</v>
      </c>
      <c r="F1875" s="9" t="s">
        <v>172</v>
      </c>
      <c r="H1875" s="9"/>
    </row>
    <row r="1876" ht="14.25" customHeight="1">
      <c r="C1876" s="9" t="s">
        <v>1382</v>
      </c>
      <c r="D1876" s="9" t="s">
        <v>3074</v>
      </c>
      <c r="E1876" s="9" t="s">
        <v>3072</v>
      </c>
      <c r="F1876" s="9" t="s">
        <v>98</v>
      </c>
      <c r="H1876" s="9"/>
    </row>
    <row r="1877" ht="14.25" customHeight="1">
      <c r="C1877" s="9" t="s">
        <v>1382</v>
      </c>
      <c r="D1877" s="9" t="s">
        <v>3074</v>
      </c>
      <c r="E1877" s="9" t="s">
        <v>3072</v>
      </c>
      <c r="F1877" s="9" t="s">
        <v>341</v>
      </c>
      <c r="H1877" s="9"/>
    </row>
    <row r="1878" ht="14.25" customHeight="1">
      <c r="C1878" s="9" t="s">
        <v>1382</v>
      </c>
      <c r="D1878" s="9" t="s">
        <v>3074</v>
      </c>
      <c r="E1878" s="9" t="s">
        <v>3072</v>
      </c>
      <c r="F1878" s="9" t="s">
        <v>529</v>
      </c>
      <c r="H1878" s="9"/>
    </row>
    <row r="1879" ht="14.25" customHeight="1">
      <c r="C1879" s="9" t="s">
        <v>1382</v>
      </c>
      <c r="D1879" s="9" t="s">
        <v>3074</v>
      </c>
      <c r="E1879" s="9" t="s">
        <v>3072</v>
      </c>
      <c r="F1879" s="9" t="s">
        <v>3029</v>
      </c>
      <c r="H1879" s="9"/>
    </row>
    <row r="1880" ht="14.25" customHeight="1">
      <c r="C1880" s="9" t="s">
        <v>1382</v>
      </c>
      <c r="D1880" s="9" t="s">
        <v>3074</v>
      </c>
      <c r="E1880" s="9" t="s">
        <v>3072</v>
      </c>
      <c r="F1880" s="9" t="s">
        <v>321</v>
      </c>
      <c r="H1880" s="9"/>
    </row>
    <row r="1881" ht="14.25" customHeight="1">
      <c r="C1881" s="9" t="s">
        <v>1382</v>
      </c>
      <c r="D1881" s="9" t="s">
        <v>3074</v>
      </c>
      <c r="E1881" s="9" t="s">
        <v>3072</v>
      </c>
      <c r="F1881" s="9" t="s">
        <v>1356</v>
      </c>
      <c r="H1881" s="9"/>
    </row>
    <row r="1882" ht="14.25" customHeight="1">
      <c r="C1882" s="9" t="s">
        <v>1382</v>
      </c>
      <c r="D1882" s="9" t="s">
        <v>3074</v>
      </c>
      <c r="E1882" s="9" t="s">
        <v>3072</v>
      </c>
      <c r="F1882" s="9" t="s">
        <v>517</v>
      </c>
      <c r="H1882" s="9"/>
    </row>
    <row r="1883" ht="14.25" customHeight="1">
      <c r="C1883" s="9" t="s">
        <v>1382</v>
      </c>
      <c r="D1883" s="9" t="s">
        <v>3074</v>
      </c>
      <c r="E1883" s="9" t="s">
        <v>3072</v>
      </c>
      <c r="F1883" s="9" t="s">
        <v>2309</v>
      </c>
      <c r="H1883" s="9"/>
    </row>
    <row r="1884" ht="14.25" customHeight="1">
      <c r="C1884" s="9" t="s">
        <v>1382</v>
      </c>
      <c r="D1884" s="9" t="s">
        <v>3074</v>
      </c>
      <c r="E1884" s="9" t="s">
        <v>3072</v>
      </c>
      <c r="F1884" s="9" t="s">
        <v>2972</v>
      </c>
      <c r="H1884" s="9"/>
    </row>
    <row r="1885" ht="14.25" customHeight="1">
      <c r="C1885" s="9" t="s">
        <v>1382</v>
      </c>
      <c r="D1885" s="9" t="s">
        <v>3074</v>
      </c>
      <c r="E1885" s="9" t="s">
        <v>3072</v>
      </c>
      <c r="F1885" s="9" t="s">
        <v>2973</v>
      </c>
      <c r="H1885" s="9"/>
    </row>
    <row r="1886" ht="14.25" customHeight="1">
      <c r="C1886" s="9" t="s">
        <v>111</v>
      </c>
      <c r="D1886" s="9" t="s">
        <v>3075</v>
      </c>
      <c r="E1886" s="9" t="s">
        <v>3072</v>
      </c>
      <c r="F1886" s="9" t="s">
        <v>493</v>
      </c>
      <c r="H1886" s="9"/>
    </row>
    <row r="1887" ht="14.25" customHeight="1">
      <c r="C1887" s="9" t="s">
        <v>111</v>
      </c>
      <c r="D1887" s="9" t="s">
        <v>3075</v>
      </c>
      <c r="E1887" s="9" t="s">
        <v>3072</v>
      </c>
      <c r="F1887" s="9" t="s">
        <v>1362</v>
      </c>
      <c r="H1887" s="9"/>
    </row>
    <row r="1888" ht="14.25" customHeight="1">
      <c r="C1888" s="9" t="s">
        <v>111</v>
      </c>
      <c r="D1888" s="9" t="s">
        <v>3075</v>
      </c>
      <c r="E1888" s="9" t="s">
        <v>3072</v>
      </c>
      <c r="F1888" s="9" t="s">
        <v>2970</v>
      </c>
      <c r="H1888" s="9"/>
    </row>
    <row r="1889" ht="14.25" customHeight="1">
      <c r="C1889" s="9" t="s">
        <v>111</v>
      </c>
      <c r="D1889" s="9" t="s">
        <v>3075</v>
      </c>
      <c r="E1889" s="9" t="s">
        <v>3072</v>
      </c>
      <c r="F1889" s="9" t="s">
        <v>3026</v>
      </c>
      <c r="H1889" s="9"/>
    </row>
    <row r="1890" ht="14.25" customHeight="1">
      <c r="C1890" s="9" t="s">
        <v>111</v>
      </c>
      <c r="D1890" s="9" t="s">
        <v>3075</v>
      </c>
      <c r="E1890" s="9" t="s">
        <v>3072</v>
      </c>
      <c r="F1890" s="9" t="s">
        <v>2971</v>
      </c>
      <c r="H1890" s="9"/>
    </row>
    <row r="1891" ht="14.25" customHeight="1">
      <c r="C1891" s="9" t="s">
        <v>111</v>
      </c>
      <c r="D1891" s="9" t="s">
        <v>3075</v>
      </c>
      <c r="E1891" s="9" t="s">
        <v>3072</v>
      </c>
      <c r="F1891" s="9" t="s">
        <v>1364</v>
      </c>
      <c r="H1891" s="9"/>
    </row>
    <row r="1892" ht="14.25" customHeight="1">
      <c r="C1892" s="9" t="s">
        <v>111</v>
      </c>
      <c r="D1892" s="9" t="s">
        <v>3075</v>
      </c>
      <c r="E1892" s="9" t="s">
        <v>3072</v>
      </c>
      <c r="F1892" s="9" t="s">
        <v>3076</v>
      </c>
      <c r="H1892" s="9"/>
    </row>
    <row r="1893" ht="14.25" customHeight="1">
      <c r="C1893" s="9" t="s">
        <v>111</v>
      </c>
      <c r="D1893" s="9" t="s">
        <v>3075</v>
      </c>
      <c r="E1893" s="9" t="s">
        <v>3072</v>
      </c>
      <c r="F1893" s="9" t="s">
        <v>136</v>
      </c>
      <c r="H1893" s="9"/>
    </row>
    <row r="1894" ht="14.25" customHeight="1">
      <c r="C1894" s="9" t="s">
        <v>111</v>
      </c>
      <c r="D1894" s="9" t="s">
        <v>3075</v>
      </c>
      <c r="E1894" s="9" t="s">
        <v>3072</v>
      </c>
      <c r="F1894" s="9" t="s">
        <v>3028</v>
      </c>
      <c r="H1894" s="9"/>
    </row>
    <row r="1895" ht="14.25" customHeight="1">
      <c r="C1895" s="9" t="s">
        <v>111</v>
      </c>
      <c r="D1895" s="9" t="s">
        <v>3075</v>
      </c>
      <c r="E1895" s="9" t="s">
        <v>3072</v>
      </c>
      <c r="F1895" s="9" t="s">
        <v>1365</v>
      </c>
      <c r="H1895" s="9"/>
    </row>
    <row r="1896" ht="14.25" customHeight="1">
      <c r="C1896" s="9" t="s">
        <v>111</v>
      </c>
      <c r="D1896" s="9" t="s">
        <v>3075</v>
      </c>
      <c r="E1896" s="9" t="s">
        <v>3072</v>
      </c>
      <c r="F1896" s="9" t="s">
        <v>1360</v>
      </c>
      <c r="H1896" s="9"/>
    </row>
    <row r="1897" ht="14.25" customHeight="1">
      <c r="C1897" s="9" t="s">
        <v>111</v>
      </c>
      <c r="D1897" s="9" t="s">
        <v>3075</v>
      </c>
      <c r="E1897" s="9" t="s">
        <v>3072</v>
      </c>
      <c r="F1897" s="9" t="s">
        <v>2589</v>
      </c>
      <c r="H1897" s="9"/>
    </row>
    <row r="1898" ht="14.25" customHeight="1">
      <c r="C1898" s="9" t="s">
        <v>111</v>
      </c>
      <c r="D1898" s="9" t="s">
        <v>3075</v>
      </c>
      <c r="E1898" s="9" t="s">
        <v>3072</v>
      </c>
      <c r="F1898" s="9" t="s">
        <v>1359</v>
      </c>
      <c r="H1898" s="9"/>
    </row>
    <row r="1899" ht="14.25" customHeight="1">
      <c r="C1899" s="9" t="s">
        <v>111</v>
      </c>
      <c r="D1899" s="9" t="s">
        <v>3075</v>
      </c>
      <c r="E1899" s="9" t="s">
        <v>3072</v>
      </c>
      <c r="F1899" s="9" t="s">
        <v>172</v>
      </c>
      <c r="H1899" s="9"/>
    </row>
    <row r="1900" ht="14.25" customHeight="1">
      <c r="C1900" s="9" t="s">
        <v>111</v>
      </c>
      <c r="D1900" s="9" t="s">
        <v>3075</v>
      </c>
      <c r="E1900" s="9" t="s">
        <v>3072</v>
      </c>
      <c r="F1900" s="9" t="s">
        <v>98</v>
      </c>
      <c r="H1900" s="9"/>
    </row>
    <row r="1901" ht="14.25" customHeight="1">
      <c r="C1901" s="9" t="s">
        <v>111</v>
      </c>
      <c r="D1901" s="9" t="s">
        <v>3075</v>
      </c>
      <c r="E1901" s="9" t="s">
        <v>3072</v>
      </c>
      <c r="F1901" s="9" t="s">
        <v>341</v>
      </c>
      <c r="H1901" s="9"/>
    </row>
    <row r="1902" ht="14.25" customHeight="1">
      <c r="C1902" s="9" t="s">
        <v>111</v>
      </c>
      <c r="D1902" s="9" t="s">
        <v>3075</v>
      </c>
      <c r="E1902" s="9" t="s">
        <v>3072</v>
      </c>
      <c r="F1902" s="9" t="s">
        <v>529</v>
      </c>
      <c r="H1902" s="9"/>
    </row>
    <row r="1903" ht="14.25" customHeight="1">
      <c r="C1903" s="9" t="s">
        <v>111</v>
      </c>
      <c r="D1903" s="9" t="s">
        <v>3075</v>
      </c>
      <c r="E1903" s="9" t="s">
        <v>3072</v>
      </c>
      <c r="F1903" s="9" t="s">
        <v>3029</v>
      </c>
      <c r="H1903" s="9"/>
    </row>
    <row r="1904" ht="14.25" customHeight="1">
      <c r="C1904" s="9" t="s">
        <v>111</v>
      </c>
      <c r="D1904" s="9" t="s">
        <v>3075</v>
      </c>
      <c r="E1904" s="9" t="s">
        <v>3072</v>
      </c>
      <c r="F1904" s="9" t="s">
        <v>321</v>
      </c>
      <c r="H1904" s="9"/>
    </row>
    <row r="1905" ht="14.25" customHeight="1">
      <c r="C1905" s="9" t="s">
        <v>111</v>
      </c>
      <c r="D1905" s="9" t="s">
        <v>3075</v>
      </c>
      <c r="E1905" s="9" t="s">
        <v>3072</v>
      </c>
      <c r="F1905" s="9" t="s">
        <v>1356</v>
      </c>
      <c r="H1905" s="9"/>
    </row>
    <row r="1906" ht="14.25" customHeight="1">
      <c r="C1906" s="9" t="s">
        <v>111</v>
      </c>
      <c r="D1906" s="9" t="s">
        <v>3075</v>
      </c>
      <c r="E1906" s="9" t="s">
        <v>3072</v>
      </c>
      <c r="F1906" s="9" t="s">
        <v>517</v>
      </c>
      <c r="H1906" s="9"/>
    </row>
    <row r="1907" ht="14.25" customHeight="1">
      <c r="C1907" s="9" t="s">
        <v>111</v>
      </c>
      <c r="D1907" s="9" t="s">
        <v>3075</v>
      </c>
      <c r="E1907" s="9" t="s">
        <v>3072</v>
      </c>
      <c r="F1907" s="9" t="s">
        <v>2593</v>
      </c>
      <c r="H1907" s="9"/>
    </row>
    <row r="1908" ht="14.25" customHeight="1">
      <c r="C1908" s="9" t="s">
        <v>111</v>
      </c>
      <c r="D1908" s="9" t="s">
        <v>3075</v>
      </c>
      <c r="E1908" s="9" t="s">
        <v>3072</v>
      </c>
      <c r="F1908" s="9" t="s">
        <v>2972</v>
      </c>
      <c r="H1908" s="9"/>
    </row>
    <row r="1909" ht="14.25" customHeight="1">
      <c r="C1909" s="9" t="s">
        <v>111</v>
      </c>
      <c r="D1909" s="9" t="s">
        <v>3075</v>
      </c>
      <c r="E1909" s="9" t="s">
        <v>3072</v>
      </c>
      <c r="F1909" s="9" t="s">
        <v>2973</v>
      </c>
      <c r="H1909" s="9"/>
    </row>
    <row r="1910" ht="14.25" customHeight="1">
      <c r="C1910" s="9" t="s">
        <v>111</v>
      </c>
      <c r="D1910" s="9" t="s">
        <v>3077</v>
      </c>
      <c r="E1910" s="9" t="s">
        <v>3072</v>
      </c>
      <c r="F1910" s="9" t="s">
        <v>474</v>
      </c>
      <c r="H1910" s="9"/>
    </row>
    <row r="1911" ht="14.25" customHeight="1">
      <c r="C1911" s="9" t="s">
        <v>111</v>
      </c>
      <c r="D1911" s="9" t="s">
        <v>3077</v>
      </c>
      <c r="E1911" s="9" t="s">
        <v>3072</v>
      </c>
      <c r="F1911" s="9" t="s">
        <v>284</v>
      </c>
      <c r="H1911" s="9"/>
    </row>
    <row r="1912" ht="14.25" customHeight="1">
      <c r="C1912" s="9" t="s">
        <v>111</v>
      </c>
      <c r="D1912" s="9" t="s">
        <v>3077</v>
      </c>
      <c r="E1912" s="9" t="s">
        <v>3072</v>
      </c>
      <c r="F1912" s="9" t="s">
        <v>493</v>
      </c>
      <c r="H1912" s="9"/>
    </row>
    <row r="1913" ht="14.25" customHeight="1">
      <c r="C1913" s="9" t="s">
        <v>111</v>
      </c>
      <c r="D1913" s="9" t="s">
        <v>3077</v>
      </c>
      <c r="E1913" s="9" t="s">
        <v>3072</v>
      </c>
      <c r="F1913" s="9" t="s">
        <v>450</v>
      </c>
      <c r="H1913" s="9"/>
    </row>
    <row r="1914" ht="14.25" customHeight="1">
      <c r="C1914" s="9" t="s">
        <v>111</v>
      </c>
      <c r="D1914" s="9" t="s">
        <v>3077</v>
      </c>
      <c r="E1914" s="9" t="s">
        <v>3072</v>
      </c>
      <c r="F1914" s="9" t="s">
        <v>395</v>
      </c>
      <c r="H1914" s="9"/>
    </row>
    <row r="1915" ht="14.25" customHeight="1">
      <c r="C1915" s="9" t="s">
        <v>111</v>
      </c>
      <c r="D1915" s="9" t="s">
        <v>3077</v>
      </c>
      <c r="E1915" s="9" t="s">
        <v>3072</v>
      </c>
      <c r="F1915" s="9" t="s">
        <v>276</v>
      </c>
      <c r="H1915" s="9"/>
    </row>
    <row r="1916" ht="14.25" customHeight="1">
      <c r="C1916" s="9" t="s">
        <v>111</v>
      </c>
      <c r="D1916" s="9" t="s">
        <v>3077</v>
      </c>
      <c r="E1916" s="9" t="s">
        <v>3072</v>
      </c>
      <c r="F1916" s="9" t="s">
        <v>431</v>
      </c>
      <c r="H1916" s="9"/>
    </row>
    <row r="1917" ht="14.25" customHeight="1">
      <c r="C1917" s="9" t="s">
        <v>111</v>
      </c>
      <c r="D1917" s="9" t="s">
        <v>3077</v>
      </c>
      <c r="E1917" s="9" t="s">
        <v>3072</v>
      </c>
      <c r="F1917" s="9" t="s">
        <v>1272</v>
      </c>
      <c r="H1917" s="9"/>
    </row>
    <row r="1918" ht="14.25" customHeight="1">
      <c r="C1918" s="9" t="s">
        <v>111</v>
      </c>
      <c r="D1918" s="9" t="s">
        <v>3077</v>
      </c>
      <c r="E1918" s="9" t="s">
        <v>3072</v>
      </c>
      <c r="F1918" s="9" t="s">
        <v>420</v>
      </c>
      <c r="H1918" s="9"/>
    </row>
    <row r="1919" ht="14.25" customHeight="1">
      <c r="C1919" s="9" t="s">
        <v>111</v>
      </c>
      <c r="D1919" s="9" t="s">
        <v>3077</v>
      </c>
      <c r="E1919" s="9" t="s">
        <v>3072</v>
      </c>
      <c r="F1919" s="9" t="s">
        <v>482</v>
      </c>
      <c r="H1919" s="9"/>
    </row>
    <row r="1920" ht="14.25" customHeight="1">
      <c r="C1920" s="9" t="s">
        <v>111</v>
      </c>
      <c r="D1920" s="9" t="s">
        <v>3077</v>
      </c>
      <c r="E1920" s="9" t="s">
        <v>3072</v>
      </c>
      <c r="F1920" s="9" t="s">
        <v>136</v>
      </c>
      <c r="H1920" s="9"/>
    </row>
    <row r="1921" ht="14.25" customHeight="1">
      <c r="C1921" s="9" t="s">
        <v>111</v>
      </c>
      <c r="D1921" s="9" t="s">
        <v>3077</v>
      </c>
      <c r="E1921" s="9" t="s">
        <v>3072</v>
      </c>
      <c r="F1921" s="9" t="s">
        <v>408</v>
      </c>
      <c r="H1921" s="9"/>
    </row>
    <row r="1922" ht="14.25" customHeight="1">
      <c r="C1922" s="9" t="s">
        <v>111</v>
      </c>
      <c r="D1922" s="9" t="s">
        <v>3077</v>
      </c>
      <c r="E1922" s="9" t="s">
        <v>3072</v>
      </c>
      <c r="F1922" s="9" t="s">
        <v>2589</v>
      </c>
      <c r="H1922" s="9"/>
    </row>
    <row r="1923" ht="14.25" customHeight="1">
      <c r="C1923" s="9" t="s">
        <v>111</v>
      </c>
      <c r="D1923" s="9" t="s">
        <v>3077</v>
      </c>
      <c r="E1923" s="9" t="s">
        <v>3072</v>
      </c>
      <c r="F1923" s="9" t="s">
        <v>197</v>
      </c>
      <c r="H1923" s="9"/>
    </row>
    <row r="1924" ht="14.25" customHeight="1">
      <c r="C1924" s="9" t="s">
        <v>111</v>
      </c>
      <c r="D1924" s="9" t="s">
        <v>3077</v>
      </c>
      <c r="E1924" s="9" t="s">
        <v>3072</v>
      </c>
      <c r="F1924" s="9" t="s">
        <v>172</v>
      </c>
      <c r="H1924" s="9"/>
    </row>
    <row r="1925" ht="14.25" customHeight="1">
      <c r="C1925" s="9" t="s">
        <v>111</v>
      </c>
      <c r="D1925" s="9" t="s">
        <v>3077</v>
      </c>
      <c r="E1925" s="9" t="s">
        <v>3072</v>
      </c>
      <c r="F1925" s="9" t="s">
        <v>98</v>
      </c>
      <c r="H1925" s="9"/>
    </row>
    <row r="1926" ht="14.25" customHeight="1">
      <c r="C1926" s="9" t="s">
        <v>111</v>
      </c>
      <c r="D1926" s="9" t="s">
        <v>3077</v>
      </c>
      <c r="E1926" s="9" t="s">
        <v>3072</v>
      </c>
      <c r="F1926" s="9" t="s">
        <v>341</v>
      </c>
      <c r="H1926" s="9"/>
    </row>
    <row r="1927" ht="14.25" customHeight="1">
      <c r="C1927" s="9" t="s">
        <v>111</v>
      </c>
      <c r="D1927" s="9" t="s">
        <v>3077</v>
      </c>
      <c r="E1927" s="9" t="s">
        <v>3072</v>
      </c>
      <c r="F1927" s="9" t="s">
        <v>367</v>
      </c>
      <c r="H1927" s="9"/>
    </row>
    <row r="1928" ht="14.25" customHeight="1">
      <c r="C1928" s="9" t="s">
        <v>111</v>
      </c>
      <c r="D1928" s="9" t="s">
        <v>3077</v>
      </c>
      <c r="E1928" s="9" t="s">
        <v>3072</v>
      </c>
      <c r="F1928" s="9" t="s">
        <v>529</v>
      </c>
      <c r="H1928" s="9"/>
    </row>
    <row r="1929" ht="14.25" customHeight="1">
      <c r="C1929" s="9" t="s">
        <v>111</v>
      </c>
      <c r="D1929" s="9" t="s">
        <v>3077</v>
      </c>
      <c r="E1929" s="9" t="s">
        <v>3072</v>
      </c>
      <c r="F1929" s="9" t="s">
        <v>282</v>
      </c>
      <c r="H1929" s="9"/>
    </row>
    <row r="1930" ht="14.25" customHeight="1">
      <c r="C1930" s="9" t="s">
        <v>111</v>
      </c>
      <c r="D1930" s="9" t="s">
        <v>3077</v>
      </c>
      <c r="E1930" s="9" t="s">
        <v>3072</v>
      </c>
      <c r="F1930" s="9" t="s">
        <v>321</v>
      </c>
      <c r="H1930" s="9"/>
    </row>
    <row r="1931" ht="14.25" customHeight="1">
      <c r="C1931" s="9" t="s">
        <v>111</v>
      </c>
      <c r="D1931" s="9" t="s">
        <v>3077</v>
      </c>
      <c r="E1931" s="9" t="s">
        <v>3072</v>
      </c>
      <c r="F1931" s="9" t="s">
        <v>272</v>
      </c>
      <c r="H1931" s="9"/>
    </row>
    <row r="1932" ht="14.25" customHeight="1">
      <c r="C1932" s="9" t="s">
        <v>111</v>
      </c>
      <c r="D1932" s="9" t="s">
        <v>3077</v>
      </c>
      <c r="E1932" s="9" t="s">
        <v>3072</v>
      </c>
      <c r="F1932" s="9" t="s">
        <v>517</v>
      </c>
      <c r="H1932" s="9"/>
    </row>
    <row r="1933" ht="14.25" customHeight="1">
      <c r="C1933" s="9" t="s">
        <v>111</v>
      </c>
      <c r="D1933" s="9" t="s">
        <v>3077</v>
      </c>
      <c r="E1933" s="9" t="s">
        <v>3072</v>
      </c>
      <c r="F1933" s="9" t="s">
        <v>2593</v>
      </c>
      <c r="H1933" s="9"/>
    </row>
    <row r="1934" ht="14.25" customHeight="1">
      <c r="C1934" s="9" t="s">
        <v>111</v>
      </c>
      <c r="D1934" s="9" t="s">
        <v>3077</v>
      </c>
      <c r="E1934" s="9" t="s">
        <v>3072</v>
      </c>
      <c r="F1934" s="9" t="s">
        <v>507</v>
      </c>
      <c r="H1934" s="9"/>
    </row>
    <row r="1935" ht="14.25" customHeight="1">
      <c r="C1935" s="9" t="s">
        <v>111</v>
      </c>
      <c r="D1935" s="9" t="s">
        <v>3077</v>
      </c>
      <c r="E1935" s="9" t="s">
        <v>3072</v>
      </c>
      <c r="F1935" s="9" t="s">
        <v>336</v>
      </c>
      <c r="H1935" s="9"/>
    </row>
    <row r="1936" ht="14.25" customHeight="1">
      <c r="C1936" s="9" t="s">
        <v>111</v>
      </c>
      <c r="D1936" s="9" t="s">
        <v>3077</v>
      </c>
      <c r="E1936" s="9" t="s">
        <v>3072</v>
      </c>
      <c r="F1936" s="9" t="s">
        <v>235</v>
      </c>
      <c r="H1936" s="9"/>
    </row>
    <row r="1937" ht="14.25" customHeight="1">
      <c r="C1937" s="9" t="s">
        <v>111</v>
      </c>
      <c r="D1937" s="9" t="s">
        <v>3077</v>
      </c>
      <c r="E1937" s="9" t="s">
        <v>3072</v>
      </c>
      <c r="F1937" s="9" t="s">
        <v>327</v>
      </c>
      <c r="H1937" s="9"/>
    </row>
    <row r="1938" ht="14.25" customHeight="1">
      <c r="C1938" s="9" t="s">
        <v>111</v>
      </c>
      <c r="D1938" s="9" t="s">
        <v>3077</v>
      </c>
      <c r="E1938" s="9" t="s">
        <v>3072</v>
      </c>
      <c r="F1938" s="9" t="s">
        <v>264</v>
      </c>
      <c r="H1938" s="9"/>
    </row>
    <row r="1939" ht="14.25" customHeight="1">
      <c r="C1939" s="9" t="s">
        <v>111</v>
      </c>
      <c r="D1939" s="9" t="s">
        <v>3078</v>
      </c>
      <c r="E1939" s="9" t="s">
        <v>3072</v>
      </c>
      <c r="F1939" s="9" t="s">
        <v>474</v>
      </c>
      <c r="H1939" s="9"/>
    </row>
    <row r="1940" ht="14.25" customHeight="1">
      <c r="C1940" s="9" t="s">
        <v>111</v>
      </c>
      <c r="D1940" s="9" t="s">
        <v>3078</v>
      </c>
      <c r="E1940" s="9" t="s">
        <v>3072</v>
      </c>
      <c r="F1940" s="9" t="s">
        <v>284</v>
      </c>
      <c r="H1940" s="9"/>
    </row>
    <row r="1941" ht="14.25" customHeight="1">
      <c r="C1941" s="9" t="s">
        <v>111</v>
      </c>
      <c r="D1941" s="9" t="s">
        <v>3078</v>
      </c>
      <c r="E1941" s="9" t="s">
        <v>3072</v>
      </c>
      <c r="F1941" s="9" t="s">
        <v>493</v>
      </c>
      <c r="H1941" s="9"/>
    </row>
    <row r="1942" ht="14.25" customHeight="1">
      <c r="C1942" s="9" t="s">
        <v>111</v>
      </c>
      <c r="D1942" s="9" t="s">
        <v>3078</v>
      </c>
      <c r="E1942" s="9" t="s">
        <v>3072</v>
      </c>
      <c r="F1942" s="9" t="s">
        <v>450</v>
      </c>
      <c r="H1942" s="9"/>
    </row>
    <row r="1943" ht="14.25" customHeight="1">
      <c r="C1943" s="9" t="s">
        <v>111</v>
      </c>
      <c r="D1943" s="9" t="s">
        <v>3078</v>
      </c>
      <c r="E1943" s="9" t="s">
        <v>3072</v>
      </c>
      <c r="F1943" s="9" t="s">
        <v>395</v>
      </c>
      <c r="H1943" s="9"/>
    </row>
    <row r="1944" ht="14.25" customHeight="1">
      <c r="C1944" s="9" t="s">
        <v>111</v>
      </c>
      <c r="D1944" s="9" t="s">
        <v>3078</v>
      </c>
      <c r="E1944" s="9" t="s">
        <v>3072</v>
      </c>
      <c r="F1944" s="9" t="s">
        <v>276</v>
      </c>
      <c r="H1944" s="9"/>
    </row>
    <row r="1945" ht="14.25" customHeight="1">
      <c r="C1945" s="9" t="s">
        <v>111</v>
      </c>
      <c r="D1945" s="9" t="s">
        <v>3078</v>
      </c>
      <c r="E1945" s="9" t="s">
        <v>3072</v>
      </c>
      <c r="F1945" s="9" t="s">
        <v>431</v>
      </c>
      <c r="H1945" s="9"/>
    </row>
    <row r="1946" ht="14.25" customHeight="1">
      <c r="C1946" s="9" t="s">
        <v>111</v>
      </c>
      <c r="D1946" s="9" t="s">
        <v>3078</v>
      </c>
      <c r="E1946" s="9" t="s">
        <v>3072</v>
      </c>
      <c r="F1946" s="9" t="s">
        <v>1272</v>
      </c>
      <c r="H1946" s="9"/>
    </row>
    <row r="1947" ht="14.25" customHeight="1">
      <c r="C1947" s="9" t="s">
        <v>111</v>
      </c>
      <c r="D1947" s="9" t="s">
        <v>3078</v>
      </c>
      <c r="E1947" s="9" t="s">
        <v>3072</v>
      </c>
      <c r="F1947" s="9" t="s">
        <v>420</v>
      </c>
      <c r="H1947" s="9"/>
    </row>
    <row r="1948" ht="14.25" customHeight="1">
      <c r="C1948" s="9" t="s">
        <v>111</v>
      </c>
      <c r="D1948" s="9" t="s">
        <v>3078</v>
      </c>
      <c r="E1948" s="9" t="s">
        <v>3072</v>
      </c>
      <c r="F1948" s="9" t="s">
        <v>482</v>
      </c>
      <c r="H1948" s="9"/>
    </row>
    <row r="1949" ht="14.25" customHeight="1">
      <c r="C1949" s="9" t="s">
        <v>111</v>
      </c>
      <c r="D1949" s="9" t="s">
        <v>3078</v>
      </c>
      <c r="E1949" s="9" t="s">
        <v>3072</v>
      </c>
      <c r="F1949" s="9" t="s">
        <v>136</v>
      </c>
      <c r="H1949" s="9"/>
    </row>
    <row r="1950" ht="14.25" customHeight="1">
      <c r="C1950" s="9" t="s">
        <v>111</v>
      </c>
      <c r="D1950" s="9" t="s">
        <v>3078</v>
      </c>
      <c r="E1950" s="9" t="s">
        <v>3072</v>
      </c>
      <c r="F1950" s="9" t="s">
        <v>408</v>
      </c>
      <c r="H1950" s="9"/>
    </row>
    <row r="1951" ht="14.25" customHeight="1">
      <c r="C1951" s="9" t="s">
        <v>111</v>
      </c>
      <c r="D1951" s="9" t="s">
        <v>3078</v>
      </c>
      <c r="E1951" s="9" t="s">
        <v>3072</v>
      </c>
      <c r="F1951" s="9" t="s">
        <v>2589</v>
      </c>
      <c r="H1951" s="9"/>
    </row>
    <row r="1952" ht="14.25" customHeight="1">
      <c r="C1952" s="9" t="s">
        <v>111</v>
      </c>
      <c r="D1952" s="9" t="s">
        <v>3078</v>
      </c>
      <c r="E1952" s="9" t="s">
        <v>3072</v>
      </c>
      <c r="F1952" s="9" t="s">
        <v>197</v>
      </c>
      <c r="H1952" s="9"/>
    </row>
    <row r="1953" ht="14.25" customHeight="1">
      <c r="C1953" s="9" t="s">
        <v>111</v>
      </c>
      <c r="D1953" s="9" t="s">
        <v>3078</v>
      </c>
      <c r="E1953" s="9" t="s">
        <v>3072</v>
      </c>
      <c r="F1953" s="9" t="s">
        <v>172</v>
      </c>
      <c r="H1953" s="9"/>
    </row>
    <row r="1954" ht="14.25" customHeight="1">
      <c r="C1954" s="9" t="s">
        <v>111</v>
      </c>
      <c r="D1954" s="9" t="s">
        <v>3078</v>
      </c>
      <c r="E1954" s="9" t="s">
        <v>3072</v>
      </c>
      <c r="F1954" s="9" t="s">
        <v>98</v>
      </c>
      <c r="H1954" s="9"/>
    </row>
    <row r="1955" ht="14.25" customHeight="1">
      <c r="C1955" s="9" t="s">
        <v>111</v>
      </c>
      <c r="D1955" s="9" t="s">
        <v>3078</v>
      </c>
      <c r="E1955" s="9" t="s">
        <v>3072</v>
      </c>
      <c r="F1955" s="9" t="s">
        <v>341</v>
      </c>
      <c r="H1955" s="9"/>
    </row>
    <row r="1956" ht="14.25" customHeight="1">
      <c r="C1956" s="9" t="s">
        <v>111</v>
      </c>
      <c r="D1956" s="9" t="s">
        <v>3078</v>
      </c>
      <c r="E1956" s="9" t="s">
        <v>3072</v>
      </c>
      <c r="F1956" s="9" t="s">
        <v>367</v>
      </c>
      <c r="H1956" s="9"/>
    </row>
    <row r="1957" ht="14.25" customHeight="1">
      <c r="C1957" s="9" t="s">
        <v>111</v>
      </c>
      <c r="D1957" s="9" t="s">
        <v>3078</v>
      </c>
      <c r="E1957" s="9" t="s">
        <v>3072</v>
      </c>
      <c r="F1957" s="9" t="s">
        <v>529</v>
      </c>
      <c r="H1957" s="9"/>
    </row>
    <row r="1958" ht="14.25" customHeight="1">
      <c r="C1958" s="9" t="s">
        <v>111</v>
      </c>
      <c r="D1958" s="9" t="s">
        <v>3078</v>
      </c>
      <c r="E1958" s="9" t="s">
        <v>3072</v>
      </c>
      <c r="F1958" s="9" t="s">
        <v>282</v>
      </c>
      <c r="H1958" s="9"/>
    </row>
    <row r="1959" ht="14.25" customHeight="1">
      <c r="C1959" s="9" t="s">
        <v>111</v>
      </c>
      <c r="D1959" s="9" t="s">
        <v>3078</v>
      </c>
      <c r="E1959" s="9" t="s">
        <v>3072</v>
      </c>
      <c r="F1959" s="9" t="s">
        <v>321</v>
      </c>
      <c r="H1959" s="9"/>
    </row>
    <row r="1960" ht="14.25" customHeight="1">
      <c r="C1960" s="9" t="s">
        <v>111</v>
      </c>
      <c r="D1960" s="9" t="s">
        <v>3078</v>
      </c>
      <c r="E1960" s="9" t="s">
        <v>3072</v>
      </c>
      <c r="F1960" s="9" t="s">
        <v>272</v>
      </c>
      <c r="H1960" s="9"/>
    </row>
    <row r="1961" ht="14.25" customHeight="1">
      <c r="C1961" s="9" t="s">
        <v>111</v>
      </c>
      <c r="D1961" s="9" t="s">
        <v>3078</v>
      </c>
      <c r="E1961" s="9" t="s">
        <v>3072</v>
      </c>
      <c r="F1961" s="9" t="s">
        <v>517</v>
      </c>
      <c r="H1961" s="9"/>
    </row>
    <row r="1962" ht="14.25" customHeight="1">
      <c r="C1962" s="9" t="s">
        <v>111</v>
      </c>
      <c r="D1962" s="9" t="s">
        <v>3078</v>
      </c>
      <c r="E1962" s="9" t="s">
        <v>3072</v>
      </c>
      <c r="F1962" s="9" t="s">
        <v>2593</v>
      </c>
      <c r="H1962" s="9"/>
    </row>
    <row r="1963" ht="14.25" customHeight="1">
      <c r="C1963" s="9" t="s">
        <v>111</v>
      </c>
      <c r="D1963" s="9" t="s">
        <v>3078</v>
      </c>
      <c r="E1963" s="9" t="s">
        <v>3072</v>
      </c>
      <c r="F1963" s="9" t="s">
        <v>507</v>
      </c>
      <c r="H1963" s="9"/>
    </row>
    <row r="1964" ht="14.25" customHeight="1">
      <c r="C1964" s="9" t="s">
        <v>111</v>
      </c>
      <c r="D1964" s="9" t="s">
        <v>3078</v>
      </c>
      <c r="E1964" s="9" t="s">
        <v>3072</v>
      </c>
      <c r="F1964" s="9" t="s">
        <v>336</v>
      </c>
      <c r="H1964" s="9"/>
    </row>
    <row r="1965" ht="14.25" customHeight="1">
      <c r="C1965" s="9" t="s">
        <v>111</v>
      </c>
      <c r="D1965" s="9" t="s">
        <v>3078</v>
      </c>
      <c r="E1965" s="9" t="s">
        <v>3072</v>
      </c>
      <c r="F1965" s="9" t="s">
        <v>235</v>
      </c>
      <c r="H1965" s="9"/>
    </row>
    <row r="1966" ht="14.25" customHeight="1">
      <c r="C1966" s="9" t="s">
        <v>111</v>
      </c>
      <c r="D1966" s="9" t="s">
        <v>3078</v>
      </c>
      <c r="E1966" s="9" t="s">
        <v>3072</v>
      </c>
      <c r="F1966" s="9" t="s">
        <v>327</v>
      </c>
      <c r="H1966" s="9"/>
    </row>
    <row r="1967" ht="14.25" customHeight="1">
      <c r="C1967" s="9" t="s">
        <v>111</v>
      </c>
      <c r="D1967" s="9" t="s">
        <v>3078</v>
      </c>
      <c r="E1967" s="9" t="s">
        <v>3072</v>
      </c>
      <c r="F1967" s="9" t="s">
        <v>264</v>
      </c>
      <c r="H1967" s="9"/>
    </row>
    <row r="1968" ht="14.25" customHeight="1">
      <c r="C1968" s="9" t="s">
        <v>111</v>
      </c>
      <c r="D1968" s="9" t="s">
        <v>3079</v>
      </c>
      <c r="E1968" s="9" t="s">
        <v>3072</v>
      </c>
      <c r="F1968" s="9" t="s">
        <v>474</v>
      </c>
      <c r="H1968" s="9"/>
    </row>
    <row r="1969" ht="14.25" customHeight="1">
      <c r="C1969" s="9" t="s">
        <v>111</v>
      </c>
      <c r="D1969" s="9" t="s">
        <v>3079</v>
      </c>
      <c r="E1969" s="9" t="s">
        <v>3072</v>
      </c>
      <c r="F1969" s="9" t="s">
        <v>284</v>
      </c>
      <c r="H1969" s="9"/>
    </row>
    <row r="1970" ht="14.25" customHeight="1">
      <c r="C1970" s="9" t="s">
        <v>111</v>
      </c>
      <c r="D1970" s="9" t="s">
        <v>3079</v>
      </c>
      <c r="E1970" s="9" t="s">
        <v>3072</v>
      </c>
      <c r="F1970" s="9" t="s">
        <v>493</v>
      </c>
      <c r="H1970" s="9"/>
    </row>
    <row r="1971" ht="14.25" customHeight="1">
      <c r="C1971" s="9" t="s">
        <v>111</v>
      </c>
      <c r="D1971" s="9" t="s">
        <v>3079</v>
      </c>
      <c r="E1971" s="9" t="s">
        <v>3072</v>
      </c>
      <c r="F1971" s="9" t="s">
        <v>450</v>
      </c>
      <c r="H1971" s="9"/>
    </row>
    <row r="1972" ht="14.25" customHeight="1">
      <c r="C1972" s="9" t="s">
        <v>111</v>
      </c>
      <c r="D1972" s="9" t="s">
        <v>3079</v>
      </c>
      <c r="E1972" s="9" t="s">
        <v>3072</v>
      </c>
      <c r="F1972" s="9" t="s">
        <v>395</v>
      </c>
      <c r="H1972" s="9"/>
    </row>
    <row r="1973" ht="14.25" customHeight="1">
      <c r="C1973" s="9" t="s">
        <v>111</v>
      </c>
      <c r="D1973" s="9" t="s">
        <v>3079</v>
      </c>
      <c r="E1973" s="9" t="s">
        <v>3072</v>
      </c>
      <c r="F1973" s="9" t="s">
        <v>276</v>
      </c>
      <c r="H1973" s="9"/>
    </row>
    <row r="1974" ht="14.25" customHeight="1">
      <c r="C1974" s="9" t="s">
        <v>111</v>
      </c>
      <c r="D1974" s="9" t="s">
        <v>3079</v>
      </c>
      <c r="E1974" s="9" t="s">
        <v>3072</v>
      </c>
      <c r="F1974" s="9" t="s">
        <v>431</v>
      </c>
      <c r="H1974" s="9"/>
    </row>
    <row r="1975" ht="14.25" customHeight="1">
      <c r="C1975" s="9" t="s">
        <v>111</v>
      </c>
      <c r="D1975" s="9" t="s">
        <v>3079</v>
      </c>
      <c r="E1975" s="9" t="s">
        <v>3072</v>
      </c>
      <c r="F1975" s="9" t="s">
        <v>375</v>
      </c>
      <c r="H1975" s="9"/>
    </row>
    <row r="1976" ht="14.25" customHeight="1">
      <c r="C1976" s="9" t="s">
        <v>111</v>
      </c>
      <c r="D1976" s="9" t="s">
        <v>3079</v>
      </c>
      <c r="E1976" s="9" t="s">
        <v>3072</v>
      </c>
      <c r="F1976" s="9" t="s">
        <v>420</v>
      </c>
      <c r="H1976" s="9"/>
    </row>
    <row r="1977" ht="14.25" customHeight="1">
      <c r="C1977" s="9" t="s">
        <v>111</v>
      </c>
      <c r="D1977" s="9" t="s">
        <v>3079</v>
      </c>
      <c r="E1977" s="9" t="s">
        <v>3072</v>
      </c>
      <c r="F1977" s="9" t="s">
        <v>482</v>
      </c>
      <c r="H1977" s="9"/>
    </row>
    <row r="1978" ht="14.25" customHeight="1">
      <c r="C1978" s="9" t="s">
        <v>111</v>
      </c>
      <c r="D1978" s="9" t="s">
        <v>3079</v>
      </c>
      <c r="E1978" s="9" t="s">
        <v>3072</v>
      </c>
      <c r="F1978" s="9" t="s">
        <v>136</v>
      </c>
      <c r="H1978" s="9"/>
    </row>
    <row r="1979" ht="14.25" customHeight="1">
      <c r="C1979" s="9" t="s">
        <v>111</v>
      </c>
      <c r="D1979" s="9" t="s">
        <v>3079</v>
      </c>
      <c r="E1979" s="9" t="s">
        <v>3072</v>
      </c>
      <c r="F1979" s="9" t="s">
        <v>408</v>
      </c>
      <c r="H1979" s="9"/>
    </row>
    <row r="1980" ht="14.25" customHeight="1">
      <c r="C1980" s="9" t="s">
        <v>111</v>
      </c>
      <c r="D1980" s="9" t="s">
        <v>3079</v>
      </c>
      <c r="E1980" s="9" t="s">
        <v>3072</v>
      </c>
      <c r="F1980" s="9" t="s">
        <v>197</v>
      </c>
      <c r="H1980" s="9"/>
    </row>
    <row r="1981" ht="14.25" customHeight="1">
      <c r="C1981" s="9" t="s">
        <v>111</v>
      </c>
      <c r="D1981" s="9" t="s">
        <v>3079</v>
      </c>
      <c r="E1981" s="9" t="s">
        <v>3072</v>
      </c>
      <c r="F1981" s="9" t="s">
        <v>172</v>
      </c>
      <c r="H1981" s="9"/>
    </row>
    <row r="1982" ht="14.25" customHeight="1">
      <c r="C1982" s="9" t="s">
        <v>111</v>
      </c>
      <c r="D1982" s="9" t="s">
        <v>3079</v>
      </c>
      <c r="E1982" s="9" t="s">
        <v>3072</v>
      </c>
      <c r="F1982" s="9" t="s">
        <v>98</v>
      </c>
      <c r="H1982" s="9"/>
    </row>
    <row r="1983" ht="14.25" customHeight="1">
      <c r="C1983" s="9" t="s">
        <v>111</v>
      </c>
      <c r="D1983" s="9" t="s">
        <v>3079</v>
      </c>
      <c r="E1983" s="9" t="s">
        <v>3072</v>
      </c>
      <c r="F1983" s="9" t="s">
        <v>15</v>
      </c>
      <c r="H1983" s="9"/>
    </row>
    <row r="1984" ht="14.25" customHeight="1">
      <c r="C1984" s="9" t="s">
        <v>111</v>
      </c>
      <c r="D1984" s="9" t="s">
        <v>3079</v>
      </c>
      <c r="E1984" s="9" t="s">
        <v>3072</v>
      </c>
      <c r="F1984" s="9" t="s">
        <v>341</v>
      </c>
      <c r="H1984" s="9"/>
    </row>
    <row r="1985" ht="14.25" customHeight="1">
      <c r="C1985" s="9" t="s">
        <v>111</v>
      </c>
      <c r="D1985" s="9" t="s">
        <v>3079</v>
      </c>
      <c r="E1985" s="9" t="s">
        <v>3072</v>
      </c>
      <c r="F1985" s="9" t="s">
        <v>367</v>
      </c>
      <c r="H1985" s="9"/>
    </row>
    <row r="1986" ht="14.25" customHeight="1">
      <c r="C1986" s="9" t="s">
        <v>111</v>
      </c>
      <c r="D1986" s="9" t="s">
        <v>3079</v>
      </c>
      <c r="E1986" s="9" t="s">
        <v>3072</v>
      </c>
      <c r="F1986" s="9" t="s">
        <v>529</v>
      </c>
      <c r="H1986" s="9"/>
    </row>
    <row r="1987" ht="14.25" customHeight="1">
      <c r="C1987" s="9" t="s">
        <v>111</v>
      </c>
      <c r="D1987" s="9" t="s">
        <v>3079</v>
      </c>
      <c r="E1987" s="9" t="s">
        <v>3072</v>
      </c>
      <c r="F1987" s="9" t="s">
        <v>282</v>
      </c>
      <c r="H1987" s="9"/>
    </row>
    <row r="1988" ht="14.25" customHeight="1">
      <c r="C1988" s="9" t="s">
        <v>111</v>
      </c>
      <c r="D1988" s="9" t="s">
        <v>3079</v>
      </c>
      <c r="E1988" s="9" t="s">
        <v>3072</v>
      </c>
      <c r="F1988" s="9" t="s">
        <v>321</v>
      </c>
      <c r="H1988" s="9"/>
    </row>
    <row r="1989" ht="14.25" customHeight="1">
      <c r="C1989" s="9" t="s">
        <v>111</v>
      </c>
      <c r="D1989" s="9" t="s">
        <v>3079</v>
      </c>
      <c r="E1989" s="9" t="s">
        <v>3072</v>
      </c>
      <c r="F1989" s="9" t="s">
        <v>479</v>
      </c>
      <c r="H1989" s="9"/>
    </row>
    <row r="1990" ht="14.25" customHeight="1">
      <c r="C1990" s="9" t="s">
        <v>111</v>
      </c>
      <c r="D1990" s="9" t="s">
        <v>3079</v>
      </c>
      <c r="E1990" s="9" t="s">
        <v>3072</v>
      </c>
      <c r="F1990" s="9" t="s">
        <v>517</v>
      </c>
      <c r="H1990" s="9"/>
    </row>
    <row r="1991" ht="14.25" customHeight="1">
      <c r="C1991" s="9" t="s">
        <v>111</v>
      </c>
      <c r="D1991" s="9" t="s">
        <v>3079</v>
      </c>
      <c r="E1991" s="9" t="s">
        <v>3072</v>
      </c>
      <c r="F1991" s="9" t="s">
        <v>2593</v>
      </c>
      <c r="H1991" s="9"/>
    </row>
    <row r="1992" ht="14.25" customHeight="1">
      <c r="C1992" s="9" t="s">
        <v>111</v>
      </c>
      <c r="D1992" s="9" t="s">
        <v>3079</v>
      </c>
      <c r="E1992" s="9" t="s">
        <v>3072</v>
      </c>
      <c r="F1992" s="9" t="s">
        <v>2972</v>
      </c>
      <c r="H1992" s="9"/>
    </row>
    <row r="1993" ht="14.25" customHeight="1">
      <c r="C1993" s="9" t="s">
        <v>111</v>
      </c>
      <c r="D1993" s="9" t="s">
        <v>3079</v>
      </c>
      <c r="E1993" s="9" t="s">
        <v>3072</v>
      </c>
      <c r="F1993" s="9" t="s">
        <v>336</v>
      </c>
      <c r="H1993" s="9"/>
    </row>
    <row r="1994" ht="14.25" customHeight="1">
      <c r="C1994" s="9" t="s">
        <v>111</v>
      </c>
      <c r="D1994" s="9" t="s">
        <v>3079</v>
      </c>
      <c r="E1994" s="9" t="s">
        <v>3072</v>
      </c>
      <c r="F1994" s="9" t="s">
        <v>235</v>
      </c>
      <c r="H1994" s="9"/>
    </row>
    <row r="1995" ht="14.25" customHeight="1">
      <c r="C1995" s="9" t="s">
        <v>111</v>
      </c>
      <c r="D1995" s="9" t="s">
        <v>3079</v>
      </c>
      <c r="E1995" s="9" t="s">
        <v>3072</v>
      </c>
      <c r="F1995" s="9" t="s">
        <v>2957</v>
      </c>
      <c r="H1995" s="9"/>
    </row>
    <row r="1996" ht="14.25" customHeight="1">
      <c r="C1996" s="9" t="s">
        <v>111</v>
      </c>
      <c r="D1996" s="9" t="s">
        <v>3079</v>
      </c>
      <c r="E1996" s="9" t="s">
        <v>3072</v>
      </c>
      <c r="F1996" s="9" t="s">
        <v>264</v>
      </c>
      <c r="H1996" s="9"/>
    </row>
    <row r="1997" ht="14.25" customHeight="1">
      <c r="C1997" s="9" t="s">
        <v>111</v>
      </c>
      <c r="D1997" s="9" t="s">
        <v>3080</v>
      </c>
      <c r="E1997" s="9" t="s">
        <v>3072</v>
      </c>
      <c r="F1997" s="9" t="s">
        <v>474</v>
      </c>
      <c r="H1997" s="9"/>
    </row>
    <row r="1998" ht="14.25" customHeight="1">
      <c r="C1998" s="9" t="s">
        <v>111</v>
      </c>
      <c r="D1998" s="9" t="s">
        <v>3080</v>
      </c>
      <c r="E1998" s="9" t="s">
        <v>3072</v>
      </c>
      <c r="F1998" s="9" t="s">
        <v>284</v>
      </c>
      <c r="H1998" s="9"/>
    </row>
    <row r="1999" ht="14.25" customHeight="1">
      <c r="C1999" s="9" t="s">
        <v>111</v>
      </c>
      <c r="D1999" s="9" t="s">
        <v>3080</v>
      </c>
      <c r="E1999" s="9" t="s">
        <v>3072</v>
      </c>
      <c r="F1999" s="9" t="s">
        <v>493</v>
      </c>
      <c r="H1999" s="9"/>
    </row>
    <row r="2000" ht="14.25" customHeight="1">
      <c r="C2000" s="9" t="s">
        <v>111</v>
      </c>
      <c r="D2000" s="9" t="s">
        <v>3080</v>
      </c>
      <c r="E2000" s="9" t="s">
        <v>3072</v>
      </c>
      <c r="F2000" s="9" t="s">
        <v>450</v>
      </c>
      <c r="H2000" s="9"/>
    </row>
    <row r="2001" ht="14.25" customHeight="1">
      <c r="C2001" s="9" t="s">
        <v>111</v>
      </c>
      <c r="D2001" s="9" t="s">
        <v>3080</v>
      </c>
      <c r="E2001" s="9" t="s">
        <v>3072</v>
      </c>
      <c r="F2001" s="9" t="s">
        <v>395</v>
      </c>
      <c r="H2001" s="9"/>
    </row>
    <row r="2002" ht="14.25" customHeight="1">
      <c r="C2002" s="9" t="s">
        <v>111</v>
      </c>
      <c r="D2002" s="9" t="s">
        <v>3080</v>
      </c>
      <c r="E2002" s="9" t="s">
        <v>3072</v>
      </c>
      <c r="F2002" s="9" t="s">
        <v>276</v>
      </c>
      <c r="H2002" s="9"/>
    </row>
    <row r="2003" ht="14.25" customHeight="1">
      <c r="C2003" s="9" t="s">
        <v>111</v>
      </c>
      <c r="D2003" s="9" t="s">
        <v>3080</v>
      </c>
      <c r="E2003" s="9" t="s">
        <v>3072</v>
      </c>
      <c r="F2003" s="9" t="s">
        <v>431</v>
      </c>
      <c r="H2003" s="9"/>
    </row>
    <row r="2004" ht="14.25" customHeight="1">
      <c r="C2004" s="9" t="s">
        <v>111</v>
      </c>
      <c r="D2004" s="9" t="s">
        <v>3080</v>
      </c>
      <c r="E2004" s="9" t="s">
        <v>3072</v>
      </c>
      <c r="F2004" s="9" t="s">
        <v>1272</v>
      </c>
      <c r="H2004" s="9"/>
    </row>
    <row r="2005" ht="14.25" customHeight="1">
      <c r="C2005" s="9" t="s">
        <v>111</v>
      </c>
      <c r="D2005" s="9" t="s">
        <v>3080</v>
      </c>
      <c r="E2005" s="9" t="s">
        <v>3072</v>
      </c>
      <c r="F2005" s="9" t="s">
        <v>420</v>
      </c>
      <c r="H2005" s="9"/>
    </row>
    <row r="2006" ht="14.25" customHeight="1">
      <c r="C2006" s="9" t="s">
        <v>111</v>
      </c>
      <c r="D2006" s="9" t="s">
        <v>3080</v>
      </c>
      <c r="E2006" s="9" t="s">
        <v>3072</v>
      </c>
      <c r="F2006" s="9" t="s">
        <v>482</v>
      </c>
      <c r="H2006" s="9"/>
    </row>
    <row r="2007" ht="14.25" customHeight="1">
      <c r="C2007" s="9" t="s">
        <v>111</v>
      </c>
      <c r="D2007" s="9" t="s">
        <v>3080</v>
      </c>
      <c r="E2007" s="9" t="s">
        <v>3072</v>
      </c>
      <c r="F2007" s="9" t="s">
        <v>136</v>
      </c>
      <c r="H2007" s="9"/>
    </row>
    <row r="2008" ht="14.25" customHeight="1">
      <c r="C2008" s="9" t="s">
        <v>111</v>
      </c>
      <c r="D2008" s="9" t="s">
        <v>3080</v>
      </c>
      <c r="E2008" s="9" t="s">
        <v>3072</v>
      </c>
      <c r="F2008" s="9" t="s">
        <v>408</v>
      </c>
      <c r="H2008" s="9"/>
    </row>
    <row r="2009" ht="14.25" customHeight="1">
      <c r="C2009" s="9" t="s">
        <v>111</v>
      </c>
      <c r="D2009" s="9" t="s">
        <v>3080</v>
      </c>
      <c r="E2009" s="9" t="s">
        <v>3072</v>
      </c>
      <c r="F2009" s="9" t="s">
        <v>2589</v>
      </c>
      <c r="H2009" s="9"/>
    </row>
    <row r="2010" ht="14.25" customHeight="1">
      <c r="C2010" s="9" t="s">
        <v>111</v>
      </c>
      <c r="D2010" s="9" t="s">
        <v>3080</v>
      </c>
      <c r="E2010" s="9" t="s">
        <v>3072</v>
      </c>
      <c r="F2010" s="9" t="s">
        <v>197</v>
      </c>
      <c r="H2010" s="9"/>
    </row>
    <row r="2011" ht="14.25" customHeight="1">
      <c r="C2011" s="9" t="s">
        <v>111</v>
      </c>
      <c r="D2011" s="9" t="s">
        <v>3080</v>
      </c>
      <c r="E2011" s="9" t="s">
        <v>3072</v>
      </c>
      <c r="F2011" s="9" t="s">
        <v>172</v>
      </c>
      <c r="H2011" s="9"/>
    </row>
    <row r="2012" ht="14.25" customHeight="1">
      <c r="C2012" s="9" t="s">
        <v>111</v>
      </c>
      <c r="D2012" s="9" t="s">
        <v>3080</v>
      </c>
      <c r="E2012" s="9" t="s">
        <v>3072</v>
      </c>
      <c r="F2012" s="9" t="s">
        <v>98</v>
      </c>
      <c r="H2012" s="9"/>
    </row>
    <row r="2013" ht="14.25" customHeight="1">
      <c r="C2013" s="9" t="s">
        <v>111</v>
      </c>
      <c r="D2013" s="9" t="s">
        <v>3080</v>
      </c>
      <c r="E2013" s="9" t="s">
        <v>3072</v>
      </c>
      <c r="F2013" s="9" t="s">
        <v>341</v>
      </c>
      <c r="H2013" s="9"/>
    </row>
    <row r="2014" ht="14.25" customHeight="1">
      <c r="C2014" s="9" t="s">
        <v>111</v>
      </c>
      <c r="D2014" s="9" t="s">
        <v>3080</v>
      </c>
      <c r="E2014" s="9" t="s">
        <v>3072</v>
      </c>
      <c r="F2014" s="9" t="s">
        <v>367</v>
      </c>
      <c r="H2014" s="9"/>
    </row>
    <row r="2015" ht="14.25" customHeight="1">
      <c r="C2015" s="9" t="s">
        <v>111</v>
      </c>
      <c r="D2015" s="9" t="s">
        <v>3080</v>
      </c>
      <c r="E2015" s="9" t="s">
        <v>3072</v>
      </c>
      <c r="F2015" s="9" t="s">
        <v>529</v>
      </c>
      <c r="H2015" s="9"/>
    </row>
    <row r="2016" ht="14.25" customHeight="1">
      <c r="C2016" s="9" t="s">
        <v>111</v>
      </c>
      <c r="D2016" s="9" t="s">
        <v>3080</v>
      </c>
      <c r="E2016" s="9" t="s">
        <v>3072</v>
      </c>
      <c r="F2016" s="9" t="s">
        <v>282</v>
      </c>
      <c r="H2016" s="9"/>
    </row>
    <row r="2017" ht="14.25" customHeight="1">
      <c r="C2017" s="9" t="s">
        <v>111</v>
      </c>
      <c r="D2017" s="9" t="s">
        <v>3080</v>
      </c>
      <c r="E2017" s="9" t="s">
        <v>3072</v>
      </c>
      <c r="F2017" s="9" t="s">
        <v>321</v>
      </c>
      <c r="H2017" s="9"/>
    </row>
    <row r="2018" ht="14.25" customHeight="1">
      <c r="C2018" s="9" t="s">
        <v>111</v>
      </c>
      <c r="D2018" s="9" t="s">
        <v>3080</v>
      </c>
      <c r="E2018" s="9" t="s">
        <v>3072</v>
      </c>
      <c r="F2018" s="9" t="s">
        <v>272</v>
      </c>
      <c r="H2018" s="9"/>
    </row>
    <row r="2019" ht="14.25" customHeight="1">
      <c r="C2019" s="9" t="s">
        <v>111</v>
      </c>
      <c r="D2019" s="9" t="s">
        <v>3080</v>
      </c>
      <c r="E2019" s="9" t="s">
        <v>3072</v>
      </c>
      <c r="F2019" s="9" t="s">
        <v>517</v>
      </c>
      <c r="H2019" s="9"/>
    </row>
    <row r="2020" ht="14.25" customHeight="1">
      <c r="C2020" s="9" t="s">
        <v>111</v>
      </c>
      <c r="D2020" s="9" t="s">
        <v>3080</v>
      </c>
      <c r="E2020" s="9" t="s">
        <v>3072</v>
      </c>
      <c r="F2020" s="9" t="s">
        <v>2593</v>
      </c>
      <c r="H2020" s="9"/>
    </row>
    <row r="2021" ht="14.25" customHeight="1">
      <c r="C2021" s="9" t="s">
        <v>111</v>
      </c>
      <c r="D2021" s="9" t="s">
        <v>3080</v>
      </c>
      <c r="E2021" s="9" t="s">
        <v>3072</v>
      </c>
      <c r="F2021" s="9" t="s">
        <v>507</v>
      </c>
      <c r="H2021" s="9"/>
    </row>
    <row r="2022" ht="14.25" customHeight="1">
      <c r="C2022" s="9" t="s">
        <v>111</v>
      </c>
      <c r="D2022" s="9" t="s">
        <v>3080</v>
      </c>
      <c r="E2022" s="9" t="s">
        <v>3072</v>
      </c>
      <c r="F2022" s="9" t="s">
        <v>336</v>
      </c>
      <c r="H2022" s="9"/>
    </row>
    <row r="2023" ht="14.25" customHeight="1">
      <c r="C2023" s="9" t="s">
        <v>111</v>
      </c>
      <c r="D2023" s="9" t="s">
        <v>3080</v>
      </c>
      <c r="E2023" s="9" t="s">
        <v>3072</v>
      </c>
      <c r="F2023" s="9" t="s">
        <v>235</v>
      </c>
      <c r="H2023" s="9"/>
    </row>
    <row r="2024" ht="14.25" customHeight="1">
      <c r="C2024" s="9" t="s">
        <v>111</v>
      </c>
      <c r="D2024" s="9" t="s">
        <v>3080</v>
      </c>
      <c r="E2024" s="9" t="s">
        <v>3072</v>
      </c>
      <c r="F2024" s="9" t="s">
        <v>327</v>
      </c>
      <c r="H2024" s="9"/>
    </row>
    <row r="2025" ht="14.25" customHeight="1">
      <c r="C2025" s="9" t="s">
        <v>111</v>
      </c>
      <c r="D2025" s="9" t="s">
        <v>3080</v>
      </c>
      <c r="E2025" s="9" t="s">
        <v>3072</v>
      </c>
      <c r="F2025" s="9" t="s">
        <v>264</v>
      </c>
      <c r="H2025" s="9"/>
    </row>
    <row r="2026" ht="14.25" customHeight="1">
      <c r="C2026" s="9" t="s">
        <v>3081</v>
      </c>
      <c r="D2026" s="9" t="s">
        <v>3081</v>
      </c>
      <c r="E2026" s="9" t="s">
        <v>3072</v>
      </c>
      <c r="F2026" s="9" t="s">
        <v>474</v>
      </c>
      <c r="H2026" s="9"/>
    </row>
    <row r="2027" ht="14.25" customHeight="1">
      <c r="C2027" s="9" t="s">
        <v>3081</v>
      </c>
      <c r="D2027" s="9" t="s">
        <v>3081</v>
      </c>
      <c r="E2027" s="9" t="s">
        <v>3072</v>
      </c>
      <c r="F2027" s="9" t="s">
        <v>284</v>
      </c>
      <c r="H2027" s="9"/>
    </row>
    <row r="2028" ht="14.25" customHeight="1">
      <c r="C2028" s="9" t="s">
        <v>3081</v>
      </c>
      <c r="D2028" s="9" t="s">
        <v>3081</v>
      </c>
      <c r="E2028" s="9" t="s">
        <v>3072</v>
      </c>
      <c r="F2028" s="9" t="s">
        <v>493</v>
      </c>
      <c r="H2028" s="9"/>
    </row>
    <row r="2029" ht="14.25" customHeight="1">
      <c r="C2029" s="9" t="s">
        <v>3081</v>
      </c>
      <c r="D2029" s="9" t="s">
        <v>3081</v>
      </c>
      <c r="E2029" s="9" t="s">
        <v>3072</v>
      </c>
      <c r="F2029" s="9" t="s">
        <v>450</v>
      </c>
      <c r="H2029" s="9"/>
    </row>
    <row r="2030" ht="14.25" customHeight="1">
      <c r="C2030" s="9" t="s">
        <v>3081</v>
      </c>
      <c r="D2030" s="9" t="s">
        <v>3081</v>
      </c>
      <c r="E2030" s="9" t="s">
        <v>3072</v>
      </c>
      <c r="F2030" s="9" t="s">
        <v>395</v>
      </c>
      <c r="H2030" s="9"/>
    </row>
    <row r="2031" ht="14.25" customHeight="1">
      <c r="C2031" s="9" t="s">
        <v>3081</v>
      </c>
      <c r="D2031" s="9" t="s">
        <v>3081</v>
      </c>
      <c r="E2031" s="9" t="s">
        <v>3072</v>
      </c>
      <c r="F2031" s="9" t="s">
        <v>276</v>
      </c>
      <c r="H2031" s="9"/>
    </row>
    <row r="2032" ht="14.25" customHeight="1">
      <c r="C2032" s="9" t="s">
        <v>3081</v>
      </c>
      <c r="D2032" s="9" t="s">
        <v>3081</v>
      </c>
      <c r="E2032" s="9" t="s">
        <v>3072</v>
      </c>
      <c r="F2032" s="9" t="s">
        <v>431</v>
      </c>
      <c r="H2032" s="9"/>
    </row>
    <row r="2033" ht="14.25" customHeight="1">
      <c r="C2033" s="9" t="s">
        <v>3081</v>
      </c>
      <c r="D2033" s="9" t="s">
        <v>3081</v>
      </c>
      <c r="E2033" s="9" t="s">
        <v>3072</v>
      </c>
      <c r="F2033" s="9" t="s">
        <v>1272</v>
      </c>
      <c r="H2033" s="9"/>
    </row>
    <row r="2034" ht="14.25" customHeight="1">
      <c r="C2034" s="9" t="s">
        <v>3081</v>
      </c>
      <c r="D2034" s="9" t="s">
        <v>3081</v>
      </c>
      <c r="E2034" s="9" t="s">
        <v>3072</v>
      </c>
      <c r="F2034" s="9" t="s">
        <v>420</v>
      </c>
      <c r="H2034" s="9"/>
    </row>
    <row r="2035" ht="14.25" customHeight="1">
      <c r="C2035" s="9" t="s">
        <v>3081</v>
      </c>
      <c r="D2035" s="9" t="s">
        <v>3081</v>
      </c>
      <c r="E2035" s="9" t="s">
        <v>3072</v>
      </c>
      <c r="F2035" s="9" t="s">
        <v>482</v>
      </c>
      <c r="H2035" s="9"/>
    </row>
    <row r="2036" ht="14.25" customHeight="1">
      <c r="C2036" s="9" t="s">
        <v>3081</v>
      </c>
      <c r="D2036" s="9" t="s">
        <v>3081</v>
      </c>
      <c r="E2036" s="9" t="s">
        <v>3072</v>
      </c>
      <c r="F2036" s="9" t="s">
        <v>136</v>
      </c>
      <c r="H2036" s="9"/>
    </row>
    <row r="2037" ht="14.25" customHeight="1">
      <c r="C2037" s="9" t="s">
        <v>3081</v>
      </c>
      <c r="D2037" s="9" t="s">
        <v>3081</v>
      </c>
      <c r="E2037" s="9" t="s">
        <v>3072</v>
      </c>
      <c r="F2037" s="9" t="s">
        <v>408</v>
      </c>
      <c r="H2037" s="9"/>
    </row>
    <row r="2038" ht="14.25" customHeight="1">
      <c r="C2038" s="9" t="s">
        <v>3081</v>
      </c>
      <c r="D2038" s="9" t="s">
        <v>3081</v>
      </c>
      <c r="E2038" s="9" t="s">
        <v>3072</v>
      </c>
      <c r="F2038" s="9" t="s">
        <v>2589</v>
      </c>
      <c r="H2038" s="9"/>
    </row>
    <row r="2039" ht="14.25" customHeight="1">
      <c r="C2039" s="9" t="s">
        <v>3081</v>
      </c>
      <c r="D2039" s="9" t="s">
        <v>3081</v>
      </c>
      <c r="E2039" s="9" t="s">
        <v>3072</v>
      </c>
      <c r="F2039" s="9" t="s">
        <v>197</v>
      </c>
      <c r="H2039" s="9"/>
    </row>
    <row r="2040" ht="14.25" customHeight="1">
      <c r="C2040" s="9" t="s">
        <v>3081</v>
      </c>
      <c r="D2040" s="9" t="s">
        <v>3081</v>
      </c>
      <c r="E2040" s="9" t="s">
        <v>3072</v>
      </c>
      <c r="F2040" s="9" t="s">
        <v>172</v>
      </c>
      <c r="H2040" s="9"/>
    </row>
    <row r="2041" ht="14.25" customHeight="1">
      <c r="C2041" s="9" t="s">
        <v>3081</v>
      </c>
      <c r="D2041" s="9" t="s">
        <v>3081</v>
      </c>
      <c r="E2041" s="9" t="s">
        <v>3072</v>
      </c>
      <c r="F2041" s="9" t="s">
        <v>98</v>
      </c>
      <c r="H2041" s="9"/>
    </row>
    <row r="2042" ht="14.25" customHeight="1">
      <c r="C2042" s="9" t="s">
        <v>3081</v>
      </c>
      <c r="D2042" s="9" t="s">
        <v>3081</v>
      </c>
      <c r="E2042" s="9" t="s">
        <v>3072</v>
      </c>
      <c r="F2042" s="9" t="s">
        <v>341</v>
      </c>
      <c r="H2042" s="9"/>
    </row>
    <row r="2043" ht="14.25" customHeight="1">
      <c r="C2043" s="9" t="s">
        <v>3081</v>
      </c>
      <c r="D2043" s="9" t="s">
        <v>3081</v>
      </c>
      <c r="E2043" s="9" t="s">
        <v>3072</v>
      </c>
      <c r="F2043" s="9" t="s">
        <v>367</v>
      </c>
      <c r="H2043" s="9"/>
    </row>
    <row r="2044" ht="14.25" customHeight="1">
      <c r="C2044" s="9" t="s">
        <v>3081</v>
      </c>
      <c r="D2044" s="9" t="s">
        <v>3081</v>
      </c>
      <c r="E2044" s="9" t="s">
        <v>3072</v>
      </c>
      <c r="F2044" s="9" t="s">
        <v>529</v>
      </c>
      <c r="H2044" s="9"/>
    </row>
    <row r="2045" ht="14.25" customHeight="1">
      <c r="C2045" s="9" t="s">
        <v>3081</v>
      </c>
      <c r="D2045" s="9" t="s">
        <v>3081</v>
      </c>
      <c r="E2045" s="9" t="s">
        <v>3072</v>
      </c>
      <c r="F2045" s="9" t="s">
        <v>282</v>
      </c>
      <c r="H2045" s="9"/>
    </row>
    <row r="2046" ht="14.25" customHeight="1">
      <c r="C2046" s="9" t="s">
        <v>3081</v>
      </c>
      <c r="D2046" s="9" t="s">
        <v>3081</v>
      </c>
      <c r="E2046" s="9" t="s">
        <v>3072</v>
      </c>
      <c r="F2046" s="9" t="s">
        <v>321</v>
      </c>
      <c r="H2046" s="9"/>
    </row>
    <row r="2047" ht="14.25" customHeight="1">
      <c r="C2047" s="9" t="s">
        <v>3081</v>
      </c>
      <c r="D2047" s="9" t="s">
        <v>3081</v>
      </c>
      <c r="E2047" s="9" t="s">
        <v>3072</v>
      </c>
      <c r="F2047" s="9" t="s">
        <v>272</v>
      </c>
      <c r="H2047" s="9"/>
    </row>
    <row r="2048" ht="14.25" customHeight="1">
      <c r="C2048" s="9" t="s">
        <v>3081</v>
      </c>
      <c r="D2048" s="9" t="s">
        <v>3081</v>
      </c>
      <c r="E2048" s="9" t="s">
        <v>3072</v>
      </c>
      <c r="F2048" s="9" t="s">
        <v>517</v>
      </c>
      <c r="H2048" s="9"/>
    </row>
    <row r="2049" ht="14.25" customHeight="1">
      <c r="C2049" s="9" t="s">
        <v>3081</v>
      </c>
      <c r="D2049" s="9" t="s">
        <v>3081</v>
      </c>
      <c r="E2049" s="9" t="s">
        <v>3072</v>
      </c>
      <c r="F2049" s="9" t="s">
        <v>2593</v>
      </c>
      <c r="H2049" s="9"/>
    </row>
    <row r="2050" ht="14.25" customHeight="1">
      <c r="C2050" s="9" t="s">
        <v>3081</v>
      </c>
      <c r="D2050" s="9" t="s">
        <v>3081</v>
      </c>
      <c r="E2050" s="9" t="s">
        <v>3072</v>
      </c>
      <c r="F2050" s="9" t="s">
        <v>507</v>
      </c>
      <c r="H2050" s="9"/>
    </row>
    <row r="2051" ht="14.25" customHeight="1">
      <c r="C2051" s="9" t="s">
        <v>3081</v>
      </c>
      <c r="D2051" s="9" t="s">
        <v>3081</v>
      </c>
      <c r="E2051" s="9" t="s">
        <v>3072</v>
      </c>
      <c r="F2051" s="9" t="s">
        <v>336</v>
      </c>
      <c r="H2051" s="9"/>
    </row>
    <row r="2052" ht="14.25" customHeight="1">
      <c r="C2052" s="9" t="s">
        <v>3081</v>
      </c>
      <c r="D2052" s="9" t="s">
        <v>3081</v>
      </c>
      <c r="E2052" s="9" t="s">
        <v>3072</v>
      </c>
      <c r="F2052" s="9" t="s">
        <v>235</v>
      </c>
      <c r="H2052" s="9"/>
    </row>
    <row r="2053" ht="14.25" customHeight="1">
      <c r="C2053" s="9" t="s">
        <v>3081</v>
      </c>
      <c r="D2053" s="9" t="s">
        <v>3081</v>
      </c>
      <c r="E2053" s="9" t="s">
        <v>3072</v>
      </c>
      <c r="F2053" s="9" t="s">
        <v>327</v>
      </c>
      <c r="H2053" s="9"/>
    </row>
    <row r="2054" ht="14.25" customHeight="1">
      <c r="C2054" s="9" t="s">
        <v>3081</v>
      </c>
      <c r="D2054" s="9" t="s">
        <v>3081</v>
      </c>
      <c r="E2054" s="9" t="s">
        <v>3072</v>
      </c>
      <c r="F2054" s="9" t="s">
        <v>264</v>
      </c>
      <c r="H2054" s="9"/>
    </row>
    <row r="2055" ht="14.25" customHeight="1">
      <c r="C2055" s="9" t="s">
        <v>875</v>
      </c>
      <c r="D2055" s="9" t="s">
        <v>875</v>
      </c>
      <c r="E2055" s="9" t="s">
        <v>3072</v>
      </c>
      <c r="F2055" s="9" t="s">
        <v>493</v>
      </c>
      <c r="H2055" s="9"/>
    </row>
    <row r="2056" ht="14.25" customHeight="1">
      <c r="C2056" s="9" t="s">
        <v>875</v>
      </c>
      <c r="D2056" s="9" t="s">
        <v>875</v>
      </c>
      <c r="E2056" s="9" t="s">
        <v>3072</v>
      </c>
      <c r="F2056" s="9" t="s">
        <v>1362</v>
      </c>
      <c r="H2056" s="9"/>
    </row>
    <row r="2057" ht="14.25" customHeight="1">
      <c r="C2057" s="9" t="s">
        <v>875</v>
      </c>
      <c r="D2057" s="9" t="s">
        <v>875</v>
      </c>
      <c r="E2057" s="9" t="s">
        <v>3072</v>
      </c>
      <c r="F2057" s="9" t="s">
        <v>2970</v>
      </c>
      <c r="H2057" s="9"/>
    </row>
    <row r="2058" ht="14.25" customHeight="1">
      <c r="C2058" s="9" t="s">
        <v>875</v>
      </c>
      <c r="D2058" s="9" t="s">
        <v>875</v>
      </c>
      <c r="E2058" s="9" t="s">
        <v>3072</v>
      </c>
      <c r="F2058" s="9" t="s">
        <v>3026</v>
      </c>
      <c r="H2058" s="9"/>
    </row>
    <row r="2059" ht="14.25" customHeight="1">
      <c r="C2059" s="9" t="s">
        <v>875</v>
      </c>
      <c r="D2059" s="9" t="s">
        <v>875</v>
      </c>
      <c r="E2059" s="9" t="s">
        <v>3072</v>
      </c>
      <c r="F2059" s="9" t="s">
        <v>2971</v>
      </c>
      <c r="H2059" s="9"/>
    </row>
    <row r="2060" ht="14.25" customHeight="1">
      <c r="C2060" s="9" t="s">
        <v>875</v>
      </c>
      <c r="D2060" s="9" t="s">
        <v>875</v>
      </c>
      <c r="E2060" s="9" t="s">
        <v>3072</v>
      </c>
      <c r="F2060" s="9" t="s">
        <v>1364</v>
      </c>
      <c r="H2060" s="9"/>
    </row>
    <row r="2061" ht="14.25" customHeight="1">
      <c r="C2061" s="9" t="s">
        <v>875</v>
      </c>
      <c r="D2061" s="9" t="s">
        <v>875</v>
      </c>
      <c r="E2061" s="9" t="s">
        <v>3072</v>
      </c>
      <c r="F2061" s="9" t="s">
        <v>3027</v>
      </c>
      <c r="H2061" s="9"/>
    </row>
    <row r="2062" ht="14.25" customHeight="1">
      <c r="C2062" s="9" t="s">
        <v>875</v>
      </c>
      <c r="D2062" s="9" t="s">
        <v>875</v>
      </c>
      <c r="E2062" s="9" t="s">
        <v>3072</v>
      </c>
      <c r="F2062" s="9" t="s">
        <v>136</v>
      </c>
      <c r="H2062" s="9"/>
    </row>
    <row r="2063" ht="14.25" customHeight="1">
      <c r="C2063" s="9" t="s">
        <v>875</v>
      </c>
      <c r="D2063" s="9" t="s">
        <v>875</v>
      </c>
      <c r="E2063" s="9" t="s">
        <v>3072</v>
      </c>
      <c r="F2063" s="9" t="s">
        <v>3028</v>
      </c>
      <c r="H2063" s="9"/>
    </row>
    <row r="2064" ht="14.25" customHeight="1">
      <c r="C2064" s="9" t="s">
        <v>875</v>
      </c>
      <c r="D2064" s="9" t="s">
        <v>875</v>
      </c>
      <c r="E2064" s="9" t="s">
        <v>3072</v>
      </c>
      <c r="F2064" s="9" t="s">
        <v>1365</v>
      </c>
      <c r="H2064" s="9"/>
    </row>
    <row r="2065" ht="14.25" customHeight="1">
      <c r="C2065" s="9" t="s">
        <v>875</v>
      </c>
      <c r="D2065" s="9" t="s">
        <v>875</v>
      </c>
      <c r="E2065" s="9" t="s">
        <v>3072</v>
      </c>
      <c r="F2065" s="9" t="s">
        <v>1360</v>
      </c>
      <c r="H2065" s="9"/>
    </row>
    <row r="2066" ht="14.25" customHeight="1">
      <c r="C2066" s="9" t="s">
        <v>875</v>
      </c>
      <c r="D2066" s="9" t="s">
        <v>875</v>
      </c>
      <c r="E2066" s="9" t="s">
        <v>3072</v>
      </c>
      <c r="F2066" s="9" t="s">
        <v>2301</v>
      </c>
      <c r="H2066" s="9"/>
    </row>
    <row r="2067" ht="14.25" customHeight="1">
      <c r="C2067" s="9" t="s">
        <v>875</v>
      </c>
      <c r="D2067" s="9" t="s">
        <v>875</v>
      </c>
      <c r="E2067" s="9" t="s">
        <v>3072</v>
      </c>
      <c r="F2067" s="9" t="s">
        <v>1359</v>
      </c>
      <c r="H2067" s="9"/>
    </row>
    <row r="2068" ht="14.25" customHeight="1">
      <c r="C2068" s="9" t="s">
        <v>875</v>
      </c>
      <c r="D2068" s="9" t="s">
        <v>875</v>
      </c>
      <c r="E2068" s="9" t="s">
        <v>3072</v>
      </c>
      <c r="F2068" s="9" t="s">
        <v>172</v>
      </c>
      <c r="H2068" s="9"/>
    </row>
    <row r="2069" ht="14.25" customHeight="1">
      <c r="C2069" s="9" t="s">
        <v>875</v>
      </c>
      <c r="D2069" s="9" t="s">
        <v>875</v>
      </c>
      <c r="E2069" s="9" t="s">
        <v>3072</v>
      </c>
      <c r="F2069" s="9" t="s">
        <v>98</v>
      </c>
      <c r="H2069" s="9"/>
    </row>
    <row r="2070" ht="14.25" customHeight="1">
      <c r="C2070" s="9" t="s">
        <v>875</v>
      </c>
      <c r="D2070" s="9" t="s">
        <v>875</v>
      </c>
      <c r="E2070" s="9" t="s">
        <v>3072</v>
      </c>
      <c r="F2070" s="9" t="s">
        <v>341</v>
      </c>
      <c r="H2070" s="9"/>
    </row>
    <row r="2071" ht="14.25" customHeight="1">
      <c r="C2071" s="9" t="s">
        <v>875</v>
      </c>
      <c r="D2071" s="9" t="s">
        <v>875</v>
      </c>
      <c r="E2071" s="9" t="s">
        <v>3072</v>
      </c>
      <c r="F2071" s="9" t="s">
        <v>529</v>
      </c>
      <c r="H2071" s="9"/>
    </row>
    <row r="2072" ht="14.25" customHeight="1">
      <c r="C2072" s="9" t="s">
        <v>875</v>
      </c>
      <c r="D2072" s="9" t="s">
        <v>875</v>
      </c>
      <c r="E2072" s="9" t="s">
        <v>3072</v>
      </c>
      <c r="F2072" s="9" t="s">
        <v>3029</v>
      </c>
      <c r="H2072" s="9"/>
    </row>
    <row r="2073" ht="14.25" customHeight="1">
      <c r="C2073" s="9" t="s">
        <v>875</v>
      </c>
      <c r="D2073" s="9" t="s">
        <v>875</v>
      </c>
      <c r="E2073" s="9" t="s">
        <v>3072</v>
      </c>
      <c r="F2073" s="9" t="s">
        <v>321</v>
      </c>
      <c r="H2073" s="9"/>
    </row>
    <row r="2074" ht="14.25" customHeight="1">
      <c r="C2074" s="9" t="s">
        <v>875</v>
      </c>
      <c r="D2074" s="9" t="s">
        <v>875</v>
      </c>
      <c r="E2074" s="9" t="s">
        <v>3072</v>
      </c>
      <c r="F2074" s="9" t="s">
        <v>1356</v>
      </c>
      <c r="H2074" s="9"/>
    </row>
    <row r="2075" ht="14.25" customHeight="1">
      <c r="C2075" s="9" t="s">
        <v>875</v>
      </c>
      <c r="D2075" s="9" t="s">
        <v>875</v>
      </c>
      <c r="E2075" s="9" t="s">
        <v>3072</v>
      </c>
      <c r="F2075" s="9" t="s">
        <v>517</v>
      </c>
      <c r="H2075" s="9"/>
    </row>
    <row r="2076" ht="14.25" customHeight="1">
      <c r="C2076" s="9" t="s">
        <v>875</v>
      </c>
      <c r="D2076" s="9" t="s">
        <v>875</v>
      </c>
      <c r="E2076" s="9" t="s">
        <v>3072</v>
      </c>
      <c r="F2076" s="9" t="s">
        <v>2309</v>
      </c>
      <c r="H2076" s="9"/>
    </row>
    <row r="2077" ht="14.25" customHeight="1">
      <c r="C2077" s="9" t="s">
        <v>875</v>
      </c>
      <c r="D2077" s="9" t="s">
        <v>875</v>
      </c>
      <c r="E2077" s="9" t="s">
        <v>3072</v>
      </c>
      <c r="F2077" s="9" t="s">
        <v>2972</v>
      </c>
      <c r="H2077" s="9"/>
    </row>
    <row r="2078" ht="14.25" customHeight="1">
      <c r="C2078" s="9" t="s">
        <v>875</v>
      </c>
      <c r="D2078" s="9" t="s">
        <v>875</v>
      </c>
      <c r="E2078" s="9" t="s">
        <v>3072</v>
      </c>
      <c r="F2078" s="9" t="s">
        <v>2973</v>
      </c>
      <c r="H2078" s="9"/>
    </row>
    <row r="2079" ht="14.25" customHeight="1">
      <c r="C2079" s="9" t="s">
        <v>1386</v>
      </c>
      <c r="D2079" s="9" t="s">
        <v>3082</v>
      </c>
      <c r="E2079" s="9" t="s">
        <v>3072</v>
      </c>
      <c r="F2079" s="9" t="s">
        <v>474</v>
      </c>
      <c r="H2079" s="9"/>
    </row>
    <row r="2080" ht="14.25" customHeight="1">
      <c r="C2080" s="9" t="s">
        <v>1386</v>
      </c>
      <c r="D2080" s="9" t="s">
        <v>3082</v>
      </c>
      <c r="E2080" s="9" t="s">
        <v>3072</v>
      </c>
      <c r="F2080" s="9" t="s">
        <v>284</v>
      </c>
      <c r="H2080" s="9"/>
    </row>
    <row r="2081" ht="14.25" customHeight="1">
      <c r="C2081" s="9" t="s">
        <v>1386</v>
      </c>
      <c r="D2081" s="9" t="s">
        <v>3082</v>
      </c>
      <c r="E2081" s="9" t="s">
        <v>3072</v>
      </c>
      <c r="F2081" s="9" t="s">
        <v>493</v>
      </c>
      <c r="H2081" s="9"/>
    </row>
    <row r="2082" ht="14.25" customHeight="1">
      <c r="C2082" s="9" t="s">
        <v>1386</v>
      </c>
      <c r="D2082" s="9" t="s">
        <v>3082</v>
      </c>
      <c r="E2082" s="9" t="s">
        <v>3072</v>
      </c>
      <c r="F2082" s="9" t="s">
        <v>450</v>
      </c>
      <c r="H2082" s="9"/>
    </row>
    <row r="2083" ht="14.25" customHeight="1">
      <c r="C2083" s="9" t="s">
        <v>1386</v>
      </c>
      <c r="D2083" s="9" t="s">
        <v>3082</v>
      </c>
      <c r="E2083" s="9" t="s">
        <v>3072</v>
      </c>
      <c r="F2083" s="9" t="s">
        <v>395</v>
      </c>
      <c r="H2083" s="9"/>
    </row>
    <row r="2084" ht="14.25" customHeight="1">
      <c r="C2084" s="9" t="s">
        <v>1386</v>
      </c>
      <c r="D2084" s="9" t="s">
        <v>3082</v>
      </c>
      <c r="E2084" s="9" t="s">
        <v>3072</v>
      </c>
      <c r="F2084" s="9" t="s">
        <v>276</v>
      </c>
      <c r="H2084" s="9"/>
    </row>
    <row r="2085" ht="14.25" customHeight="1">
      <c r="C2085" s="9" t="s">
        <v>1386</v>
      </c>
      <c r="D2085" s="9" t="s">
        <v>3082</v>
      </c>
      <c r="E2085" s="9" t="s">
        <v>3072</v>
      </c>
      <c r="F2085" s="9" t="s">
        <v>431</v>
      </c>
      <c r="H2085" s="9"/>
    </row>
    <row r="2086" ht="14.25" customHeight="1">
      <c r="C2086" s="9" t="s">
        <v>1386</v>
      </c>
      <c r="D2086" s="9" t="s">
        <v>3082</v>
      </c>
      <c r="E2086" s="9" t="s">
        <v>3072</v>
      </c>
      <c r="F2086" s="9" t="s">
        <v>1272</v>
      </c>
      <c r="H2086" s="9"/>
    </row>
    <row r="2087" ht="14.25" customHeight="1">
      <c r="C2087" s="9" t="s">
        <v>1386</v>
      </c>
      <c r="D2087" s="9" t="s">
        <v>3082</v>
      </c>
      <c r="E2087" s="9" t="s">
        <v>3072</v>
      </c>
      <c r="F2087" s="9" t="s">
        <v>420</v>
      </c>
      <c r="H2087" s="9"/>
    </row>
    <row r="2088" ht="14.25" customHeight="1">
      <c r="C2088" s="9" t="s">
        <v>1386</v>
      </c>
      <c r="D2088" s="9" t="s">
        <v>3082</v>
      </c>
      <c r="E2088" s="9" t="s">
        <v>3072</v>
      </c>
      <c r="F2088" s="9" t="s">
        <v>482</v>
      </c>
      <c r="H2088" s="9"/>
    </row>
    <row r="2089" ht="14.25" customHeight="1">
      <c r="C2089" s="9" t="s">
        <v>1386</v>
      </c>
      <c r="D2089" s="9" t="s">
        <v>3082</v>
      </c>
      <c r="E2089" s="9" t="s">
        <v>3072</v>
      </c>
      <c r="F2089" s="9" t="s">
        <v>136</v>
      </c>
      <c r="H2089" s="9"/>
    </row>
    <row r="2090" ht="14.25" customHeight="1">
      <c r="C2090" s="9" t="s">
        <v>1386</v>
      </c>
      <c r="D2090" s="9" t="s">
        <v>3082</v>
      </c>
      <c r="E2090" s="9" t="s">
        <v>3072</v>
      </c>
      <c r="F2090" s="9" t="s">
        <v>408</v>
      </c>
      <c r="H2090" s="9"/>
    </row>
    <row r="2091" ht="14.25" customHeight="1">
      <c r="C2091" s="9" t="s">
        <v>1386</v>
      </c>
      <c r="D2091" s="9" t="s">
        <v>3082</v>
      </c>
      <c r="E2091" s="9" t="s">
        <v>3072</v>
      </c>
      <c r="F2091" s="9" t="s">
        <v>2589</v>
      </c>
      <c r="H2091" s="9"/>
    </row>
    <row r="2092" ht="14.25" customHeight="1">
      <c r="C2092" s="9" t="s">
        <v>1386</v>
      </c>
      <c r="D2092" s="9" t="s">
        <v>3082</v>
      </c>
      <c r="E2092" s="9" t="s">
        <v>3072</v>
      </c>
      <c r="F2092" s="9" t="s">
        <v>197</v>
      </c>
      <c r="H2092" s="9"/>
    </row>
    <row r="2093" ht="14.25" customHeight="1">
      <c r="C2093" s="9" t="s">
        <v>1386</v>
      </c>
      <c r="D2093" s="9" t="s">
        <v>3082</v>
      </c>
      <c r="E2093" s="9" t="s">
        <v>3072</v>
      </c>
      <c r="F2093" s="9" t="s">
        <v>172</v>
      </c>
      <c r="H2093" s="9"/>
    </row>
    <row r="2094" ht="14.25" customHeight="1">
      <c r="C2094" s="9" t="s">
        <v>1386</v>
      </c>
      <c r="D2094" s="9" t="s">
        <v>3082</v>
      </c>
      <c r="E2094" s="9" t="s">
        <v>3072</v>
      </c>
      <c r="F2094" s="9" t="s">
        <v>98</v>
      </c>
      <c r="H2094" s="9"/>
    </row>
    <row r="2095" ht="14.25" customHeight="1">
      <c r="C2095" s="9" t="s">
        <v>1386</v>
      </c>
      <c r="D2095" s="9" t="s">
        <v>3082</v>
      </c>
      <c r="E2095" s="9" t="s">
        <v>3072</v>
      </c>
      <c r="F2095" s="9" t="s">
        <v>341</v>
      </c>
      <c r="H2095" s="9"/>
    </row>
    <row r="2096" ht="14.25" customHeight="1">
      <c r="C2096" s="9" t="s">
        <v>1386</v>
      </c>
      <c r="D2096" s="9" t="s">
        <v>3082</v>
      </c>
      <c r="E2096" s="9" t="s">
        <v>3072</v>
      </c>
      <c r="F2096" s="9" t="s">
        <v>367</v>
      </c>
      <c r="H2096" s="9"/>
    </row>
    <row r="2097" ht="14.25" customHeight="1">
      <c r="C2097" s="9" t="s">
        <v>1386</v>
      </c>
      <c r="D2097" s="9" t="s">
        <v>3082</v>
      </c>
      <c r="E2097" s="9" t="s">
        <v>3072</v>
      </c>
      <c r="F2097" s="9" t="s">
        <v>529</v>
      </c>
      <c r="H2097" s="9"/>
    </row>
    <row r="2098" ht="14.25" customHeight="1">
      <c r="C2098" s="9" t="s">
        <v>1386</v>
      </c>
      <c r="D2098" s="9" t="s">
        <v>3082</v>
      </c>
      <c r="E2098" s="9" t="s">
        <v>3072</v>
      </c>
      <c r="F2098" s="9" t="s">
        <v>282</v>
      </c>
      <c r="H2098" s="9"/>
    </row>
    <row r="2099" ht="14.25" customHeight="1">
      <c r="C2099" s="9" t="s">
        <v>1386</v>
      </c>
      <c r="D2099" s="9" t="s">
        <v>3082</v>
      </c>
      <c r="E2099" s="9" t="s">
        <v>3072</v>
      </c>
      <c r="F2099" s="9" t="s">
        <v>321</v>
      </c>
      <c r="H2099" s="9"/>
    </row>
    <row r="2100" ht="14.25" customHeight="1">
      <c r="C2100" s="9" t="s">
        <v>1386</v>
      </c>
      <c r="D2100" s="9" t="s">
        <v>3082</v>
      </c>
      <c r="E2100" s="9" t="s">
        <v>3072</v>
      </c>
      <c r="F2100" s="9" t="s">
        <v>272</v>
      </c>
      <c r="H2100" s="9"/>
    </row>
    <row r="2101" ht="14.25" customHeight="1">
      <c r="C2101" s="9" t="s">
        <v>1386</v>
      </c>
      <c r="D2101" s="9" t="s">
        <v>3082</v>
      </c>
      <c r="E2101" s="9" t="s">
        <v>3072</v>
      </c>
      <c r="F2101" s="9" t="s">
        <v>517</v>
      </c>
      <c r="H2101" s="9"/>
    </row>
    <row r="2102" ht="14.25" customHeight="1">
      <c r="C2102" s="9" t="s">
        <v>1386</v>
      </c>
      <c r="D2102" s="9" t="s">
        <v>3082</v>
      </c>
      <c r="E2102" s="9" t="s">
        <v>3072</v>
      </c>
      <c r="F2102" s="9" t="s">
        <v>2593</v>
      </c>
      <c r="H2102" s="9"/>
    </row>
    <row r="2103" ht="14.25" customHeight="1">
      <c r="C2103" s="9" t="s">
        <v>1386</v>
      </c>
      <c r="D2103" s="9" t="s">
        <v>3082</v>
      </c>
      <c r="E2103" s="9" t="s">
        <v>3072</v>
      </c>
      <c r="F2103" s="9" t="s">
        <v>507</v>
      </c>
      <c r="H2103" s="9"/>
    </row>
    <row r="2104" ht="14.25" customHeight="1">
      <c r="C2104" s="9" t="s">
        <v>1386</v>
      </c>
      <c r="D2104" s="9" t="s">
        <v>3082</v>
      </c>
      <c r="E2104" s="9" t="s">
        <v>3072</v>
      </c>
      <c r="F2104" s="9" t="s">
        <v>336</v>
      </c>
      <c r="H2104" s="9"/>
    </row>
    <row r="2105" ht="14.25" customHeight="1">
      <c r="C2105" s="9" t="s">
        <v>1386</v>
      </c>
      <c r="D2105" s="9" t="s">
        <v>3082</v>
      </c>
      <c r="E2105" s="9" t="s">
        <v>3072</v>
      </c>
      <c r="F2105" s="9" t="s">
        <v>235</v>
      </c>
      <c r="H2105" s="9"/>
    </row>
    <row r="2106" ht="14.25" customHeight="1">
      <c r="C2106" s="9" t="s">
        <v>1386</v>
      </c>
      <c r="D2106" s="9" t="s">
        <v>3082</v>
      </c>
      <c r="E2106" s="9" t="s">
        <v>3072</v>
      </c>
      <c r="F2106" s="9" t="s">
        <v>327</v>
      </c>
      <c r="H2106" s="9"/>
    </row>
    <row r="2107" ht="14.25" customHeight="1">
      <c r="C2107" s="9" t="s">
        <v>1386</v>
      </c>
      <c r="D2107" s="9" t="s">
        <v>3082</v>
      </c>
      <c r="E2107" s="9" t="s">
        <v>3072</v>
      </c>
      <c r="F2107" s="9" t="s">
        <v>264</v>
      </c>
      <c r="H2107" s="9"/>
    </row>
    <row r="2108" ht="14.25" customHeight="1">
      <c r="C2108" s="9" t="s">
        <v>1386</v>
      </c>
      <c r="D2108" s="9" t="s">
        <v>3083</v>
      </c>
      <c r="E2108" s="9" t="s">
        <v>3072</v>
      </c>
      <c r="F2108" s="9" t="s">
        <v>474</v>
      </c>
      <c r="H2108" s="9"/>
    </row>
    <row r="2109" ht="14.25" customHeight="1">
      <c r="C2109" s="9" t="s">
        <v>1386</v>
      </c>
      <c r="D2109" s="9" t="s">
        <v>3083</v>
      </c>
      <c r="E2109" s="9" t="s">
        <v>3072</v>
      </c>
      <c r="F2109" s="9" t="s">
        <v>284</v>
      </c>
      <c r="H2109" s="9"/>
    </row>
    <row r="2110" ht="14.25" customHeight="1">
      <c r="C2110" s="9" t="s">
        <v>1386</v>
      </c>
      <c r="D2110" s="9" t="s">
        <v>3083</v>
      </c>
      <c r="E2110" s="9" t="s">
        <v>3072</v>
      </c>
      <c r="F2110" s="9" t="s">
        <v>493</v>
      </c>
      <c r="H2110" s="9"/>
    </row>
    <row r="2111" ht="14.25" customHeight="1">
      <c r="C2111" s="9" t="s">
        <v>1386</v>
      </c>
      <c r="D2111" s="9" t="s">
        <v>3083</v>
      </c>
      <c r="E2111" s="9" t="s">
        <v>3072</v>
      </c>
      <c r="F2111" s="9" t="s">
        <v>450</v>
      </c>
      <c r="H2111" s="9"/>
    </row>
    <row r="2112" ht="14.25" customHeight="1">
      <c r="C2112" s="9" t="s">
        <v>1386</v>
      </c>
      <c r="D2112" s="9" t="s">
        <v>3083</v>
      </c>
      <c r="E2112" s="9" t="s">
        <v>3072</v>
      </c>
      <c r="F2112" s="9" t="s">
        <v>395</v>
      </c>
      <c r="H2112" s="9"/>
    </row>
    <row r="2113" ht="14.25" customHeight="1">
      <c r="C2113" s="9" t="s">
        <v>1386</v>
      </c>
      <c r="D2113" s="9" t="s">
        <v>3083</v>
      </c>
      <c r="E2113" s="9" t="s">
        <v>3072</v>
      </c>
      <c r="F2113" s="9" t="s">
        <v>276</v>
      </c>
      <c r="H2113" s="9"/>
    </row>
    <row r="2114" ht="14.25" customHeight="1">
      <c r="C2114" s="9" t="s">
        <v>1386</v>
      </c>
      <c r="D2114" s="9" t="s">
        <v>3083</v>
      </c>
      <c r="E2114" s="9" t="s">
        <v>3072</v>
      </c>
      <c r="F2114" s="9" t="s">
        <v>431</v>
      </c>
      <c r="H2114" s="9"/>
    </row>
    <row r="2115" ht="14.25" customHeight="1">
      <c r="C2115" s="9" t="s">
        <v>1386</v>
      </c>
      <c r="D2115" s="9" t="s">
        <v>3083</v>
      </c>
      <c r="E2115" s="9" t="s">
        <v>3072</v>
      </c>
      <c r="F2115" s="9" t="s">
        <v>1272</v>
      </c>
      <c r="H2115" s="9"/>
    </row>
    <row r="2116" ht="14.25" customHeight="1">
      <c r="C2116" s="9" t="s">
        <v>1386</v>
      </c>
      <c r="D2116" s="9" t="s">
        <v>3083</v>
      </c>
      <c r="E2116" s="9" t="s">
        <v>3072</v>
      </c>
      <c r="F2116" s="9" t="s">
        <v>420</v>
      </c>
      <c r="H2116" s="9"/>
    </row>
    <row r="2117" ht="14.25" customHeight="1">
      <c r="C2117" s="9" t="s">
        <v>1386</v>
      </c>
      <c r="D2117" s="9" t="s">
        <v>3083</v>
      </c>
      <c r="E2117" s="9" t="s">
        <v>3072</v>
      </c>
      <c r="F2117" s="9" t="s">
        <v>482</v>
      </c>
      <c r="H2117" s="9"/>
    </row>
    <row r="2118" ht="14.25" customHeight="1">
      <c r="C2118" s="9" t="s">
        <v>1386</v>
      </c>
      <c r="D2118" s="9" t="s">
        <v>3083</v>
      </c>
      <c r="E2118" s="9" t="s">
        <v>3072</v>
      </c>
      <c r="F2118" s="9" t="s">
        <v>136</v>
      </c>
      <c r="H2118" s="9"/>
    </row>
    <row r="2119" ht="14.25" customHeight="1">
      <c r="C2119" s="9" t="s">
        <v>1386</v>
      </c>
      <c r="D2119" s="9" t="s">
        <v>3083</v>
      </c>
      <c r="E2119" s="9" t="s">
        <v>3072</v>
      </c>
      <c r="F2119" s="9" t="s">
        <v>408</v>
      </c>
      <c r="H2119" s="9"/>
    </row>
    <row r="2120" ht="14.25" customHeight="1">
      <c r="C2120" s="9" t="s">
        <v>1386</v>
      </c>
      <c r="D2120" s="9" t="s">
        <v>3083</v>
      </c>
      <c r="E2120" s="9" t="s">
        <v>3072</v>
      </c>
      <c r="F2120" s="9" t="s">
        <v>2589</v>
      </c>
      <c r="H2120" s="9"/>
    </row>
    <row r="2121" ht="14.25" customHeight="1">
      <c r="C2121" s="9" t="s">
        <v>1386</v>
      </c>
      <c r="D2121" s="9" t="s">
        <v>3083</v>
      </c>
      <c r="E2121" s="9" t="s">
        <v>3072</v>
      </c>
      <c r="F2121" s="9" t="s">
        <v>197</v>
      </c>
      <c r="H2121" s="9"/>
    </row>
    <row r="2122" ht="14.25" customHeight="1">
      <c r="C2122" s="9" t="s">
        <v>1386</v>
      </c>
      <c r="D2122" s="9" t="s">
        <v>3083</v>
      </c>
      <c r="E2122" s="9" t="s">
        <v>3072</v>
      </c>
      <c r="F2122" s="9" t="s">
        <v>172</v>
      </c>
      <c r="H2122" s="9"/>
    </row>
    <row r="2123" ht="14.25" customHeight="1">
      <c r="C2123" s="9" t="s">
        <v>1386</v>
      </c>
      <c r="D2123" s="9" t="s">
        <v>3083</v>
      </c>
      <c r="E2123" s="9" t="s">
        <v>3072</v>
      </c>
      <c r="F2123" s="9" t="s">
        <v>98</v>
      </c>
      <c r="H2123" s="9"/>
    </row>
    <row r="2124" ht="14.25" customHeight="1">
      <c r="C2124" s="9" t="s">
        <v>1386</v>
      </c>
      <c r="D2124" s="9" t="s">
        <v>3083</v>
      </c>
      <c r="E2124" s="9" t="s">
        <v>3072</v>
      </c>
      <c r="F2124" s="9" t="s">
        <v>341</v>
      </c>
      <c r="H2124" s="9"/>
    </row>
    <row r="2125" ht="14.25" customHeight="1">
      <c r="C2125" s="9" t="s">
        <v>1386</v>
      </c>
      <c r="D2125" s="9" t="s">
        <v>3083</v>
      </c>
      <c r="E2125" s="9" t="s">
        <v>3072</v>
      </c>
      <c r="F2125" s="9" t="s">
        <v>367</v>
      </c>
      <c r="H2125" s="9"/>
    </row>
    <row r="2126" ht="14.25" customHeight="1">
      <c r="C2126" s="9" t="s">
        <v>1386</v>
      </c>
      <c r="D2126" s="9" t="s">
        <v>3083</v>
      </c>
      <c r="E2126" s="9" t="s">
        <v>3072</v>
      </c>
      <c r="F2126" s="9" t="s">
        <v>529</v>
      </c>
      <c r="H2126" s="9"/>
    </row>
    <row r="2127" ht="14.25" customHeight="1">
      <c r="C2127" s="9" t="s">
        <v>1386</v>
      </c>
      <c r="D2127" s="9" t="s">
        <v>3083</v>
      </c>
      <c r="E2127" s="9" t="s">
        <v>3072</v>
      </c>
      <c r="F2127" s="9" t="s">
        <v>282</v>
      </c>
      <c r="H2127" s="9"/>
    </row>
    <row r="2128" ht="14.25" customHeight="1">
      <c r="C2128" s="9" t="s">
        <v>1386</v>
      </c>
      <c r="D2128" s="9" t="s">
        <v>3083</v>
      </c>
      <c r="E2128" s="9" t="s">
        <v>3072</v>
      </c>
      <c r="F2128" s="9" t="s">
        <v>321</v>
      </c>
      <c r="H2128" s="9"/>
    </row>
    <row r="2129" ht="14.25" customHeight="1">
      <c r="C2129" s="9" t="s">
        <v>1386</v>
      </c>
      <c r="D2129" s="9" t="s">
        <v>3083</v>
      </c>
      <c r="E2129" s="9" t="s">
        <v>3072</v>
      </c>
      <c r="F2129" s="9" t="s">
        <v>272</v>
      </c>
      <c r="H2129" s="9"/>
    </row>
    <row r="2130" ht="14.25" customHeight="1">
      <c r="C2130" s="9" t="s">
        <v>1386</v>
      </c>
      <c r="D2130" s="9" t="s">
        <v>3083</v>
      </c>
      <c r="E2130" s="9" t="s">
        <v>3072</v>
      </c>
      <c r="F2130" s="9" t="s">
        <v>517</v>
      </c>
      <c r="H2130" s="9"/>
    </row>
    <row r="2131" ht="14.25" customHeight="1">
      <c r="C2131" s="9" t="s">
        <v>1386</v>
      </c>
      <c r="D2131" s="9" t="s">
        <v>3083</v>
      </c>
      <c r="E2131" s="9" t="s">
        <v>3072</v>
      </c>
      <c r="F2131" s="9" t="s">
        <v>2593</v>
      </c>
      <c r="H2131" s="9"/>
    </row>
    <row r="2132" ht="14.25" customHeight="1">
      <c r="C2132" s="9" t="s">
        <v>1386</v>
      </c>
      <c r="D2132" s="9" t="s">
        <v>3083</v>
      </c>
      <c r="E2132" s="9" t="s">
        <v>3072</v>
      </c>
      <c r="F2132" s="9" t="s">
        <v>507</v>
      </c>
      <c r="H2132" s="9"/>
    </row>
    <row r="2133" ht="14.25" customHeight="1">
      <c r="C2133" s="9" t="s">
        <v>1386</v>
      </c>
      <c r="D2133" s="9" t="s">
        <v>3083</v>
      </c>
      <c r="E2133" s="9" t="s">
        <v>3072</v>
      </c>
      <c r="F2133" s="9" t="s">
        <v>336</v>
      </c>
      <c r="H2133" s="9"/>
    </row>
    <row r="2134" ht="14.25" customHeight="1">
      <c r="C2134" s="9" t="s">
        <v>1386</v>
      </c>
      <c r="D2134" s="9" t="s">
        <v>3083</v>
      </c>
      <c r="E2134" s="9" t="s">
        <v>3072</v>
      </c>
      <c r="F2134" s="9" t="s">
        <v>235</v>
      </c>
      <c r="H2134" s="9"/>
    </row>
    <row r="2135" ht="14.25" customHeight="1">
      <c r="C2135" s="9" t="s">
        <v>1386</v>
      </c>
      <c r="D2135" s="9" t="s">
        <v>3083</v>
      </c>
      <c r="E2135" s="9" t="s">
        <v>3072</v>
      </c>
      <c r="F2135" s="9" t="s">
        <v>327</v>
      </c>
      <c r="H2135" s="9"/>
    </row>
    <row r="2136" ht="14.25" customHeight="1">
      <c r="C2136" s="9" t="s">
        <v>1386</v>
      </c>
      <c r="D2136" s="9" t="s">
        <v>3083</v>
      </c>
      <c r="E2136" s="9" t="s">
        <v>3072</v>
      </c>
      <c r="F2136" s="9" t="s">
        <v>264</v>
      </c>
      <c r="H2136" s="9"/>
    </row>
    <row r="2137" ht="14.25" customHeight="1">
      <c r="C2137" s="9" t="s">
        <v>475</v>
      </c>
      <c r="D2137" s="9" t="s">
        <v>3084</v>
      </c>
      <c r="E2137" s="9" t="s">
        <v>3085</v>
      </c>
      <c r="F2137" s="9" t="s">
        <v>1439</v>
      </c>
      <c r="H2137" s="9"/>
    </row>
    <row r="2138" ht="14.25" customHeight="1">
      <c r="C2138" s="9" t="s">
        <v>475</v>
      </c>
      <c r="D2138" s="9" t="s">
        <v>3084</v>
      </c>
      <c r="E2138" s="9" t="s">
        <v>3085</v>
      </c>
      <c r="F2138" s="9" t="s">
        <v>1440</v>
      </c>
      <c r="H2138" s="9"/>
    </row>
    <row r="2139" ht="14.25" customHeight="1">
      <c r="C2139" s="9" t="s">
        <v>475</v>
      </c>
      <c r="D2139" s="9" t="s">
        <v>3084</v>
      </c>
      <c r="E2139" s="9" t="s">
        <v>3085</v>
      </c>
      <c r="F2139" s="9" t="s">
        <v>172</v>
      </c>
      <c r="H2139" s="9"/>
    </row>
    <row r="2140" ht="14.25" customHeight="1">
      <c r="C2140" s="9" t="s">
        <v>475</v>
      </c>
      <c r="D2140" s="9" t="s">
        <v>3084</v>
      </c>
      <c r="E2140" s="9" t="s">
        <v>3085</v>
      </c>
      <c r="F2140" s="9" t="s">
        <v>1435</v>
      </c>
      <c r="H2140" s="9"/>
    </row>
    <row r="2141" ht="14.25" customHeight="1">
      <c r="C2141" s="9" t="s">
        <v>475</v>
      </c>
      <c r="D2141" s="9" t="s">
        <v>3084</v>
      </c>
      <c r="E2141" s="9" t="s">
        <v>3085</v>
      </c>
      <c r="F2141" s="9" t="s">
        <v>1437</v>
      </c>
      <c r="H2141" s="9"/>
    </row>
    <row r="2142" ht="14.25" customHeight="1">
      <c r="C2142" s="9" t="s">
        <v>475</v>
      </c>
      <c r="D2142" s="9" t="s">
        <v>3084</v>
      </c>
      <c r="E2142" s="9" t="s">
        <v>3085</v>
      </c>
      <c r="F2142" s="9" t="s">
        <v>1436</v>
      </c>
      <c r="H2142" s="9"/>
    </row>
    <row r="2143" ht="14.25" customHeight="1">
      <c r="C2143" s="9" t="s">
        <v>475</v>
      </c>
      <c r="D2143" s="9" t="s">
        <v>3084</v>
      </c>
      <c r="E2143" s="9" t="s">
        <v>3085</v>
      </c>
      <c r="F2143" s="9" t="s">
        <v>1434</v>
      </c>
      <c r="H2143" s="9"/>
    </row>
    <row r="2144" ht="14.25" customHeight="1">
      <c r="C2144" s="9" t="s">
        <v>475</v>
      </c>
      <c r="D2144" s="9" t="s">
        <v>3084</v>
      </c>
      <c r="E2144" s="9" t="s">
        <v>3085</v>
      </c>
      <c r="F2144" s="9" t="s">
        <v>2309</v>
      </c>
      <c r="H2144" s="9"/>
    </row>
    <row r="2145" ht="14.25" customHeight="1">
      <c r="C2145" s="9" t="s">
        <v>475</v>
      </c>
      <c r="D2145" s="9" t="s">
        <v>3084</v>
      </c>
      <c r="E2145" s="9" t="s">
        <v>3085</v>
      </c>
      <c r="F2145" s="9" t="s">
        <v>3086</v>
      </c>
      <c r="H2145" s="9"/>
    </row>
    <row r="2146" ht="14.25" customHeight="1">
      <c r="C2146" s="9" t="s">
        <v>475</v>
      </c>
      <c r="D2146" s="9" t="s">
        <v>3084</v>
      </c>
      <c r="E2146" s="9" t="s">
        <v>3085</v>
      </c>
      <c r="F2146" s="9" t="s">
        <v>1438</v>
      </c>
      <c r="H2146" s="9"/>
    </row>
    <row r="2147" ht="14.25" customHeight="1">
      <c r="C2147" s="9" t="s">
        <v>475</v>
      </c>
      <c r="D2147" s="9" t="s">
        <v>3087</v>
      </c>
      <c r="E2147" s="9" t="s">
        <v>3085</v>
      </c>
      <c r="F2147" s="9" t="s">
        <v>1439</v>
      </c>
      <c r="H2147" s="9"/>
    </row>
    <row r="2148" ht="14.25" customHeight="1">
      <c r="C2148" s="9" t="s">
        <v>475</v>
      </c>
      <c r="D2148" s="9" t="s">
        <v>3087</v>
      </c>
      <c r="E2148" s="9" t="s">
        <v>3085</v>
      </c>
      <c r="F2148" s="9" t="s">
        <v>1440</v>
      </c>
      <c r="H2148" s="9"/>
    </row>
    <row r="2149" ht="14.25" customHeight="1">
      <c r="C2149" s="9" t="s">
        <v>475</v>
      </c>
      <c r="D2149" s="9" t="s">
        <v>3087</v>
      </c>
      <c r="E2149" s="9" t="s">
        <v>3085</v>
      </c>
      <c r="F2149" s="9" t="s">
        <v>172</v>
      </c>
      <c r="H2149" s="9"/>
    </row>
    <row r="2150" ht="14.25" customHeight="1">
      <c r="C2150" s="9" t="s">
        <v>475</v>
      </c>
      <c r="D2150" s="9" t="s">
        <v>3087</v>
      </c>
      <c r="E2150" s="9" t="s">
        <v>3085</v>
      </c>
      <c r="F2150" s="9" t="s">
        <v>1435</v>
      </c>
      <c r="H2150" s="9"/>
    </row>
    <row r="2151" ht="14.25" customHeight="1">
      <c r="C2151" s="9" t="s">
        <v>475</v>
      </c>
      <c r="D2151" s="9" t="s">
        <v>3087</v>
      </c>
      <c r="E2151" s="9" t="s">
        <v>3085</v>
      </c>
      <c r="F2151" s="9" t="s">
        <v>1437</v>
      </c>
      <c r="H2151" s="9"/>
    </row>
    <row r="2152" ht="14.25" customHeight="1">
      <c r="C2152" s="9" t="s">
        <v>475</v>
      </c>
      <c r="D2152" s="9" t="s">
        <v>3087</v>
      </c>
      <c r="E2152" s="9" t="s">
        <v>3085</v>
      </c>
      <c r="F2152" s="9" t="s">
        <v>1436</v>
      </c>
      <c r="H2152" s="9"/>
    </row>
    <row r="2153" ht="14.25" customHeight="1">
      <c r="C2153" s="9" t="s">
        <v>475</v>
      </c>
      <c r="D2153" s="9" t="s">
        <v>3087</v>
      </c>
      <c r="E2153" s="9" t="s">
        <v>3085</v>
      </c>
      <c r="F2153" s="9" t="s">
        <v>1434</v>
      </c>
      <c r="H2153" s="9"/>
    </row>
    <row r="2154" ht="14.25" customHeight="1">
      <c r="C2154" s="9" t="s">
        <v>475</v>
      </c>
      <c r="D2154" s="9" t="s">
        <v>3087</v>
      </c>
      <c r="E2154" s="9" t="s">
        <v>3085</v>
      </c>
      <c r="F2154" s="9" t="s">
        <v>2309</v>
      </c>
      <c r="H2154" s="9"/>
    </row>
    <row r="2155" ht="14.25" customHeight="1">
      <c r="C2155" s="9" t="s">
        <v>475</v>
      </c>
      <c r="D2155" s="9" t="s">
        <v>3087</v>
      </c>
      <c r="E2155" s="9" t="s">
        <v>3085</v>
      </c>
      <c r="F2155" s="9" t="s">
        <v>3086</v>
      </c>
      <c r="H2155" s="9"/>
    </row>
    <row r="2156" ht="14.25" customHeight="1">
      <c r="C2156" s="9" t="s">
        <v>475</v>
      </c>
      <c r="D2156" s="9" t="s">
        <v>3087</v>
      </c>
      <c r="E2156" s="9" t="s">
        <v>3085</v>
      </c>
      <c r="F2156" s="9" t="s">
        <v>1438</v>
      </c>
      <c r="H2156" s="9"/>
    </row>
    <row r="2157" ht="14.25" customHeight="1">
      <c r="C2157" s="9" t="s">
        <v>475</v>
      </c>
      <c r="D2157" s="9" t="s">
        <v>3088</v>
      </c>
      <c r="E2157" s="9" t="s">
        <v>3085</v>
      </c>
      <c r="F2157" s="9" t="s">
        <v>1439</v>
      </c>
      <c r="H2157" s="9"/>
    </row>
    <row r="2158" ht="14.25" customHeight="1">
      <c r="C2158" s="9" t="s">
        <v>475</v>
      </c>
      <c r="D2158" s="9" t="s">
        <v>3088</v>
      </c>
      <c r="E2158" s="9" t="s">
        <v>3085</v>
      </c>
      <c r="F2158" s="9" t="s">
        <v>1440</v>
      </c>
      <c r="H2158" s="9"/>
    </row>
    <row r="2159" ht="14.25" customHeight="1">
      <c r="C2159" s="9" t="s">
        <v>475</v>
      </c>
      <c r="D2159" s="9" t="s">
        <v>3088</v>
      </c>
      <c r="E2159" s="9" t="s">
        <v>3085</v>
      </c>
      <c r="F2159" s="9" t="s">
        <v>172</v>
      </c>
      <c r="H2159" s="9"/>
    </row>
    <row r="2160" ht="14.25" customHeight="1">
      <c r="C2160" s="9" t="s">
        <v>475</v>
      </c>
      <c r="D2160" s="9" t="s">
        <v>3088</v>
      </c>
      <c r="E2160" s="9" t="s">
        <v>3085</v>
      </c>
      <c r="F2160" s="9" t="s">
        <v>1435</v>
      </c>
      <c r="H2160" s="9"/>
    </row>
    <row r="2161" ht="14.25" customHeight="1">
      <c r="C2161" s="9" t="s">
        <v>475</v>
      </c>
      <c r="D2161" s="9" t="s">
        <v>3088</v>
      </c>
      <c r="E2161" s="9" t="s">
        <v>3085</v>
      </c>
      <c r="F2161" s="9" t="s">
        <v>1437</v>
      </c>
      <c r="H2161" s="9"/>
    </row>
    <row r="2162" ht="14.25" customHeight="1">
      <c r="C2162" s="9" t="s">
        <v>475</v>
      </c>
      <c r="D2162" s="9" t="s">
        <v>3088</v>
      </c>
      <c r="E2162" s="9" t="s">
        <v>3085</v>
      </c>
      <c r="F2162" s="9" t="s">
        <v>1436</v>
      </c>
      <c r="H2162" s="9"/>
    </row>
    <row r="2163" ht="14.25" customHeight="1">
      <c r="C2163" s="9" t="s">
        <v>475</v>
      </c>
      <c r="D2163" s="9" t="s">
        <v>3088</v>
      </c>
      <c r="E2163" s="9" t="s">
        <v>3085</v>
      </c>
      <c r="F2163" s="9" t="s">
        <v>1434</v>
      </c>
      <c r="H2163" s="9"/>
    </row>
    <row r="2164" ht="14.25" customHeight="1">
      <c r="C2164" s="9" t="s">
        <v>475</v>
      </c>
      <c r="D2164" s="9" t="s">
        <v>3088</v>
      </c>
      <c r="E2164" s="9" t="s">
        <v>3085</v>
      </c>
      <c r="F2164" s="9" t="s">
        <v>2309</v>
      </c>
      <c r="H2164" s="9"/>
    </row>
    <row r="2165" ht="14.25" customHeight="1">
      <c r="C2165" s="9" t="s">
        <v>475</v>
      </c>
      <c r="D2165" s="9" t="s">
        <v>3088</v>
      </c>
      <c r="E2165" s="9" t="s">
        <v>3085</v>
      </c>
      <c r="F2165" s="9" t="s">
        <v>3086</v>
      </c>
      <c r="H2165" s="9"/>
    </row>
    <row r="2166" ht="14.25" customHeight="1">
      <c r="C2166" s="9" t="s">
        <v>475</v>
      </c>
      <c r="D2166" s="9" t="s">
        <v>3088</v>
      </c>
      <c r="E2166" s="9" t="s">
        <v>3085</v>
      </c>
      <c r="F2166" s="9" t="s">
        <v>1438</v>
      </c>
      <c r="H2166" s="9"/>
    </row>
    <row r="2167" ht="14.25" customHeight="1">
      <c r="C2167" s="9" t="s">
        <v>475</v>
      </c>
      <c r="D2167" s="9" t="s">
        <v>3089</v>
      </c>
      <c r="E2167" s="9" t="s">
        <v>3085</v>
      </c>
      <c r="F2167" s="9" t="s">
        <v>1439</v>
      </c>
      <c r="H2167" s="9"/>
    </row>
    <row r="2168" ht="14.25" customHeight="1">
      <c r="C2168" s="9" t="s">
        <v>475</v>
      </c>
      <c r="D2168" s="9" t="s">
        <v>3089</v>
      </c>
      <c r="E2168" s="9" t="s">
        <v>3085</v>
      </c>
      <c r="F2168" s="9" t="s">
        <v>1440</v>
      </c>
      <c r="H2168" s="9"/>
    </row>
    <row r="2169" ht="14.25" customHeight="1">
      <c r="C2169" s="9" t="s">
        <v>475</v>
      </c>
      <c r="D2169" s="9" t="s">
        <v>3089</v>
      </c>
      <c r="E2169" s="9" t="s">
        <v>3085</v>
      </c>
      <c r="F2169" s="9" t="s">
        <v>172</v>
      </c>
      <c r="H2169" s="9"/>
    </row>
    <row r="2170" ht="14.25" customHeight="1">
      <c r="C2170" s="9" t="s">
        <v>475</v>
      </c>
      <c r="D2170" s="9" t="s">
        <v>3089</v>
      </c>
      <c r="E2170" s="9" t="s">
        <v>3085</v>
      </c>
      <c r="F2170" s="9" t="s">
        <v>1435</v>
      </c>
      <c r="H2170" s="9"/>
    </row>
    <row r="2171" ht="14.25" customHeight="1">
      <c r="C2171" s="9" t="s">
        <v>475</v>
      </c>
      <c r="D2171" s="9" t="s">
        <v>3089</v>
      </c>
      <c r="E2171" s="9" t="s">
        <v>3085</v>
      </c>
      <c r="F2171" s="9" t="s">
        <v>1437</v>
      </c>
      <c r="H2171" s="9"/>
    </row>
    <row r="2172" ht="14.25" customHeight="1">
      <c r="C2172" s="9" t="s">
        <v>475</v>
      </c>
      <c r="D2172" s="9" t="s">
        <v>3089</v>
      </c>
      <c r="E2172" s="9" t="s">
        <v>3085</v>
      </c>
      <c r="F2172" s="9" t="s">
        <v>1436</v>
      </c>
      <c r="H2172" s="9"/>
    </row>
    <row r="2173" ht="14.25" customHeight="1">
      <c r="C2173" s="9" t="s">
        <v>475</v>
      </c>
      <c r="D2173" s="9" t="s">
        <v>3089</v>
      </c>
      <c r="E2173" s="9" t="s">
        <v>3085</v>
      </c>
      <c r="F2173" s="9" t="s">
        <v>1434</v>
      </c>
      <c r="H2173" s="9"/>
    </row>
    <row r="2174" ht="14.25" customHeight="1">
      <c r="C2174" s="9" t="s">
        <v>475</v>
      </c>
      <c r="D2174" s="9" t="s">
        <v>3089</v>
      </c>
      <c r="E2174" s="9" t="s">
        <v>3085</v>
      </c>
      <c r="F2174" s="9" t="s">
        <v>2309</v>
      </c>
      <c r="H2174" s="9"/>
    </row>
    <row r="2175" ht="14.25" customHeight="1">
      <c r="C2175" s="9" t="s">
        <v>475</v>
      </c>
      <c r="D2175" s="9" t="s">
        <v>3089</v>
      </c>
      <c r="E2175" s="9" t="s">
        <v>3085</v>
      </c>
      <c r="F2175" s="9" t="s">
        <v>3086</v>
      </c>
      <c r="H2175" s="9"/>
    </row>
    <row r="2176" ht="14.25" customHeight="1">
      <c r="C2176" s="9" t="s">
        <v>475</v>
      </c>
      <c r="D2176" s="9" t="s">
        <v>3089</v>
      </c>
      <c r="E2176" s="9" t="s">
        <v>3085</v>
      </c>
      <c r="F2176" s="9" t="s">
        <v>1438</v>
      </c>
      <c r="H2176" s="9"/>
    </row>
    <row r="2177" ht="14.25" customHeight="1">
      <c r="C2177" s="9" t="s">
        <v>475</v>
      </c>
      <c r="D2177" s="9" t="s">
        <v>3090</v>
      </c>
      <c r="E2177" s="9" t="s">
        <v>3085</v>
      </c>
      <c r="F2177" s="9" t="s">
        <v>474</v>
      </c>
      <c r="H2177" s="9"/>
    </row>
    <row r="2178" ht="14.25" customHeight="1">
      <c r="C2178" s="9" t="s">
        <v>475</v>
      </c>
      <c r="D2178" s="9" t="s">
        <v>3090</v>
      </c>
      <c r="E2178" s="9" t="s">
        <v>3085</v>
      </c>
      <c r="F2178" s="9" t="s">
        <v>284</v>
      </c>
      <c r="H2178" s="9"/>
    </row>
    <row r="2179" ht="14.25" customHeight="1">
      <c r="C2179" s="9" t="s">
        <v>475</v>
      </c>
      <c r="D2179" s="9" t="s">
        <v>3090</v>
      </c>
      <c r="E2179" s="9" t="s">
        <v>3085</v>
      </c>
      <c r="F2179" s="9" t="s">
        <v>493</v>
      </c>
      <c r="H2179" s="9"/>
    </row>
    <row r="2180" ht="14.25" customHeight="1">
      <c r="C2180" s="9" t="s">
        <v>475</v>
      </c>
      <c r="D2180" s="9" t="s">
        <v>3090</v>
      </c>
      <c r="E2180" s="9" t="s">
        <v>3085</v>
      </c>
      <c r="F2180" s="9" t="s">
        <v>450</v>
      </c>
      <c r="H2180" s="9"/>
    </row>
    <row r="2181" ht="14.25" customHeight="1">
      <c r="C2181" s="9" t="s">
        <v>475</v>
      </c>
      <c r="D2181" s="9" t="s">
        <v>3090</v>
      </c>
      <c r="E2181" s="9" t="s">
        <v>3085</v>
      </c>
      <c r="F2181" s="9" t="s">
        <v>395</v>
      </c>
      <c r="H2181" s="9"/>
    </row>
    <row r="2182" ht="14.25" customHeight="1">
      <c r="C2182" s="9" t="s">
        <v>475</v>
      </c>
      <c r="D2182" s="9" t="s">
        <v>3090</v>
      </c>
      <c r="E2182" s="9" t="s">
        <v>3085</v>
      </c>
      <c r="F2182" s="9" t="s">
        <v>276</v>
      </c>
      <c r="H2182" s="9"/>
    </row>
    <row r="2183" ht="14.25" customHeight="1">
      <c r="C2183" s="9" t="s">
        <v>475</v>
      </c>
      <c r="D2183" s="9" t="s">
        <v>3090</v>
      </c>
      <c r="E2183" s="9" t="s">
        <v>3085</v>
      </c>
      <c r="F2183" s="9" t="s">
        <v>431</v>
      </c>
      <c r="H2183" s="9"/>
    </row>
    <row r="2184" ht="14.25" customHeight="1">
      <c r="C2184" s="9" t="s">
        <v>475</v>
      </c>
      <c r="D2184" s="9" t="s">
        <v>3090</v>
      </c>
      <c r="E2184" s="9" t="s">
        <v>3085</v>
      </c>
      <c r="F2184" s="9" t="s">
        <v>1272</v>
      </c>
      <c r="H2184" s="9"/>
    </row>
    <row r="2185" ht="14.25" customHeight="1">
      <c r="C2185" s="9" t="s">
        <v>475</v>
      </c>
      <c r="D2185" s="9" t="s">
        <v>3090</v>
      </c>
      <c r="E2185" s="9" t="s">
        <v>3085</v>
      </c>
      <c r="F2185" s="9" t="s">
        <v>420</v>
      </c>
      <c r="H2185" s="9"/>
    </row>
    <row r="2186" ht="14.25" customHeight="1">
      <c r="C2186" s="9" t="s">
        <v>475</v>
      </c>
      <c r="D2186" s="9" t="s">
        <v>3090</v>
      </c>
      <c r="E2186" s="9" t="s">
        <v>3085</v>
      </c>
      <c r="F2186" s="9" t="s">
        <v>482</v>
      </c>
      <c r="H2186" s="9"/>
    </row>
    <row r="2187" ht="14.25" customHeight="1">
      <c r="C2187" s="9" t="s">
        <v>475</v>
      </c>
      <c r="D2187" s="9" t="s">
        <v>3090</v>
      </c>
      <c r="E2187" s="9" t="s">
        <v>3085</v>
      </c>
      <c r="F2187" s="9" t="s">
        <v>136</v>
      </c>
      <c r="H2187" s="9"/>
    </row>
    <row r="2188" ht="14.25" customHeight="1">
      <c r="C2188" s="9" t="s">
        <v>475</v>
      </c>
      <c r="D2188" s="9" t="s">
        <v>3090</v>
      </c>
      <c r="E2188" s="9" t="s">
        <v>3085</v>
      </c>
      <c r="F2188" s="9" t="s">
        <v>408</v>
      </c>
      <c r="H2188" s="9"/>
    </row>
    <row r="2189" ht="14.25" customHeight="1">
      <c r="C2189" s="9" t="s">
        <v>475</v>
      </c>
      <c r="D2189" s="9" t="s">
        <v>3090</v>
      </c>
      <c r="E2189" s="9" t="s">
        <v>3085</v>
      </c>
      <c r="F2189" s="9" t="s">
        <v>2589</v>
      </c>
      <c r="H2189" s="9"/>
    </row>
    <row r="2190" ht="14.25" customHeight="1">
      <c r="C2190" s="9" t="s">
        <v>475</v>
      </c>
      <c r="D2190" s="9" t="s">
        <v>3090</v>
      </c>
      <c r="E2190" s="9" t="s">
        <v>3085</v>
      </c>
      <c r="F2190" s="9" t="s">
        <v>197</v>
      </c>
      <c r="H2190" s="9"/>
    </row>
    <row r="2191" ht="14.25" customHeight="1">
      <c r="C2191" s="9" t="s">
        <v>475</v>
      </c>
      <c r="D2191" s="9" t="s">
        <v>3090</v>
      </c>
      <c r="E2191" s="9" t="s">
        <v>3085</v>
      </c>
      <c r="F2191" s="9" t="s">
        <v>172</v>
      </c>
      <c r="H2191" s="9"/>
    </row>
    <row r="2192" ht="14.25" customHeight="1">
      <c r="C2192" s="9" t="s">
        <v>475</v>
      </c>
      <c r="D2192" s="9" t="s">
        <v>3090</v>
      </c>
      <c r="E2192" s="9" t="s">
        <v>3085</v>
      </c>
      <c r="F2192" s="9" t="s">
        <v>98</v>
      </c>
      <c r="H2192" s="9"/>
    </row>
    <row r="2193" ht="14.25" customHeight="1">
      <c r="C2193" s="9" t="s">
        <v>475</v>
      </c>
      <c r="D2193" s="9" t="s">
        <v>3090</v>
      </c>
      <c r="E2193" s="9" t="s">
        <v>3085</v>
      </c>
      <c r="F2193" s="9" t="s">
        <v>341</v>
      </c>
      <c r="H2193" s="9"/>
    </row>
    <row r="2194" ht="14.25" customHeight="1">
      <c r="C2194" s="9" t="s">
        <v>475</v>
      </c>
      <c r="D2194" s="9" t="s">
        <v>3090</v>
      </c>
      <c r="E2194" s="9" t="s">
        <v>3085</v>
      </c>
      <c r="F2194" s="9" t="s">
        <v>367</v>
      </c>
      <c r="H2194" s="9"/>
    </row>
    <row r="2195" ht="14.25" customHeight="1">
      <c r="C2195" s="9" t="s">
        <v>475</v>
      </c>
      <c r="D2195" s="9" t="s">
        <v>3090</v>
      </c>
      <c r="E2195" s="9" t="s">
        <v>3085</v>
      </c>
      <c r="F2195" s="9" t="s">
        <v>529</v>
      </c>
      <c r="H2195" s="9"/>
    </row>
    <row r="2196" ht="14.25" customHeight="1">
      <c r="C2196" s="9" t="s">
        <v>475</v>
      </c>
      <c r="D2196" s="9" t="s">
        <v>3090</v>
      </c>
      <c r="E2196" s="9" t="s">
        <v>3085</v>
      </c>
      <c r="F2196" s="9" t="s">
        <v>282</v>
      </c>
      <c r="H2196" s="9"/>
    </row>
    <row r="2197" ht="14.25" customHeight="1">
      <c r="C2197" s="9" t="s">
        <v>475</v>
      </c>
      <c r="D2197" s="9" t="s">
        <v>3090</v>
      </c>
      <c r="E2197" s="9" t="s">
        <v>3085</v>
      </c>
      <c r="F2197" s="9" t="s">
        <v>321</v>
      </c>
      <c r="H2197" s="9"/>
    </row>
    <row r="2198" ht="14.25" customHeight="1">
      <c r="C2198" s="9" t="s">
        <v>475</v>
      </c>
      <c r="D2198" s="9" t="s">
        <v>3090</v>
      </c>
      <c r="E2198" s="9" t="s">
        <v>3085</v>
      </c>
      <c r="F2198" s="9" t="s">
        <v>272</v>
      </c>
      <c r="H2198" s="9"/>
    </row>
    <row r="2199" ht="14.25" customHeight="1">
      <c r="C2199" s="9" t="s">
        <v>475</v>
      </c>
      <c r="D2199" s="9" t="s">
        <v>3090</v>
      </c>
      <c r="E2199" s="9" t="s">
        <v>3085</v>
      </c>
      <c r="F2199" s="9" t="s">
        <v>517</v>
      </c>
      <c r="H2199" s="9"/>
    </row>
    <row r="2200" ht="14.25" customHeight="1">
      <c r="C2200" s="9" t="s">
        <v>475</v>
      </c>
      <c r="D2200" s="9" t="s">
        <v>3090</v>
      </c>
      <c r="E2200" s="9" t="s">
        <v>3085</v>
      </c>
      <c r="F2200" s="9" t="s">
        <v>2593</v>
      </c>
      <c r="H2200" s="9"/>
    </row>
    <row r="2201" ht="14.25" customHeight="1">
      <c r="C2201" s="9" t="s">
        <v>475</v>
      </c>
      <c r="D2201" s="9" t="s">
        <v>3090</v>
      </c>
      <c r="E2201" s="9" t="s">
        <v>3085</v>
      </c>
      <c r="F2201" s="9" t="s">
        <v>507</v>
      </c>
      <c r="H2201" s="9"/>
    </row>
    <row r="2202" ht="14.25" customHeight="1">
      <c r="C2202" s="9" t="s">
        <v>475</v>
      </c>
      <c r="D2202" s="9" t="s">
        <v>3090</v>
      </c>
      <c r="E2202" s="9" t="s">
        <v>3085</v>
      </c>
      <c r="F2202" s="9" t="s">
        <v>336</v>
      </c>
      <c r="H2202" s="9"/>
    </row>
    <row r="2203" ht="14.25" customHeight="1">
      <c r="C2203" s="9" t="s">
        <v>475</v>
      </c>
      <c r="D2203" s="9" t="s">
        <v>3090</v>
      </c>
      <c r="E2203" s="9" t="s">
        <v>3085</v>
      </c>
      <c r="F2203" s="9" t="s">
        <v>235</v>
      </c>
      <c r="H2203" s="9"/>
    </row>
    <row r="2204" ht="14.25" customHeight="1">
      <c r="C2204" s="9" t="s">
        <v>475</v>
      </c>
      <c r="D2204" s="9" t="s">
        <v>3090</v>
      </c>
      <c r="E2204" s="9" t="s">
        <v>3085</v>
      </c>
      <c r="F2204" s="9" t="s">
        <v>327</v>
      </c>
      <c r="H2204" s="9"/>
    </row>
    <row r="2205" ht="14.25" customHeight="1">
      <c r="C2205" s="9" t="s">
        <v>475</v>
      </c>
      <c r="D2205" s="9" t="s">
        <v>3090</v>
      </c>
      <c r="E2205" s="9" t="s">
        <v>3085</v>
      </c>
      <c r="F2205" s="9" t="s">
        <v>264</v>
      </c>
      <c r="H2205" s="9"/>
    </row>
    <row r="2206" ht="14.25" customHeight="1">
      <c r="C2206" s="9" t="s">
        <v>481</v>
      </c>
      <c r="D2206" s="9" t="s">
        <v>3091</v>
      </c>
      <c r="E2206" s="9" t="s">
        <v>3085</v>
      </c>
      <c r="F2206" s="9" t="s">
        <v>474</v>
      </c>
      <c r="H2206" s="9"/>
    </row>
    <row r="2207" ht="14.25" customHeight="1">
      <c r="C2207" s="9" t="s">
        <v>481</v>
      </c>
      <c r="D2207" s="9" t="s">
        <v>3091</v>
      </c>
      <c r="E2207" s="9" t="s">
        <v>3085</v>
      </c>
      <c r="F2207" s="9" t="s">
        <v>284</v>
      </c>
      <c r="H2207" s="9"/>
    </row>
    <row r="2208" ht="14.25" customHeight="1">
      <c r="C2208" s="9" t="s">
        <v>481</v>
      </c>
      <c r="D2208" s="9" t="s">
        <v>3091</v>
      </c>
      <c r="E2208" s="9" t="s">
        <v>3085</v>
      </c>
      <c r="F2208" s="9" t="s">
        <v>493</v>
      </c>
      <c r="H2208" s="9"/>
    </row>
    <row r="2209" ht="14.25" customHeight="1">
      <c r="C2209" s="9" t="s">
        <v>481</v>
      </c>
      <c r="D2209" s="9" t="s">
        <v>3091</v>
      </c>
      <c r="E2209" s="9" t="s">
        <v>3085</v>
      </c>
      <c r="F2209" s="9" t="s">
        <v>450</v>
      </c>
      <c r="H2209" s="9"/>
    </row>
    <row r="2210" ht="14.25" customHeight="1">
      <c r="C2210" s="9" t="s">
        <v>481</v>
      </c>
      <c r="D2210" s="9" t="s">
        <v>3091</v>
      </c>
      <c r="E2210" s="9" t="s">
        <v>3085</v>
      </c>
      <c r="F2210" s="9" t="s">
        <v>2296</v>
      </c>
      <c r="H2210" s="9"/>
    </row>
    <row r="2211" ht="14.25" customHeight="1">
      <c r="C2211" s="9" t="s">
        <v>481</v>
      </c>
      <c r="D2211" s="9" t="s">
        <v>3091</v>
      </c>
      <c r="E2211" s="9" t="s">
        <v>3085</v>
      </c>
      <c r="F2211" s="9" t="s">
        <v>276</v>
      </c>
      <c r="H2211" s="9"/>
    </row>
    <row r="2212" ht="14.25" customHeight="1">
      <c r="C2212" s="9" t="s">
        <v>481</v>
      </c>
      <c r="D2212" s="9" t="s">
        <v>3091</v>
      </c>
      <c r="E2212" s="9" t="s">
        <v>3085</v>
      </c>
      <c r="F2212" s="9" t="s">
        <v>431</v>
      </c>
      <c r="H2212" s="9"/>
    </row>
    <row r="2213" ht="14.25" customHeight="1">
      <c r="C2213" s="9" t="s">
        <v>481</v>
      </c>
      <c r="D2213" s="9" t="s">
        <v>3091</v>
      </c>
      <c r="E2213" s="9" t="s">
        <v>3085</v>
      </c>
      <c r="F2213" s="9" t="s">
        <v>1272</v>
      </c>
      <c r="H2213" s="9"/>
    </row>
    <row r="2214" ht="14.25" customHeight="1">
      <c r="C2214" s="9" t="s">
        <v>481</v>
      </c>
      <c r="D2214" s="9" t="s">
        <v>3091</v>
      </c>
      <c r="E2214" s="9" t="s">
        <v>3085</v>
      </c>
      <c r="F2214" s="9" t="s">
        <v>420</v>
      </c>
      <c r="H2214" s="9"/>
    </row>
    <row r="2215" ht="14.25" customHeight="1">
      <c r="C2215" s="9" t="s">
        <v>481</v>
      </c>
      <c r="D2215" s="9" t="s">
        <v>3091</v>
      </c>
      <c r="E2215" s="9" t="s">
        <v>3085</v>
      </c>
      <c r="F2215" s="9" t="s">
        <v>482</v>
      </c>
      <c r="H2215" s="9"/>
    </row>
    <row r="2216" ht="14.25" customHeight="1">
      <c r="C2216" s="9" t="s">
        <v>481</v>
      </c>
      <c r="D2216" s="9" t="s">
        <v>3091</v>
      </c>
      <c r="E2216" s="9" t="s">
        <v>3085</v>
      </c>
      <c r="F2216" s="9" t="s">
        <v>136</v>
      </c>
      <c r="H2216" s="9"/>
    </row>
    <row r="2217" ht="14.25" customHeight="1">
      <c r="C2217" s="9" t="s">
        <v>481</v>
      </c>
      <c r="D2217" s="9" t="s">
        <v>3091</v>
      </c>
      <c r="E2217" s="9" t="s">
        <v>3085</v>
      </c>
      <c r="F2217" s="9" t="s">
        <v>408</v>
      </c>
      <c r="H2217" s="9"/>
    </row>
    <row r="2218" ht="14.25" customHeight="1">
      <c r="C2218" s="9" t="s">
        <v>481</v>
      </c>
      <c r="D2218" s="9" t="s">
        <v>3091</v>
      </c>
      <c r="E2218" s="9" t="s">
        <v>3085</v>
      </c>
      <c r="F2218" s="9" t="s">
        <v>2301</v>
      </c>
      <c r="H2218" s="9"/>
    </row>
    <row r="2219" ht="14.25" customHeight="1">
      <c r="C2219" s="9" t="s">
        <v>481</v>
      </c>
      <c r="D2219" s="9" t="s">
        <v>3091</v>
      </c>
      <c r="E2219" s="9" t="s">
        <v>3085</v>
      </c>
      <c r="F2219" s="9" t="s">
        <v>197</v>
      </c>
      <c r="H2219" s="9"/>
    </row>
    <row r="2220" ht="14.25" customHeight="1">
      <c r="C2220" s="9" t="s">
        <v>481</v>
      </c>
      <c r="D2220" s="9" t="s">
        <v>3091</v>
      </c>
      <c r="E2220" s="9" t="s">
        <v>3085</v>
      </c>
      <c r="F2220" s="9" t="s">
        <v>172</v>
      </c>
      <c r="H2220" s="9"/>
    </row>
    <row r="2221" ht="14.25" customHeight="1">
      <c r="C2221" s="9" t="s">
        <v>481</v>
      </c>
      <c r="D2221" s="9" t="s">
        <v>3091</v>
      </c>
      <c r="E2221" s="9" t="s">
        <v>3085</v>
      </c>
      <c r="F2221" s="9" t="s">
        <v>98</v>
      </c>
      <c r="H2221" s="9"/>
    </row>
    <row r="2222" ht="14.25" customHeight="1">
      <c r="C2222" s="9" t="s">
        <v>481</v>
      </c>
      <c r="D2222" s="9" t="s">
        <v>3091</v>
      </c>
      <c r="E2222" s="9" t="s">
        <v>3085</v>
      </c>
      <c r="F2222" s="9" t="s">
        <v>341</v>
      </c>
      <c r="H2222" s="9"/>
    </row>
    <row r="2223" ht="14.25" customHeight="1">
      <c r="C2223" s="9" t="s">
        <v>481</v>
      </c>
      <c r="D2223" s="9" t="s">
        <v>3091</v>
      </c>
      <c r="E2223" s="9" t="s">
        <v>3085</v>
      </c>
      <c r="F2223" s="9" t="s">
        <v>367</v>
      </c>
      <c r="H2223" s="9"/>
    </row>
    <row r="2224" ht="14.25" customHeight="1">
      <c r="C2224" s="9" t="s">
        <v>481</v>
      </c>
      <c r="D2224" s="9" t="s">
        <v>3091</v>
      </c>
      <c r="E2224" s="9" t="s">
        <v>3085</v>
      </c>
      <c r="F2224" s="9" t="s">
        <v>529</v>
      </c>
      <c r="H2224" s="9"/>
    </row>
    <row r="2225" ht="14.25" customHeight="1">
      <c r="C2225" s="9" t="s">
        <v>481</v>
      </c>
      <c r="D2225" s="9" t="s">
        <v>3091</v>
      </c>
      <c r="E2225" s="9" t="s">
        <v>3085</v>
      </c>
      <c r="F2225" s="9" t="s">
        <v>282</v>
      </c>
      <c r="H2225" s="9"/>
    </row>
    <row r="2226" ht="14.25" customHeight="1">
      <c r="C2226" s="9" t="s">
        <v>481</v>
      </c>
      <c r="D2226" s="9" t="s">
        <v>3091</v>
      </c>
      <c r="E2226" s="9" t="s">
        <v>3085</v>
      </c>
      <c r="F2226" s="9" t="s">
        <v>321</v>
      </c>
      <c r="H2226" s="9"/>
    </row>
    <row r="2227" ht="14.25" customHeight="1">
      <c r="C2227" s="9" t="s">
        <v>481</v>
      </c>
      <c r="D2227" s="9" t="s">
        <v>3091</v>
      </c>
      <c r="E2227" s="9" t="s">
        <v>3085</v>
      </c>
      <c r="F2227" s="9" t="s">
        <v>272</v>
      </c>
      <c r="H2227" s="9"/>
    </row>
    <row r="2228" ht="14.25" customHeight="1">
      <c r="C2228" s="9" t="s">
        <v>481</v>
      </c>
      <c r="D2228" s="9" t="s">
        <v>3091</v>
      </c>
      <c r="E2228" s="9" t="s">
        <v>3085</v>
      </c>
      <c r="F2228" s="9" t="s">
        <v>517</v>
      </c>
      <c r="H2228" s="9"/>
    </row>
    <row r="2229" ht="14.25" customHeight="1">
      <c r="C2229" s="9" t="s">
        <v>481</v>
      </c>
      <c r="D2229" s="9" t="s">
        <v>3091</v>
      </c>
      <c r="E2229" s="9" t="s">
        <v>3085</v>
      </c>
      <c r="F2229" s="9" t="s">
        <v>2309</v>
      </c>
      <c r="H2229" s="9"/>
    </row>
    <row r="2230" ht="14.25" customHeight="1">
      <c r="C2230" s="9" t="s">
        <v>481</v>
      </c>
      <c r="D2230" s="9" t="s">
        <v>3091</v>
      </c>
      <c r="E2230" s="9" t="s">
        <v>3085</v>
      </c>
      <c r="F2230" s="9" t="s">
        <v>507</v>
      </c>
      <c r="H2230" s="9"/>
    </row>
    <row r="2231" ht="14.25" customHeight="1">
      <c r="C2231" s="9" t="s">
        <v>481</v>
      </c>
      <c r="D2231" s="9" t="s">
        <v>3091</v>
      </c>
      <c r="E2231" s="9" t="s">
        <v>3085</v>
      </c>
      <c r="F2231" s="9" t="s">
        <v>336</v>
      </c>
      <c r="H2231" s="9"/>
    </row>
    <row r="2232" ht="14.25" customHeight="1">
      <c r="C2232" s="9" t="s">
        <v>481</v>
      </c>
      <c r="D2232" s="9" t="s">
        <v>3091</v>
      </c>
      <c r="E2232" s="9" t="s">
        <v>3085</v>
      </c>
      <c r="F2232" s="9" t="s">
        <v>235</v>
      </c>
      <c r="H2232" s="9"/>
    </row>
    <row r="2233" ht="14.25" customHeight="1">
      <c r="C2233" s="9" t="s">
        <v>481</v>
      </c>
      <c r="D2233" s="9" t="s">
        <v>3091</v>
      </c>
      <c r="E2233" s="9" t="s">
        <v>3085</v>
      </c>
      <c r="F2233" s="9" t="s">
        <v>2957</v>
      </c>
      <c r="H2233" s="9"/>
    </row>
    <row r="2234" ht="14.25" customHeight="1">
      <c r="C2234" s="9" t="s">
        <v>481</v>
      </c>
      <c r="D2234" s="9" t="s">
        <v>3091</v>
      </c>
      <c r="E2234" s="9" t="s">
        <v>3085</v>
      </c>
      <c r="F2234" s="9" t="s">
        <v>264</v>
      </c>
      <c r="H2234" s="9"/>
    </row>
    <row r="2235" ht="14.25" customHeight="1">
      <c r="C2235" s="9" t="s">
        <v>481</v>
      </c>
      <c r="D2235" s="9" t="s">
        <v>3092</v>
      </c>
      <c r="E2235" s="9" t="s">
        <v>3085</v>
      </c>
      <c r="F2235" s="9" t="s">
        <v>474</v>
      </c>
      <c r="H2235" s="9"/>
    </row>
    <row r="2236" ht="14.25" customHeight="1">
      <c r="C2236" s="9" t="s">
        <v>481</v>
      </c>
      <c r="D2236" s="9" t="s">
        <v>3092</v>
      </c>
      <c r="E2236" s="9" t="s">
        <v>3085</v>
      </c>
      <c r="F2236" s="9" t="s">
        <v>284</v>
      </c>
      <c r="H2236" s="9"/>
    </row>
    <row r="2237" ht="14.25" customHeight="1">
      <c r="C2237" s="9" t="s">
        <v>481</v>
      </c>
      <c r="D2237" s="9" t="s">
        <v>3092</v>
      </c>
      <c r="E2237" s="9" t="s">
        <v>3085</v>
      </c>
      <c r="F2237" s="9" t="s">
        <v>493</v>
      </c>
      <c r="H2237" s="9"/>
    </row>
    <row r="2238" ht="14.25" customHeight="1">
      <c r="C2238" s="9" t="s">
        <v>481</v>
      </c>
      <c r="D2238" s="9" t="s">
        <v>3092</v>
      </c>
      <c r="E2238" s="9" t="s">
        <v>3085</v>
      </c>
      <c r="F2238" s="9" t="s">
        <v>450</v>
      </c>
      <c r="H2238" s="9"/>
    </row>
    <row r="2239" ht="14.25" customHeight="1">
      <c r="C2239" s="9" t="s">
        <v>481</v>
      </c>
      <c r="D2239" s="9" t="s">
        <v>3092</v>
      </c>
      <c r="E2239" s="9" t="s">
        <v>3085</v>
      </c>
      <c r="F2239" s="9" t="s">
        <v>2296</v>
      </c>
      <c r="H2239" s="9"/>
    </row>
    <row r="2240" ht="14.25" customHeight="1">
      <c r="C2240" s="9" t="s">
        <v>481</v>
      </c>
      <c r="D2240" s="9" t="s">
        <v>3092</v>
      </c>
      <c r="E2240" s="9" t="s">
        <v>3085</v>
      </c>
      <c r="F2240" s="9" t="s">
        <v>276</v>
      </c>
      <c r="H2240" s="9"/>
    </row>
    <row r="2241" ht="14.25" customHeight="1">
      <c r="C2241" s="9" t="s">
        <v>481</v>
      </c>
      <c r="D2241" s="9" t="s">
        <v>3092</v>
      </c>
      <c r="E2241" s="9" t="s">
        <v>3085</v>
      </c>
      <c r="F2241" s="9" t="s">
        <v>431</v>
      </c>
      <c r="H2241" s="9"/>
    </row>
    <row r="2242" ht="14.25" customHeight="1">
      <c r="C2242" s="9" t="s">
        <v>481</v>
      </c>
      <c r="D2242" s="9" t="s">
        <v>3092</v>
      </c>
      <c r="E2242" s="9" t="s">
        <v>3085</v>
      </c>
      <c r="F2242" s="9" t="s">
        <v>1272</v>
      </c>
      <c r="H2242" s="9"/>
    </row>
    <row r="2243" ht="14.25" customHeight="1">
      <c r="C2243" s="9" t="s">
        <v>481</v>
      </c>
      <c r="D2243" s="9" t="s">
        <v>3092</v>
      </c>
      <c r="E2243" s="9" t="s">
        <v>3085</v>
      </c>
      <c r="F2243" s="9" t="s">
        <v>420</v>
      </c>
      <c r="H2243" s="9"/>
    </row>
    <row r="2244" ht="14.25" customHeight="1">
      <c r="C2244" s="9" t="s">
        <v>481</v>
      </c>
      <c r="D2244" s="9" t="s">
        <v>3092</v>
      </c>
      <c r="E2244" s="9" t="s">
        <v>3085</v>
      </c>
      <c r="F2244" s="9" t="s">
        <v>482</v>
      </c>
      <c r="H2244" s="9"/>
    </row>
    <row r="2245" ht="14.25" customHeight="1">
      <c r="C2245" s="9" t="s">
        <v>481</v>
      </c>
      <c r="D2245" s="9" t="s">
        <v>3092</v>
      </c>
      <c r="E2245" s="9" t="s">
        <v>3085</v>
      </c>
      <c r="F2245" s="9" t="s">
        <v>136</v>
      </c>
      <c r="H2245" s="9"/>
    </row>
    <row r="2246" ht="14.25" customHeight="1">
      <c r="C2246" s="9" t="s">
        <v>481</v>
      </c>
      <c r="D2246" s="9" t="s">
        <v>3092</v>
      </c>
      <c r="E2246" s="9" t="s">
        <v>3085</v>
      </c>
      <c r="F2246" s="9" t="s">
        <v>408</v>
      </c>
      <c r="H2246" s="9"/>
    </row>
    <row r="2247" ht="14.25" customHeight="1">
      <c r="C2247" s="9" t="s">
        <v>481</v>
      </c>
      <c r="D2247" s="9" t="s">
        <v>3092</v>
      </c>
      <c r="E2247" s="9" t="s">
        <v>3085</v>
      </c>
      <c r="F2247" s="9" t="s">
        <v>2301</v>
      </c>
      <c r="H2247" s="9"/>
    </row>
    <row r="2248" ht="14.25" customHeight="1">
      <c r="C2248" s="9" t="s">
        <v>481</v>
      </c>
      <c r="D2248" s="9" t="s">
        <v>3092</v>
      </c>
      <c r="E2248" s="9" t="s">
        <v>3085</v>
      </c>
      <c r="F2248" s="9" t="s">
        <v>197</v>
      </c>
      <c r="H2248" s="9"/>
    </row>
    <row r="2249" ht="14.25" customHeight="1">
      <c r="C2249" s="9" t="s">
        <v>481</v>
      </c>
      <c r="D2249" s="9" t="s">
        <v>3092</v>
      </c>
      <c r="E2249" s="9" t="s">
        <v>3085</v>
      </c>
      <c r="F2249" s="9" t="s">
        <v>172</v>
      </c>
      <c r="H2249" s="9"/>
    </row>
    <row r="2250" ht="14.25" customHeight="1">
      <c r="C2250" s="9" t="s">
        <v>481</v>
      </c>
      <c r="D2250" s="9" t="s">
        <v>3092</v>
      </c>
      <c r="E2250" s="9" t="s">
        <v>3085</v>
      </c>
      <c r="F2250" s="9" t="s">
        <v>98</v>
      </c>
      <c r="H2250" s="9"/>
    </row>
    <row r="2251" ht="14.25" customHeight="1">
      <c r="C2251" s="9" t="s">
        <v>481</v>
      </c>
      <c r="D2251" s="9" t="s">
        <v>3092</v>
      </c>
      <c r="E2251" s="9" t="s">
        <v>3085</v>
      </c>
      <c r="F2251" s="9" t="s">
        <v>341</v>
      </c>
      <c r="H2251" s="9"/>
    </row>
    <row r="2252" ht="14.25" customHeight="1">
      <c r="C2252" s="9" t="s">
        <v>481</v>
      </c>
      <c r="D2252" s="9" t="s">
        <v>3092</v>
      </c>
      <c r="E2252" s="9" t="s">
        <v>3085</v>
      </c>
      <c r="F2252" s="9" t="s">
        <v>367</v>
      </c>
      <c r="H2252" s="9"/>
    </row>
    <row r="2253" ht="14.25" customHeight="1">
      <c r="C2253" s="9" t="s">
        <v>481</v>
      </c>
      <c r="D2253" s="9" t="s">
        <v>3092</v>
      </c>
      <c r="E2253" s="9" t="s">
        <v>3085</v>
      </c>
      <c r="F2253" s="9" t="s">
        <v>529</v>
      </c>
      <c r="H2253" s="9"/>
    </row>
    <row r="2254" ht="14.25" customHeight="1">
      <c r="C2254" s="9" t="s">
        <v>481</v>
      </c>
      <c r="D2254" s="9" t="s">
        <v>3092</v>
      </c>
      <c r="E2254" s="9" t="s">
        <v>3085</v>
      </c>
      <c r="F2254" s="9" t="s">
        <v>282</v>
      </c>
      <c r="H2254" s="9"/>
    </row>
    <row r="2255" ht="14.25" customHeight="1">
      <c r="C2255" s="9" t="s">
        <v>481</v>
      </c>
      <c r="D2255" s="9" t="s">
        <v>3092</v>
      </c>
      <c r="E2255" s="9" t="s">
        <v>3085</v>
      </c>
      <c r="F2255" s="9" t="s">
        <v>321</v>
      </c>
      <c r="H2255" s="9"/>
    </row>
    <row r="2256" ht="14.25" customHeight="1">
      <c r="C2256" s="9" t="s">
        <v>481</v>
      </c>
      <c r="D2256" s="9" t="s">
        <v>3092</v>
      </c>
      <c r="E2256" s="9" t="s">
        <v>3085</v>
      </c>
      <c r="F2256" s="9" t="s">
        <v>272</v>
      </c>
      <c r="H2256" s="9"/>
    </row>
    <row r="2257" ht="14.25" customHeight="1">
      <c r="C2257" s="9" t="s">
        <v>481</v>
      </c>
      <c r="D2257" s="9" t="s">
        <v>3092</v>
      </c>
      <c r="E2257" s="9" t="s">
        <v>3085</v>
      </c>
      <c r="F2257" s="9" t="s">
        <v>517</v>
      </c>
      <c r="H2257" s="9"/>
    </row>
    <row r="2258" ht="14.25" customHeight="1">
      <c r="C2258" s="9" t="s">
        <v>481</v>
      </c>
      <c r="D2258" s="9" t="s">
        <v>3092</v>
      </c>
      <c r="E2258" s="9" t="s">
        <v>3085</v>
      </c>
      <c r="F2258" s="9" t="s">
        <v>2309</v>
      </c>
      <c r="H2258" s="9"/>
    </row>
    <row r="2259" ht="14.25" customHeight="1">
      <c r="C2259" s="9" t="s">
        <v>481</v>
      </c>
      <c r="D2259" s="9" t="s">
        <v>3092</v>
      </c>
      <c r="E2259" s="9" t="s">
        <v>3085</v>
      </c>
      <c r="F2259" s="9" t="s">
        <v>507</v>
      </c>
      <c r="H2259" s="9"/>
    </row>
    <row r="2260" ht="14.25" customHeight="1">
      <c r="C2260" s="9" t="s">
        <v>481</v>
      </c>
      <c r="D2260" s="9" t="s">
        <v>3092</v>
      </c>
      <c r="E2260" s="9" t="s">
        <v>3085</v>
      </c>
      <c r="F2260" s="9" t="s">
        <v>336</v>
      </c>
      <c r="H2260" s="9"/>
    </row>
    <row r="2261" ht="14.25" customHeight="1">
      <c r="C2261" s="9" t="s">
        <v>481</v>
      </c>
      <c r="D2261" s="9" t="s">
        <v>3092</v>
      </c>
      <c r="E2261" s="9" t="s">
        <v>3085</v>
      </c>
      <c r="F2261" s="9" t="s">
        <v>235</v>
      </c>
      <c r="H2261" s="9"/>
    </row>
    <row r="2262" ht="14.25" customHeight="1">
      <c r="C2262" s="9" t="s">
        <v>481</v>
      </c>
      <c r="D2262" s="9" t="s">
        <v>3092</v>
      </c>
      <c r="E2262" s="9" t="s">
        <v>3085</v>
      </c>
      <c r="F2262" s="9" t="s">
        <v>2957</v>
      </c>
      <c r="H2262" s="9"/>
    </row>
    <row r="2263" ht="14.25" customHeight="1">
      <c r="C2263" s="9" t="s">
        <v>481</v>
      </c>
      <c r="D2263" s="9" t="s">
        <v>3092</v>
      </c>
      <c r="E2263" s="9" t="s">
        <v>3085</v>
      </c>
      <c r="F2263" s="9" t="s">
        <v>264</v>
      </c>
      <c r="H2263" s="9"/>
    </row>
    <row r="2264" ht="14.25" customHeight="1">
      <c r="C2264" s="9" t="s">
        <v>481</v>
      </c>
      <c r="D2264" s="9" t="s">
        <v>3093</v>
      </c>
      <c r="E2264" s="9" t="s">
        <v>3085</v>
      </c>
      <c r="F2264" s="9" t="s">
        <v>474</v>
      </c>
      <c r="H2264" s="9"/>
    </row>
    <row r="2265" ht="14.25" customHeight="1">
      <c r="C2265" s="9" t="s">
        <v>481</v>
      </c>
      <c r="D2265" s="9" t="s">
        <v>3093</v>
      </c>
      <c r="E2265" s="9" t="s">
        <v>3085</v>
      </c>
      <c r="F2265" s="9" t="s">
        <v>284</v>
      </c>
      <c r="H2265" s="9"/>
    </row>
    <row r="2266" ht="14.25" customHeight="1">
      <c r="C2266" s="9" t="s">
        <v>481</v>
      </c>
      <c r="D2266" s="9" t="s">
        <v>3093</v>
      </c>
      <c r="E2266" s="9" t="s">
        <v>3085</v>
      </c>
      <c r="F2266" s="9" t="s">
        <v>493</v>
      </c>
      <c r="H2266" s="9"/>
    </row>
    <row r="2267" ht="14.25" customHeight="1">
      <c r="C2267" s="9" t="s">
        <v>481</v>
      </c>
      <c r="D2267" s="9" t="s">
        <v>3093</v>
      </c>
      <c r="E2267" s="9" t="s">
        <v>3085</v>
      </c>
      <c r="F2267" s="9" t="s">
        <v>450</v>
      </c>
      <c r="H2267" s="9"/>
    </row>
    <row r="2268" ht="14.25" customHeight="1">
      <c r="C2268" s="9" t="s">
        <v>481</v>
      </c>
      <c r="D2268" s="9" t="s">
        <v>3093</v>
      </c>
      <c r="E2268" s="9" t="s">
        <v>3085</v>
      </c>
      <c r="F2268" s="9" t="s">
        <v>2296</v>
      </c>
      <c r="H2268" s="9"/>
    </row>
    <row r="2269" ht="14.25" customHeight="1">
      <c r="C2269" s="9" t="s">
        <v>481</v>
      </c>
      <c r="D2269" s="9" t="s">
        <v>3093</v>
      </c>
      <c r="E2269" s="9" t="s">
        <v>3085</v>
      </c>
      <c r="F2269" s="9" t="s">
        <v>276</v>
      </c>
      <c r="H2269" s="9"/>
    </row>
    <row r="2270" ht="14.25" customHeight="1">
      <c r="C2270" s="9" t="s">
        <v>481</v>
      </c>
      <c r="D2270" s="9" t="s">
        <v>3093</v>
      </c>
      <c r="E2270" s="9" t="s">
        <v>3085</v>
      </c>
      <c r="F2270" s="9" t="s">
        <v>431</v>
      </c>
      <c r="H2270" s="9"/>
    </row>
    <row r="2271" ht="14.25" customHeight="1">
      <c r="C2271" s="9" t="s">
        <v>481</v>
      </c>
      <c r="D2271" s="9" t="s">
        <v>3093</v>
      </c>
      <c r="E2271" s="9" t="s">
        <v>3085</v>
      </c>
      <c r="F2271" s="9" t="s">
        <v>1272</v>
      </c>
      <c r="H2271" s="9"/>
    </row>
    <row r="2272" ht="14.25" customHeight="1">
      <c r="C2272" s="9" t="s">
        <v>481</v>
      </c>
      <c r="D2272" s="9" t="s">
        <v>3093</v>
      </c>
      <c r="E2272" s="9" t="s">
        <v>3085</v>
      </c>
      <c r="F2272" s="9" t="s">
        <v>420</v>
      </c>
      <c r="H2272" s="9"/>
    </row>
    <row r="2273" ht="14.25" customHeight="1">
      <c r="C2273" s="9" t="s">
        <v>481</v>
      </c>
      <c r="D2273" s="9" t="s">
        <v>3093</v>
      </c>
      <c r="E2273" s="9" t="s">
        <v>3085</v>
      </c>
      <c r="F2273" s="9" t="s">
        <v>482</v>
      </c>
      <c r="H2273" s="9"/>
    </row>
    <row r="2274" ht="14.25" customHeight="1">
      <c r="C2274" s="9" t="s">
        <v>481</v>
      </c>
      <c r="D2274" s="9" t="s">
        <v>3093</v>
      </c>
      <c r="E2274" s="9" t="s">
        <v>3085</v>
      </c>
      <c r="F2274" s="9" t="s">
        <v>136</v>
      </c>
      <c r="H2274" s="9"/>
    </row>
    <row r="2275" ht="14.25" customHeight="1">
      <c r="C2275" s="9" t="s">
        <v>481</v>
      </c>
      <c r="D2275" s="9" t="s">
        <v>3093</v>
      </c>
      <c r="E2275" s="9" t="s">
        <v>3085</v>
      </c>
      <c r="F2275" s="9" t="s">
        <v>408</v>
      </c>
      <c r="H2275" s="9"/>
    </row>
    <row r="2276" ht="14.25" customHeight="1">
      <c r="C2276" s="9" t="s">
        <v>481</v>
      </c>
      <c r="D2276" s="9" t="s">
        <v>3093</v>
      </c>
      <c r="E2276" s="9" t="s">
        <v>3085</v>
      </c>
      <c r="F2276" s="9" t="s">
        <v>2301</v>
      </c>
      <c r="H2276" s="9"/>
    </row>
    <row r="2277" ht="14.25" customHeight="1">
      <c r="C2277" s="9" t="s">
        <v>481</v>
      </c>
      <c r="D2277" s="9" t="s">
        <v>3093</v>
      </c>
      <c r="E2277" s="9" t="s">
        <v>3085</v>
      </c>
      <c r="F2277" s="9" t="s">
        <v>197</v>
      </c>
      <c r="H2277" s="9"/>
    </row>
    <row r="2278" ht="14.25" customHeight="1">
      <c r="C2278" s="9" t="s">
        <v>481</v>
      </c>
      <c r="D2278" s="9" t="s">
        <v>3093</v>
      </c>
      <c r="E2278" s="9" t="s">
        <v>3085</v>
      </c>
      <c r="F2278" s="9" t="s">
        <v>172</v>
      </c>
      <c r="H2278" s="9"/>
    </row>
    <row r="2279" ht="14.25" customHeight="1">
      <c r="C2279" s="9" t="s">
        <v>481</v>
      </c>
      <c r="D2279" s="9" t="s">
        <v>3093</v>
      </c>
      <c r="E2279" s="9" t="s">
        <v>3085</v>
      </c>
      <c r="F2279" s="9" t="s">
        <v>98</v>
      </c>
      <c r="H2279" s="9"/>
    </row>
    <row r="2280" ht="14.25" customHeight="1">
      <c r="C2280" s="9" t="s">
        <v>481</v>
      </c>
      <c r="D2280" s="9" t="s">
        <v>3093</v>
      </c>
      <c r="E2280" s="9" t="s">
        <v>3085</v>
      </c>
      <c r="F2280" s="9" t="s">
        <v>341</v>
      </c>
      <c r="H2280" s="9"/>
    </row>
    <row r="2281" ht="14.25" customHeight="1">
      <c r="C2281" s="9" t="s">
        <v>481</v>
      </c>
      <c r="D2281" s="9" t="s">
        <v>3093</v>
      </c>
      <c r="E2281" s="9" t="s">
        <v>3085</v>
      </c>
      <c r="F2281" s="9" t="s">
        <v>367</v>
      </c>
      <c r="H2281" s="9"/>
    </row>
    <row r="2282" ht="14.25" customHeight="1">
      <c r="C2282" s="9" t="s">
        <v>481</v>
      </c>
      <c r="D2282" s="9" t="s">
        <v>3093</v>
      </c>
      <c r="E2282" s="9" t="s">
        <v>3085</v>
      </c>
      <c r="F2282" s="9" t="s">
        <v>529</v>
      </c>
      <c r="H2282" s="9"/>
    </row>
    <row r="2283" ht="14.25" customHeight="1">
      <c r="C2283" s="9" t="s">
        <v>481</v>
      </c>
      <c r="D2283" s="9" t="s">
        <v>3093</v>
      </c>
      <c r="E2283" s="9" t="s">
        <v>3085</v>
      </c>
      <c r="F2283" s="9" t="s">
        <v>282</v>
      </c>
      <c r="H2283" s="9"/>
    </row>
    <row r="2284" ht="14.25" customHeight="1">
      <c r="C2284" s="9" t="s">
        <v>481</v>
      </c>
      <c r="D2284" s="9" t="s">
        <v>3093</v>
      </c>
      <c r="E2284" s="9" t="s">
        <v>3085</v>
      </c>
      <c r="F2284" s="9" t="s">
        <v>321</v>
      </c>
      <c r="H2284" s="9"/>
    </row>
    <row r="2285" ht="14.25" customHeight="1">
      <c r="C2285" s="9" t="s">
        <v>481</v>
      </c>
      <c r="D2285" s="9" t="s">
        <v>3093</v>
      </c>
      <c r="E2285" s="9" t="s">
        <v>3085</v>
      </c>
      <c r="F2285" s="9" t="s">
        <v>272</v>
      </c>
      <c r="H2285" s="9"/>
    </row>
    <row r="2286" ht="14.25" customHeight="1">
      <c r="C2286" s="9" t="s">
        <v>481</v>
      </c>
      <c r="D2286" s="9" t="s">
        <v>3093</v>
      </c>
      <c r="E2286" s="9" t="s">
        <v>3085</v>
      </c>
      <c r="F2286" s="9" t="s">
        <v>517</v>
      </c>
      <c r="H2286" s="9"/>
    </row>
    <row r="2287" ht="14.25" customHeight="1">
      <c r="C2287" s="9" t="s">
        <v>481</v>
      </c>
      <c r="D2287" s="9" t="s">
        <v>3093</v>
      </c>
      <c r="E2287" s="9" t="s">
        <v>3085</v>
      </c>
      <c r="F2287" s="9" t="s">
        <v>2309</v>
      </c>
      <c r="H2287" s="9"/>
    </row>
    <row r="2288" ht="14.25" customHeight="1">
      <c r="C2288" s="9" t="s">
        <v>481</v>
      </c>
      <c r="D2288" s="9" t="s">
        <v>3093</v>
      </c>
      <c r="E2288" s="9" t="s">
        <v>3085</v>
      </c>
      <c r="F2288" s="9" t="s">
        <v>507</v>
      </c>
      <c r="H2288" s="9"/>
    </row>
    <row r="2289" ht="14.25" customHeight="1">
      <c r="C2289" s="9" t="s">
        <v>481</v>
      </c>
      <c r="D2289" s="9" t="s">
        <v>3093</v>
      </c>
      <c r="E2289" s="9" t="s">
        <v>3085</v>
      </c>
      <c r="F2289" s="9" t="s">
        <v>336</v>
      </c>
      <c r="H2289" s="9"/>
    </row>
    <row r="2290" ht="14.25" customHeight="1">
      <c r="C2290" s="9" t="s">
        <v>481</v>
      </c>
      <c r="D2290" s="9" t="s">
        <v>3093</v>
      </c>
      <c r="E2290" s="9" t="s">
        <v>3085</v>
      </c>
      <c r="F2290" s="9" t="s">
        <v>235</v>
      </c>
      <c r="H2290" s="9"/>
    </row>
    <row r="2291" ht="14.25" customHeight="1">
      <c r="C2291" s="9" t="s">
        <v>481</v>
      </c>
      <c r="D2291" s="9" t="s">
        <v>3093</v>
      </c>
      <c r="E2291" s="9" t="s">
        <v>3085</v>
      </c>
      <c r="F2291" s="9" t="s">
        <v>2957</v>
      </c>
      <c r="H2291" s="9"/>
    </row>
    <row r="2292" ht="14.25" customHeight="1">
      <c r="C2292" s="9" t="s">
        <v>481</v>
      </c>
      <c r="D2292" s="9" t="s">
        <v>3093</v>
      </c>
      <c r="E2292" s="9" t="s">
        <v>3085</v>
      </c>
      <c r="F2292" s="9" t="s">
        <v>264</v>
      </c>
      <c r="H2292" s="9"/>
    </row>
    <row r="2293" ht="14.25" customHeight="1">
      <c r="C2293" s="9" t="s">
        <v>481</v>
      </c>
      <c r="D2293" s="9" t="s">
        <v>3094</v>
      </c>
      <c r="E2293" s="9" t="s">
        <v>3085</v>
      </c>
      <c r="F2293" s="9" t="s">
        <v>474</v>
      </c>
      <c r="H2293" s="9"/>
    </row>
    <row r="2294" ht="14.25" customHeight="1">
      <c r="C2294" s="9" t="s">
        <v>481</v>
      </c>
      <c r="D2294" s="9" t="s">
        <v>3094</v>
      </c>
      <c r="E2294" s="9" t="s">
        <v>3085</v>
      </c>
      <c r="F2294" s="9" t="s">
        <v>284</v>
      </c>
      <c r="H2294" s="9"/>
    </row>
    <row r="2295" ht="14.25" customHeight="1">
      <c r="C2295" s="9" t="s">
        <v>481</v>
      </c>
      <c r="D2295" s="9" t="s">
        <v>3094</v>
      </c>
      <c r="E2295" s="9" t="s">
        <v>3085</v>
      </c>
      <c r="F2295" s="9" t="s">
        <v>493</v>
      </c>
      <c r="H2295" s="9"/>
    </row>
    <row r="2296" ht="14.25" customHeight="1">
      <c r="C2296" s="9" t="s">
        <v>481</v>
      </c>
      <c r="D2296" s="9" t="s">
        <v>3094</v>
      </c>
      <c r="E2296" s="9" t="s">
        <v>3085</v>
      </c>
      <c r="F2296" s="9" t="s">
        <v>450</v>
      </c>
      <c r="H2296" s="9"/>
    </row>
    <row r="2297" ht="14.25" customHeight="1">
      <c r="C2297" s="9" t="s">
        <v>481</v>
      </c>
      <c r="D2297" s="9" t="s">
        <v>3094</v>
      </c>
      <c r="E2297" s="9" t="s">
        <v>3085</v>
      </c>
      <c r="F2297" s="9" t="s">
        <v>2296</v>
      </c>
      <c r="H2297" s="9"/>
    </row>
    <row r="2298" ht="14.25" customHeight="1">
      <c r="C2298" s="9" t="s">
        <v>481</v>
      </c>
      <c r="D2298" s="9" t="s">
        <v>3094</v>
      </c>
      <c r="E2298" s="9" t="s">
        <v>3085</v>
      </c>
      <c r="F2298" s="9" t="s">
        <v>276</v>
      </c>
      <c r="H2298" s="9"/>
    </row>
    <row r="2299" ht="14.25" customHeight="1">
      <c r="C2299" s="9" t="s">
        <v>481</v>
      </c>
      <c r="D2299" s="9" t="s">
        <v>3094</v>
      </c>
      <c r="E2299" s="9" t="s">
        <v>3085</v>
      </c>
      <c r="F2299" s="9" t="s">
        <v>431</v>
      </c>
      <c r="H2299" s="9"/>
    </row>
    <row r="2300" ht="14.25" customHeight="1">
      <c r="C2300" s="9" t="s">
        <v>481</v>
      </c>
      <c r="D2300" s="9" t="s">
        <v>3094</v>
      </c>
      <c r="E2300" s="9" t="s">
        <v>3085</v>
      </c>
      <c r="F2300" s="9" t="s">
        <v>1272</v>
      </c>
      <c r="H2300" s="9"/>
    </row>
    <row r="2301" ht="14.25" customHeight="1">
      <c r="C2301" s="9" t="s">
        <v>481</v>
      </c>
      <c r="D2301" s="9" t="s">
        <v>3094</v>
      </c>
      <c r="E2301" s="9" t="s">
        <v>3085</v>
      </c>
      <c r="F2301" s="9" t="s">
        <v>420</v>
      </c>
      <c r="H2301" s="9"/>
    </row>
    <row r="2302" ht="14.25" customHeight="1">
      <c r="C2302" s="9" t="s">
        <v>481</v>
      </c>
      <c r="D2302" s="9" t="s">
        <v>3094</v>
      </c>
      <c r="E2302" s="9" t="s">
        <v>3085</v>
      </c>
      <c r="F2302" s="9" t="s">
        <v>482</v>
      </c>
      <c r="H2302" s="9"/>
    </row>
    <row r="2303" ht="14.25" customHeight="1">
      <c r="C2303" s="9" t="s">
        <v>481</v>
      </c>
      <c r="D2303" s="9" t="s">
        <v>3094</v>
      </c>
      <c r="E2303" s="9" t="s">
        <v>3085</v>
      </c>
      <c r="F2303" s="9" t="s">
        <v>136</v>
      </c>
      <c r="H2303" s="9"/>
    </row>
    <row r="2304" ht="14.25" customHeight="1">
      <c r="C2304" s="9" t="s">
        <v>481</v>
      </c>
      <c r="D2304" s="9" t="s">
        <v>3094</v>
      </c>
      <c r="E2304" s="9" t="s">
        <v>3085</v>
      </c>
      <c r="F2304" s="9" t="s">
        <v>408</v>
      </c>
      <c r="H2304" s="9"/>
    </row>
    <row r="2305" ht="14.25" customHeight="1">
      <c r="C2305" s="9" t="s">
        <v>481</v>
      </c>
      <c r="D2305" s="9" t="s">
        <v>3094</v>
      </c>
      <c r="E2305" s="9" t="s">
        <v>3085</v>
      </c>
      <c r="F2305" s="9" t="s">
        <v>2301</v>
      </c>
      <c r="H2305" s="9"/>
    </row>
    <row r="2306" ht="14.25" customHeight="1">
      <c r="C2306" s="9" t="s">
        <v>481</v>
      </c>
      <c r="D2306" s="9" t="s">
        <v>3094</v>
      </c>
      <c r="E2306" s="9" t="s">
        <v>3085</v>
      </c>
      <c r="F2306" s="9" t="s">
        <v>197</v>
      </c>
      <c r="H2306" s="9"/>
    </row>
    <row r="2307" ht="14.25" customHeight="1">
      <c r="C2307" s="9" t="s">
        <v>481</v>
      </c>
      <c r="D2307" s="9" t="s">
        <v>3094</v>
      </c>
      <c r="E2307" s="9" t="s">
        <v>3085</v>
      </c>
      <c r="F2307" s="9" t="s">
        <v>172</v>
      </c>
      <c r="H2307" s="9"/>
    </row>
    <row r="2308" ht="14.25" customHeight="1">
      <c r="C2308" s="9" t="s">
        <v>481</v>
      </c>
      <c r="D2308" s="9" t="s">
        <v>3094</v>
      </c>
      <c r="E2308" s="9" t="s">
        <v>3085</v>
      </c>
      <c r="F2308" s="9" t="s">
        <v>98</v>
      </c>
      <c r="H2308" s="9"/>
    </row>
    <row r="2309" ht="14.25" customHeight="1">
      <c r="C2309" s="9" t="s">
        <v>481</v>
      </c>
      <c r="D2309" s="9" t="s">
        <v>3094</v>
      </c>
      <c r="E2309" s="9" t="s">
        <v>3085</v>
      </c>
      <c r="F2309" s="9" t="s">
        <v>341</v>
      </c>
      <c r="H2309" s="9"/>
    </row>
    <row r="2310" ht="14.25" customHeight="1">
      <c r="C2310" s="9" t="s">
        <v>481</v>
      </c>
      <c r="D2310" s="9" t="s">
        <v>3094</v>
      </c>
      <c r="E2310" s="9" t="s">
        <v>3085</v>
      </c>
      <c r="F2310" s="9" t="s">
        <v>367</v>
      </c>
      <c r="H2310" s="9"/>
    </row>
    <row r="2311" ht="14.25" customHeight="1">
      <c r="C2311" s="9" t="s">
        <v>481</v>
      </c>
      <c r="D2311" s="9" t="s">
        <v>3094</v>
      </c>
      <c r="E2311" s="9" t="s">
        <v>3085</v>
      </c>
      <c r="F2311" s="9" t="s">
        <v>529</v>
      </c>
      <c r="H2311" s="9"/>
    </row>
    <row r="2312" ht="14.25" customHeight="1">
      <c r="C2312" s="9" t="s">
        <v>481</v>
      </c>
      <c r="D2312" s="9" t="s">
        <v>3094</v>
      </c>
      <c r="E2312" s="9" t="s">
        <v>3085</v>
      </c>
      <c r="F2312" s="9" t="s">
        <v>282</v>
      </c>
      <c r="H2312" s="9"/>
    </row>
    <row r="2313" ht="14.25" customHeight="1">
      <c r="C2313" s="9" t="s">
        <v>481</v>
      </c>
      <c r="D2313" s="9" t="s">
        <v>3094</v>
      </c>
      <c r="E2313" s="9" t="s">
        <v>3085</v>
      </c>
      <c r="F2313" s="9" t="s">
        <v>321</v>
      </c>
      <c r="H2313" s="9"/>
    </row>
    <row r="2314" ht="14.25" customHeight="1">
      <c r="C2314" s="9" t="s">
        <v>481</v>
      </c>
      <c r="D2314" s="9" t="s">
        <v>3094</v>
      </c>
      <c r="E2314" s="9" t="s">
        <v>3085</v>
      </c>
      <c r="F2314" s="9" t="s">
        <v>272</v>
      </c>
      <c r="H2314" s="9"/>
    </row>
    <row r="2315" ht="14.25" customHeight="1">
      <c r="C2315" s="9" t="s">
        <v>481</v>
      </c>
      <c r="D2315" s="9" t="s">
        <v>3094</v>
      </c>
      <c r="E2315" s="9" t="s">
        <v>3085</v>
      </c>
      <c r="F2315" s="9" t="s">
        <v>517</v>
      </c>
      <c r="H2315" s="9"/>
    </row>
    <row r="2316" ht="14.25" customHeight="1">
      <c r="C2316" s="9" t="s">
        <v>481</v>
      </c>
      <c r="D2316" s="9" t="s">
        <v>3094</v>
      </c>
      <c r="E2316" s="9" t="s">
        <v>3085</v>
      </c>
      <c r="F2316" s="9" t="s">
        <v>2309</v>
      </c>
      <c r="H2316" s="9"/>
    </row>
    <row r="2317" ht="14.25" customHeight="1">
      <c r="C2317" s="9" t="s">
        <v>481</v>
      </c>
      <c r="D2317" s="9" t="s">
        <v>3094</v>
      </c>
      <c r="E2317" s="9" t="s">
        <v>3085</v>
      </c>
      <c r="F2317" s="9" t="s">
        <v>507</v>
      </c>
      <c r="H2317" s="9"/>
    </row>
    <row r="2318" ht="14.25" customHeight="1">
      <c r="C2318" s="9" t="s">
        <v>481</v>
      </c>
      <c r="D2318" s="9" t="s">
        <v>3094</v>
      </c>
      <c r="E2318" s="9" t="s">
        <v>3085</v>
      </c>
      <c r="F2318" s="9" t="s">
        <v>336</v>
      </c>
      <c r="H2318" s="9"/>
    </row>
    <row r="2319" ht="14.25" customHeight="1">
      <c r="C2319" s="9" t="s">
        <v>481</v>
      </c>
      <c r="D2319" s="9" t="s">
        <v>3094</v>
      </c>
      <c r="E2319" s="9" t="s">
        <v>3085</v>
      </c>
      <c r="F2319" s="9" t="s">
        <v>235</v>
      </c>
      <c r="H2319" s="9"/>
    </row>
    <row r="2320" ht="14.25" customHeight="1">
      <c r="C2320" s="9" t="s">
        <v>481</v>
      </c>
      <c r="D2320" s="9" t="s">
        <v>3094</v>
      </c>
      <c r="E2320" s="9" t="s">
        <v>3085</v>
      </c>
      <c r="F2320" s="9" t="s">
        <v>2957</v>
      </c>
      <c r="H2320" s="9"/>
    </row>
    <row r="2321" ht="14.25" customHeight="1">
      <c r="C2321" s="9" t="s">
        <v>481</v>
      </c>
      <c r="D2321" s="9" t="s">
        <v>3094</v>
      </c>
      <c r="E2321" s="9" t="s">
        <v>3085</v>
      </c>
      <c r="F2321" s="9" t="s">
        <v>264</v>
      </c>
      <c r="H2321" s="9"/>
    </row>
    <row r="2322" ht="14.25" customHeight="1">
      <c r="C2322" s="9" t="s">
        <v>481</v>
      </c>
      <c r="D2322" s="9" t="s">
        <v>3095</v>
      </c>
      <c r="E2322" s="9" t="s">
        <v>3085</v>
      </c>
      <c r="F2322" s="9" t="s">
        <v>474</v>
      </c>
      <c r="H2322" s="9"/>
    </row>
    <row r="2323" ht="14.25" customHeight="1">
      <c r="C2323" s="9" t="s">
        <v>481</v>
      </c>
      <c r="D2323" s="9" t="s">
        <v>3095</v>
      </c>
      <c r="E2323" s="9" t="s">
        <v>3085</v>
      </c>
      <c r="F2323" s="9" t="s">
        <v>284</v>
      </c>
      <c r="H2323" s="9"/>
    </row>
    <row r="2324" ht="14.25" customHeight="1">
      <c r="C2324" s="9" t="s">
        <v>481</v>
      </c>
      <c r="D2324" s="9" t="s">
        <v>3095</v>
      </c>
      <c r="E2324" s="9" t="s">
        <v>3085</v>
      </c>
      <c r="F2324" s="9" t="s">
        <v>493</v>
      </c>
      <c r="H2324" s="9"/>
    </row>
    <row r="2325" ht="14.25" customHeight="1">
      <c r="C2325" s="9" t="s">
        <v>481</v>
      </c>
      <c r="D2325" s="9" t="s">
        <v>3095</v>
      </c>
      <c r="E2325" s="9" t="s">
        <v>3085</v>
      </c>
      <c r="F2325" s="9" t="s">
        <v>450</v>
      </c>
      <c r="H2325" s="9"/>
    </row>
    <row r="2326" ht="14.25" customHeight="1">
      <c r="C2326" s="9" t="s">
        <v>481</v>
      </c>
      <c r="D2326" s="9" t="s">
        <v>3095</v>
      </c>
      <c r="E2326" s="9" t="s">
        <v>3085</v>
      </c>
      <c r="F2326" s="9" t="s">
        <v>2296</v>
      </c>
      <c r="H2326" s="9"/>
    </row>
    <row r="2327" ht="14.25" customHeight="1">
      <c r="C2327" s="9" t="s">
        <v>481</v>
      </c>
      <c r="D2327" s="9" t="s">
        <v>3095</v>
      </c>
      <c r="E2327" s="9" t="s">
        <v>3085</v>
      </c>
      <c r="F2327" s="9" t="s">
        <v>276</v>
      </c>
      <c r="H2327" s="9"/>
    </row>
    <row r="2328" ht="14.25" customHeight="1">
      <c r="C2328" s="9" t="s">
        <v>481</v>
      </c>
      <c r="D2328" s="9" t="s">
        <v>3095</v>
      </c>
      <c r="E2328" s="9" t="s">
        <v>3085</v>
      </c>
      <c r="F2328" s="9" t="s">
        <v>431</v>
      </c>
      <c r="H2328" s="9"/>
    </row>
    <row r="2329" ht="14.25" customHeight="1">
      <c r="C2329" s="9" t="s">
        <v>481</v>
      </c>
      <c r="D2329" s="9" t="s">
        <v>3095</v>
      </c>
      <c r="E2329" s="9" t="s">
        <v>3085</v>
      </c>
      <c r="F2329" s="9" t="s">
        <v>1272</v>
      </c>
      <c r="H2329" s="9"/>
    </row>
    <row r="2330" ht="14.25" customHeight="1">
      <c r="C2330" s="9" t="s">
        <v>481</v>
      </c>
      <c r="D2330" s="9" t="s">
        <v>3095</v>
      </c>
      <c r="E2330" s="9" t="s">
        <v>3085</v>
      </c>
      <c r="F2330" s="9" t="s">
        <v>420</v>
      </c>
      <c r="H2330" s="9"/>
    </row>
    <row r="2331" ht="14.25" customHeight="1">
      <c r="C2331" s="9" t="s">
        <v>481</v>
      </c>
      <c r="D2331" s="9" t="s">
        <v>3095</v>
      </c>
      <c r="E2331" s="9" t="s">
        <v>3085</v>
      </c>
      <c r="F2331" s="9" t="s">
        <v>482</v>
      </c>
      <c r="H2331" s="9"/>
    </row>
    <row r="2332" ht="14.25" customHeight="1">
      <c r="C2332" s="9" t="s">
        <v>481</v>
      </c>
      <c r="D2332" s="9" t="s">
        <v>3095</v>
      </c>
      <c r="E2332" s="9" t="s">
        <v>3085</v>
      </c>
      <c r="F2332" s="9" t="s">
        <v>136</v>
      </c>
      <c r="H2332" s="9"/>
    </row>
    <row r="2333" ht="14.25" customHeight="1">
      <c r="C2333" s="9" t="s">
        <v>481</v>
      </c>
      <c r="D2333" s="9" t="s">
        <v>3095</v>
      </c>
      <c r="E2333" s="9" t="s">
        <v>3085</v>
      </c>
      <c r="F2333" s="9" t="s">
        <v>408</v>
      </c>
      <c r="H2333" s="9"/>
    </row>
    <row r="2334" ht="14.25" customHeight="1">
      <c r="C2334" s="9" t="s">
        <v>481</v>
      </c>
      <c r="D2334" s="9" t="s">
        <v>3095</v>
      </c>
      <c r="E2334" s="9" t="s">
        <v>3085</v>
      </c>
      <c r="F2334" s="9" t="s">
        <v>2301</v>
      </c>
      <c r="H2334" s="9"/>
    </row>
    <row r="2335" ht="14.25" customHeight="1">
      <c r="C2335" s="9" t="s">
        <v>481</v>
      </c>
      <c r="D2335" s="9" t="s">
        <v>3095</v>
      </c>
      <c r="E2335" s="9" t="s">
        <v>3085</v>
      </c>
      <c r="F2335" s="9" t="s">
        <v>197</v>
      </c>
      <c r="H2335" s="9"/>
    </row>
    <row r="2336" ht="14.25" customHeight="1">
      <c r="C2336" s="9" t="s">
        <v>481</v>
      </c>
      <c r="D2336" s="9" t="s">
        <v>3095</v>
      </c>
      <c r="E2336" s="9" t="s">
        <v>3085</v>
      </c>
      <c r="F2336" s="9" t="s">
        <v>172</v>
      </c>
      <c r="H2336" s="9"/>
    </row>
    <row r="2337" ht="14.25" customHeight="1">
      <c r="C2337" s="9" t="s">
        <v>481</v>
      </c>
      <c r="D2337" s="9" t="s">
        <v>3095</v>
      </c>
      <c r="E2337" s="9" t="s">
        <v>3085</v>
      </c>
      <c r="F2337" s="9" t="s">
        <v>98</v>
      </c>
      <c r="H2337" s="9"/>
    </row>
    <row r="2338" ht="14.25" customHeight="1">
      <c r="C2338" s="9" t="s">
        <v>481</v>
      </c>
      <c r="D2338" s="9" t="s">
        <v>3095</v>
      </c>
      <c r="E2338" s="9" t="s">
        <v>3085</v>
      </c>
      <c r="F2338" s="9" t="s">
        <v>341</v>
      </c>
      <c r="H2338" s="9"/>
    </row>
    <row r="2339" ht="14.25" customHeight="1">
      <c r="C2339" s="9" t="s">
        <v>481</v>
      </c>
      <c r="D2339" s="9" t="s">
        <v>3095</v>
      </c>
      <c r="E2339" s="9" t="s">
        <v>3085</v>
      </c>
      <c r="F2339" s="9" t="s">
        <v>367</v>
      </c>
      <c r="H2339" s="9"/>
    </row>
    <row r="2340" ht="14.25" customHeight="1">
      <c r="C2340" s="9" t="s">
        <v>481</v>
      </c>
      <c r="D2340" s="9" t="s">
        <v>3095</v>
      </c>
      <c r="E2340" s="9" t="s">
        <v>3085</v>
      </c>
      <c r="F2340" s="9" t="s">
        <v>529</v>
      </c>
      <c r="H2340" s="9"/>
    </row>
    <row r="2341" ht="14.25" customHeight="1">
      <c r="C2341" s="9" t="s">
        <v>481</v>
      </c>
      <c r="D2341" s="9" t="s">
        <v>3095</v>
      </c>
      <c r="E2341" s="9" t="s">
        <v>3085</v>
      </c>
      <c r="F2341" s="9" t="s">
        <v>282</v>
      </c>
      <c r="H2341" s="9"/>
    </row>
    <row r="2342" ht="14.25" customHeight="1">
      <c r="C2342" s="9" t="s">
        <v>481</v>
      </c>
      <c r="D2342" s="9" t="s">
        <v>3095</v>
      </c>
      <c r="E2342" s="9" t="s">
        <v>3085</v>
      </c>
      <c r="F2342" s="9" t="s">
        <v>321</v>
      </c>
      <c r="H2342" s="9"/>
    </row>
    <row r="2343" ht="14.25" customHeight="1">
      <c r="C2343" s="9" t="s">
        <v>481</v>
      </c>
      <c r="D2343" s="9" t="s">
        <v>3095</v>
      </c>
      <c r="E2343" s="9" t="s">
        <v>3085</v>
      </c>
      <c r="F2343" s="9" t="s">
        <v>272</v>
      </c>
      <c r="H2343" s="9"/>
    </row>
    <row r="2344" ht="14.25" customHeight="1">
      <c r="C2344" s="9" t="s">
        <v>481</v>
      </c>
      <c r="D2344" s="9" t="s">
        <v>3095</v>
      </c>
      <c r="E2344" s="9" t="s">
        <v>3085</v>
      </c>
      <c r="F2344" s="9" t="s">
        <v>517</v>
      </c>
      <c r="H2344" s="9"/>
    </row>
    <row r="2345" ht="14.25" customHeight="1">
      <c r="C2345" s="9" t="s">
        <v>481</v>
      </c>
      <c r="D2345" s="9" t="s">
        <v>3095</v>
      </c>
      <c r="E2345" s="9" t="s">
        <v>3085</v>
      </c>
      <c r="F2345" s="9" t="s">
        <v>2309</v>
      </c>
      <c r="H2345" s="9"/>
    </row>
    <row r="2346" ht="14.25" customHeight="1">
      <c r="C2346" s="9" t="s">
        <v>481</v>
      </c>
      <c r="D2346" s="9" t="s">
        <v>3095</v>
      </c>
      <c r="E2346" s="9" t="s">
        <v>3085</v>
      </c>
      <c r="F2346" s="9" t="s">
        <v>507</v>
      </c>
      <c r="H2346" s="9"/>
    </row>
    <row r="2347" ht="14.25" customHeight="1">
      <c r="C2347" s="9" t="s">
        <v>481</v>
      </c>
      <c r="D2347" s="9" t="s">
        <v>3095</v>
      </c>
      <c r="E2347" s="9" t="s">
        <v>3085</v>
      </c>
      <c r="F2347" s="9" t="s">
        <v>336</v>
      </c>
      <c r="H2347" s="9"/>
    </row>
    <row r="2348" ht="14.25" customHeight="1">
      <c r="C2348" s="9" t="s">
        <v>481</v>
      </c>
      <c r="D2348" s="9" t="s">
        <v>3095</v>
      </c>
      <c r="E2348" s="9" t="s">
        <v>3085</v>
      </c>
      <c r="F2348" s="9" t="s">
        <v>235</v>
      </c>
      <c r="H2348" s="9"/>
    </row>
    <row r="2349" ht="14.25" customHeight="1">
      <c r="C2349" s="9" t="s">
        <v>481</v>
      </c>
      <c r="D2349" s="9" t="s">
        <v>3095</v>
      </c>
      <c r="E2349" s="9" t="s">
        <v>3085</v>
      </c>
      <c r="F2349" s="9" t="s">
        <v>2957</v>
      </c>
      <c r="H2349" s="9"/>
    </row>
    <row r="2350" ht="14.25" customHeight="1">
      <c r="C2350" s="9" t="s">
        <v>481</v>
      </c>
      <c r="D2350" s="9" t="s">
        <v>3095</v>
      </c>
      <c r="E2350" s="9" t="s">
        <v>3085</v>
      </c>
      <c r="F2350" s="9" t="s">
        <v>264</v>
      </c>
      <c r="H2350" s="9"/>
    </row>
    <row r="2351" ht="14.25" customHeight="1">
      <c r="C2351" s="9" t="s">
        <v>481</v>
      </c>
      <c r="D2351" s="9" t="s">
        <v>3096</v>
      </c>
      <c r="E2351" s="9" t="s">
        <v>3085</v>
      </c>
      <c r="F2351" s="9" t="s">
        <v>474</v>
      </c>
      <c r="H2351" s="9"/>
    </row>
    <row r="2352" ht="14.25" customHeight="1">
      <c r="C2352" s="9" t="s">
        <v>481</v>
      </c>
      <c r="D2352" s="9" t="s">
        <v>3096</v>
      </c>
      <c r="E2352" s="9" t="s">
        <v>3085</v>
      </c>
      <c r="F2352" s="9" t="s">
        <v>284</v>
      </c>
      <c r="H2352" s="9"/>
    </row>
    <row r="2353" ht="14.25" customHeight="1">
      <c r="C2353" s="9" t="s">
        <v>481</v>
      </c>
      <c r="D2353" s="9" t="s">
        <v>3096</v>
      </c>
      <c r="E2353" s="9" t="s">
        <v>3085</v>
      </c>
      <c r="F2353" s="9" t="s">
        <v>493</v>
      </c>
      <c r="H2353" s="9"/>
    </row>
    <row r="2354" ht="14.25" customHeight="1">
      <c r="C2354" s="9" t="s">
        <v>481</v>
      </c>
      <c r="D2354" s="9" t="s">
        <v>3096</v>
      </c>
      <c r="E2354" s="9" t="s">
        <v>3085</v>
      </c>
      <c r="F2354" s="9" t="s">
        <v>450</v>
      </c>
      <c r="H2354" s="9"/>
    </row>
    <row r="2355" ht="14.25" customHeight="1">
      <c r="C2355" s="9" t="s">
        <v>481</v>
      </c>
      <c r="D2355" s="9" t="s">
        <v>3096</v>
      </c>
      <c r="E2355" s="9" t="s">
        <v>3085</v>
      </c>
      <c r="F2355" s="9" t="s">
        <v>2296</v>
      </c>
      <c r="H2355" s="9"/>
    </row>
    <row r="2356" ht="14.25" customHeight="1">
      <c r="C2356" s="9" t="s">
        <v>481</v>
      </c>
      <c r="D2356" s="9" t="s">
        <v>3096</v>
      </c>
      <c r="E2356" s="9" t="s">
        <v>3085</v>
      </c>
      <c r="F2356" s="9" t="s">
        <v>276</v>
      </c>
      <c r="H2356" s="9"/>
    </row>
    <row r="2357" ht="14.25" customHeight="1">
      <c r="C2357" s="9" t="s">
        <v>481</v>
      </c>
      <c r="D2357" s="9" t="s">
        <v>3096</v>
      </c>
      <c r="E2357" s="9" t="s">
        <v>3085</v>
      </c>
      <c r="F2357" s="9" t="s">
        <v>431</v>
      </c>
      <c r="H2357" s="9"/>
    </row>
    <row r="2358" ht="14.25" customHeight="1">
      <c r="C2358" s="9" t="s">
        <v>481</v>
      </c>
      <c r="D2358" s="9" t="s">
        <v>3096</v>
      </c>
      <c r="E2358" s="9" t="s">
        <v>3085</v>
      </c>
      <c r="F2358" s="9" t="s">
        <v>1272</v>
      </c>
      <c r="H2358" s="9"/>
    </row>
    <row r="2359" ht="14.25" customHeight="1">
      <c r="C2359" s="9" t="s">
        <v>481</v>
      </c>
      <c r="D2359" s="9" t="s">
        <v>3096</v>
      </c>
      <c r="E2359" s="9" t="s">
        <v>3085</v>
      </c>
      <c r="F2359" s="9" t="s">
        <v>420</v>
      </c>
      <c r="H2359" s="9"/>
    </row>
    <row r="2360" ht="14.25" customHeight="1">
      <c r="C2360" s="9" t="s">
        <v>481</v>
      </c>
      <c r="D2360" s="9" t="s">
        <v>3096</v>
      </c>
      <c r="E2360" s="9" t="s">
        <v>3085</v>
      </c>
      <c r="F2360" s="9" t="s">
        <v>482</v>
      </c>
      <c r="H2360" s="9"/>
    </row>
    <row r="2361" ht="14.25" customHeight="1">
      <c r="C2361" s="9" t="s">
        <v>481</v>
      </c>
      <c r="D2361" s="9" t="s">
        <v>3096</v>
      </c>
      <c r="E2361" s="9" t="s">
        <v>3085</v>
      </c>
      <c r="F2361" s="9" t="s">
        <v>136</v>
      </c>
      <c r="H2361" s="9"/>
    </row>
    <row r="2362" ht="14.25" customHeight="1">
      <c r="C2362" s="9" t="s">
        <v>481</v>
      </c>
      <c r="D2362" s="9" t="s">
        <v>3096</v>
      </c>
      <c r="E2362" s="9" t="s">
        <v>3085</v>
      </c>
      <c r="F2362" s="9" t="s">
        <v>408</v>
      </c>
      <c r="H2362" s="9"/>
    </row>
    <row r="2363" ht="14.25" customHeight="1">
      <c r="C2363" s="9" t="s">
        <v>481</v>
      </c>
      <c r="D2363" s="9" t="s">
        <v>3096</v>
      </c>
      <c r="E2363" s="9" t="s">
        <v>3085</v>
      </c>
      <c r="F2363" s="9" t="s">
        <v>2301</v>
      </c>
      <c r="H2363" s="9"/>
    </row>
    <row r="2364" ht="14.25" customHeight="1">
      <c r="C2364" s="9" t="s">
        <v>481</v>
      </c>
      <c r="D2364" s="9" t="s">
        <v>3096</v>
      </c>
      <c r="E2364" s="9" t="s">
        <v>3085</v>
      </c>
      <c r="F2364" s="9" t="s">
        <v>197</v>
      </c>
      <c r="H2364" s="9"/>
    </row>
    <row r="2365" ht="14.25" customHeight="1">
      <c r="C2365" s="9" t="s">
        <v>481</v>
      </c>
      <c r="D2365" s="9" t="s">
        <v>3096</v>
      </c>
      <c r="E2365" s="9" t="s">
        <v>3085</v>
      </c>
      <c r="F2365" s="9" t="s">
        <v>172</v>
      </c>
      <c r="H2365" s="9"/>
    </row>
    <row r="2366" ht="14.25" customHeight="1">
      <c r="C2366" s="9" t="s">
        <v>481</v>
      </c>
      <c r="D2366" s="9" t="s">
        <v>3096</v>
      </c>
      <c r="E2366" s="9" t="s">
        <v>3085</v>
      </c>
      <c r="F2366" s="9" t="s">
        <v>98</v>
      </c>
      <c r="H2366" s="9"/>
    </row>
    <row r="2367" ht="14.25" customHeight="1">
      <c r="C2367" s="9" t="s">
        <v>481</v>
      </c>
      <c r="D2367" s="9" t="s">
        <v>3096</v>
      </c>
      <c r="E2367" s="9" t="s">
        <v>3085</v>
      </c>
      <c r="F2367" s="9" t="s">
        <v>341</v>
      </c>
      <c r="H2367" s="9"/>
    </row>
    <row r="2368" ht="14.25" customHeight="1">
      <c r="C2368" s="9" t="s">
        <v>481</v>
      </c>
      <c r="D2368" s="9" t="s">
        <v>3096</v>
      </c>
      <c r="E2368" s="9" t="s">
        <v>3085</v>
      </c>
      <c r="F2368" s="9" t="s">
        <v>367</v>
      </c>
      <c r="H2368" s="9"/>
    </row>
    <row r="2369" ht="14.25" customHeight="1">
      <c r="C2369" s="9" t="s">
        <v>481</v>
      </c>
      <c r="D2369" s="9" t="s">
        <v>3096</v>
      </c>
      <c r="E2369" s="9" t="s">
        <v>3085</v>
      </c>
      <c r="F2369" s="9" t="s">
        <v>529</v>
      </c>
      <c r="H2369" s="9"/>
    </row>
    <row r="2370" ht="14.25" customHeight="1">
      <c r="C2370" s="9" t="s">
        <v>481</v>
      </c>
      <c r="D2370" s="9" t="s">
        <v>3096</v>
      </c>
      <c r="E2370" s="9" t="s">
        <v>3085</v>
      </c>
      <c r="F2370" s="9" t="s">
        <v>282</v>
      </c>
      <c r="H2370" s="9"/>
    </row>
    <row r="2371" ht="14.25" customHeight="1">
      <c r="C2371" s="9" t="s">
        <v>481</v>
      </c>
      <c r="D2371" s="9" t="s">
        <v>3096</v>
      </c>
      <c r="E2371" s="9" t="s">
        <v>3085</v>
      </c>
      <c r="F2371" s="9" t="s">
        <v>321</v>
      </c>
      <c r="H2371" s="9"/>
    </row>
    <row r="2372" ht="14.25" customHeight="1">
      <c r="C2372" s="9" t="s">
        <v>481</v>
      </c>
      <c r="D2372" s="9" t="s">
        <v>3096</v>
      </c>
      <c r="E2372" s="9" t="s">
        <v>3085</v>
      </c>
      <c r="F2372" s="9" t="s">
        <v>272</v>
      </c>
      <c r="H2372" s="9"/>
    </row>
    <row r="2373" ht="14.25" customHeight="1">
      <c r="C2373" s="9" t="s">
        <v>481</v>
      </c>
      <c r="D2373" s="9" t="s">
        <v>3096</v>
      </c>
      <c r="E2373" s="9" t="s">
        <v>3085</v>
      </c>
      <c r="F2373" s="9" t="s">
        <v>517</v>
      </c>
      <c r="H2373" s="9"/>
    </row>
    <row r="2374" ht="14.25" customHeight="1">
      <c r="C2374" s="9" t="s">
        <v>481</v>
      </c>
      <c r="D2374" s="9" t="s">
        <v>3096</v>
      </c>
      <c r="E2374" s="9" t="s">
        <v>3085</v>
      </c>
      <c r="F2374" s="9" t="s">
        <v>2309</v>
      </c>
      <c r="H2374" s="9"/>
    </row>
    <row r="2375" ht="14.25" customHeight="1">
      <c r="C2375" s="9" t="s">
        <v>481</v>
      </c>
      <c r="D2375" s="9" t="s">
        <v>3096</v>
      </c>
      <c r="E2375" s="9" t="s">
        <v>3085</v>
      </c>
      <c r="F2375" s="9" t="s">
        <v>507</v>
      </c>
      <c r="H2375" s="9"/>
    </row>
    <row r="2376" ht="14.25" customHeight="1">
      <c r="C2376" s="9" t="s">
        <v>481</v>
      </c>
      <c r="D2376" s="9" t="s">
        <v>3096</v>
      </c>
      <c r="E2376" s="9" t="s">
        <v>3085</v>
      </c>
      <c r="F2376" s="9" t="s">
        <v>336</v>
      </c>
      <c r="H2376" s="9"/>
    </row>
    <row r="2377" ht="14.25" customHeight="1">
      <c r="C2377" s="9" t="s">
        <v>481</v>
      </c>
      <c r="D2377" s="9" t="s">
        <v>3096</v>
      </c>
      <c r="E2377" s="9" t="s">
        <v>3085</v>
      </c>
      <c r="F2377" s="9" t="s">
        <v>235</v>
      </c>
      <c r="H2377" s="9"/>
    </row>
    <row r="2378" ht="14.25" customHeight="1">
      <c r="C2378" s="9" t="s">
        <v>481</v>
      </c>
      <c r="D2378" s="9" t="s">
        <v>3096</v>
      </c>
      <c r="E2378" s="9" t="s">
        <v>3085</v>
      </c>
      <c r="F2378" s="9" t="s">
        <v>2957</v>
      </c>
      <c r="H2378" s="9"/>
    </row>
    <row r="2379" ht="14.25" customHeight="1">
      <c r="C2379" s="9" t="s">
        <v>481</v>
      </c>
      <c r="D2379" s="9" t="s">
        <v>3096</v>
      </c>
      <c r="E2379" s="9" t="s">
        <v>3085</v>
      </c>
      <c r="F2379" s="9" t="s">
        <v>264</v>
      </c>
      <c r="H2379" s="9"/>
    </row>
    <row r="2380" ht="14.25" customHeight="1">
      <c r="C2380" s="9" t="s">
        <v>481</v>
      </c>
      <c r="D2380" s="9" t="s">
        <v>3097</v>
      </c>
      <c r="E2380" s="9" t="s">
        <v>3085</v>
      </c>
      <c r="F2380" s="9" t="s">
        <v>474</v>
      </c>
      <c r="H2380" s="9"/>
    </row>
    <row r="2381" ht="14.25" customHeight="1">
      <c r="C2381" s="9" t="s">
        <v>481</v>
      </c>
      <c r="D2381" s="9" t="s">
        <v>3097</v>
      </c>
      <c r="E2381" s="9" t="s">
        <v>3085</v>
      </c>
      <c r="F2381" s="9" t="s">
        <v>284</v>
      </c>
      <c r="H2381" s="9"/>
    </row>
    <row r="2382" ht="14.25" customHeight="1">
      <c r="C2382" s="9" t="s">
        <v>481</v>
      </c>
      <c r="D2382" s="9" t="s">
        <v>3097</v>
      </c>
      <c r="E2382" s="9" t="s">
        <v>3085</v>
      </c>
      <c r="F2382" s="9" t="s">
        <v>493</v>
      </c>
      <c r="H2382" s="9"/>
    </row>
    <row r="2383" ht="14.25" customHeight="1">
      <c r="C2383" s="9" t="s">
        <v>481</v>
      </c>
      <c r="D2383" s="9" t="s">
        <v>3097</v>
      </c>
      <c r="E2383" s="9" t="s">
        <v>3085</v>
      </c>
      <c r="F2383" s="9" t="s">
        <v>450</v>
      </c>
      <c r="H2383" s="9"/>
    </row>
    <row r="2384" ht="14.25" customHeight="1">
      <c r="C2384" s="9" t="s">
        <v>481</v>
      </c>
      <c r="D2384" s="9" t="s">
        <v>3097</v>
      </c>
      <c r="E2384" s="9" t="s">
        <v>3085</v>
      </c>
      <c r="F2384" s="9" t="s">
        <v>2296</v>
      </c>
      <c r="H2384" s="9"/>
    </row>
    <row r="2385" ht="14.25" customHeight="1">
      <c r="C2385" s="9" t="s">
        <v>481</v>
      </c>
      <c r="D2385" s="9" t="s">
        <v>3097</v>
      </c>
      <c r="E2385" s="9" t="s">
        <v>3085</v>
      </c>
      <c r="F2385" s="9" t="s">
        <v>276</v>
      </c>
      <c r="H2385" s="9"/>
    </row>
    <row r="2386" ht="14.25" customHeight="1">
      <c r="C2386" s="9" t="s">
        <v>481</v>
      </c>
      <c r="D2386" s="9" t="s">
        <v>3097</v>
      </c>
      <c r="E2386" s="9" t="s">
        <v>3085</v>
      </c>
      <c r="F2386" s="9" t="s">
        <v>431</v>
      </c>
      <c r="H2386" s="9"/>
    </row>
    <row r="2387" ht="14.25" customHeight="1">
      <c r="C2387" s="9" t="s">
        <v>481</v>
      </c>
      <c r="D2387" s="9" t="s">
        <v>3097</v>
      </c>
      <c r="E2387" s="9" t="s">
        <v>3085</v>
      </c>
      <c r="F2387" s="9" t="s">
        <v>1272</v>
      </c>
      <c r="H2387" s="9"/>
    </row>
    <row r="2388" ht="14.25" customHeight="1">
      <c r="C2388" s="9" t="s">
        <v>481</v>
      </c>
      <c r="D2388" s="9" t="s">
        <v>3097</v>
      </c>
      <c r="E2388" s="9" t="s">
        <v>3085</v>
      </c>
      <c r="F2388" s="9" t="s">
        <v>420</v>
      </c>
      <c r="H2388" s="9"/>
    </row>
    <row r="2389" ht="14.25" customHeight="1">
      <c r="C2389" s="9" t="s">
        <v>481</v>
      </c>
      <c r="D2389" s="9" t="s">
        <v>3097</v>
      </c>
      <c r="E2389" s="9" t="s">
        <v>3085</v>
      </c>
      <c r="F2389" s="9" t="s">
        <v>482</v>
      </c>
      <c r="H2389" s="9"/>
    </row>
    <row r="2390" ht="14.25" customHeight="1">
      <c r="C2390" s="9" t="s">
        <v>481</v>
      </c>
      <c r="D2390" s="9" t="s">
        <v>3097</v>
      </c>
      <c r="E2390" s="9" t="s">
        <v>3085</v>
      </c>
      <c r="F2390" s="9" t="s">
        <v>136</v>
      </c>
      <c r="H2390" s="9"/>
    </row>
    <row r="2391" ht="14.25" customHeight="1">
      <c r="C2391" s="9" t="s">
        <v>481</v>
      </c>
      <c r="D2391" s="9" t="s">
        <v>3097</v>
      </c>
      <c r="E2391" s="9" t="s">
        <v>3085</v>
      </c>
      <c r="F2391" s="9" t="s">
        <v>408</v>
      </c>
      <c r="H2391" s="9"/>
    </row>
    <row r="2392" ht="14.25" customHeight="1">
      <c r="C2392" s="9" t="s">
        <v>481</v>
      </c>
      <c r="D2392" s="9" t="s">
        <v>3097</v>
      </c>
      <c r="E2392" s="9" t="s">
        <v>3085</v>
      </c>
      <c r="F2392" s="9" t="s">
        <v>2301</v>
      </c>
      <c r="H2392" s="9"/>
    </row>
    <row r="2393" ht="14.25" customHeight="1">
      <c r="C2393" s="9" t="s">
        <v>481</v>
      </c>
      <c r="D2393" s="9" t="s">
        <v>3097</v>
      </c>
      <c r="E2393" s="9" t="s">
        <v>3085</v>
      </c>
      <c r="F2393" s="9" t="s">
        <v>197</v>
      </c>
      <c r="H2393" s="9"/>
    </row>
    <row r="2394" ht="14.25" customHeight="1">
      <c r="C2394" s="9" t="s">
        <v>481</v>
      </c>
      <c r="D2394" s="9" t="s">
        <v>3097</v>
      </c>
      <c r="E2394" s="9" t="s">
        <v>3085</v>
      </c>
      <c r="F2394" s="9" t="s">
        <v>172</v>
      </c>
      <c r="H2394" s="9"/>
    </row>
    <row r="2395" ht="14.25" customHeight="1">
      <c r="C2395" s="9" t="s">
        <v>481</v>
      </c>
      <c r="D2395" s="9" t="s">
        <v>3097</v>
      </c>
      <c r="E2395" s="9" t="s">
        <v>3085</v>
      </c>
      <c r="F2395" s="9" t="s">
        <v>98</v>
      </c>
      <c r="H2395" s="9"/>
    </row>
    <row r="2396" ht="14.25" customHeight="1">
      <c r="C2396" s="9" t="s">
        <v>481</v>
      </c>
      <c r="D2396" s="9" t="s">
        <v>3097</v>
      </c>
      <c r="E2396" s="9" t="s">
        <v>3085</v>
      </c>
      <c r="F2396" s="9" t="s">
        <v>341</v>
      </c>
      <c r="H2396" s="9"/>
    </row>
    <row r="2397" ht="14.25" customHeight="1">
      <c r="C2397" s="9" t="s">
        <v>481</v>
      </c>
      <c r="D2397" s="9" t="s">
        <v>3097</v>
      </c>
      <c r="E2397" s="9" t="s">
        <v>3085</v>
      </c>
      <c r="F2397" s="9" t="s">
        <v>367</v>
      </c>
      <c r="H2397" s="9"/>
    </row>
    <row r="2398" ht="14.25" customHeight="1">
      <c r="C2398" s="9" t="s">
        <v>481</v>
      </c>
      <c r="D2398" s="9" t="s">
        <v>3097</v>
      </c>
      <c r="E2398" s="9" t="s">
        <v>3085</v>
      </c>
      <c r="F2398" s="9" t="s">
        <v>529</v>
      </c>
      <c r="H2398" s="9"/>
    </row>
    <row r="2399" ht="14.25" customHeight="1">
      <c r="C2399" s="9" t="s">
        <v>481</v>
      </c>
      <c r="D2399" s="9" t="s">
        <v>3097</v>
      </c>
      <c r="E2399" s="9" t="s">
        <v>3085</v>
      </c>
      <c r="F2399" s="9" t="s">
        <v>282</v>
      </c>
      <c r="H2399" s="9"/>
    </row>
    <row r="2400" ht="14.25" customHeight="1">
      <c r="C2400" s="9" t="s">
        <v>481</v>
      </c>
      <c r="D2400" s="9" t="s">
        <v>3097</v>
      </c>
      <c r="E2400" s="9" t="s">
        <v>3085</v>
      </c>
      <c r="F2400" s="9" t="s">
        <v>321</v>
      </c>
      <c r="H2400" s="9"/>
    </row>
    <row r="2401" ht="14.25" customHeight="1">
      <c r="C2401" s="9" t="s">
        <v>481</v>
      </c>
      <c r="D2401" s="9" t="s">
        <v>3097</v>
      </c>
      <c r="E2401" s="9" t="s">
        <v>3085</v>
      </c>
      <c r="F2401" s="9" t="s">
        <v>272</v>
      </c>
      <c r="H2401" s="9"/>
    </row>
    <row r="2402" ht="14.25" customHeight="1">
      <c r="C2402" s="9" t="s">
        <v>481</v>
      </c>
      <c r="D2402" s="9" t="s">
        <v>3097</v>
      </c>
      <c r="E2402" s="9" t="s">
        <v>3085</v>
      </c>
      <c r="F2402" s="9" t="s">
        <v>517</v>
      </c>
      <c r="H2402" s="9"/>
    </row>
    <row r="2403" ht="14.25" customHeight="1">
      <c r="C2403" s="9" t="s">
        <v>481</v>
      </c>
      <c r="D2403" s="9" t="s">
        <v>3097</v>
      </c>
      <c r="E2403" s="9" t="s">
        <v>3085</v>
      </c>
      <c r="F2403" s="9" t="s">
        <v>2309</v>
      </c>
      <c r="H2403" s="9"/>
    </row>
    <row r="2404" ht="14.25" customHeight="1">
      <c r="C2404" s="9" t="s">
        <v>481</v>
      </c>
      <c r="D2404" s="9" t="s">
        <v>3097</v>
      </c>
      <c r="E2404" s="9" t="s">
        <v>3085</v>
      </c>
      <c r="F2404" s="9" t="s">
        <v>507</v>
      </c>
      <c r="H2404" s="9"/>
    </row>
    <row r="2405" ht="14.25" customHeight="1">
      <c r="C2405" s="9" t="s">
        <v>481</v>
      </c>
      <c r="D2405" s="9" t="s">
        <v>3097</v>
      </c>
      <c r="E2405" s="9" t="s">
        <v>3085</v>
      </c>
      <c r="F2405" s="9" t="s">
        <v>336</v>
      </c>
      <c r="H2405" s="9"/>
    </row>
    <row r="2406" ht="14.25" customHeight="1">
      <c r="C2406" s="9" t="s">
        <v>481</v>
      </c>
      <c r="D2406" s="9" t="s">
        <v>3097</v>
      </c>
      <c r="E2406" s="9" t="s">
        <v>3085</v>
      </c>
      <c r="F2406" s="9" t="s">
        <v>235</v>
      </c>
      <c r="H2406" s="9"/>
    </row>
    <row r="2407" ht="14.25" customHeight="1">
      <c r="C2407" s="9" t="s">
        <v>481</v>
      </c>
      <c r="D2407" s="9" t="s">
        <v>3097</v>
      </c>
      <c r="E2407" s="9" t="s">
        <v>3085</v>
      </c>
      <c r="F2407" s="9" t="s">
        <v>2957</v>
      </c>
      <c r="H2407" s="9"/>
    </row>
    <row r="2408" ht="14.25" customHeight="1">
      <c r="C2408" s="9" t="s">
        <v>481</v>
      </c>
      <c r="D2408" s="9" t="s">
        <v>3097</v>
      </c>
      <c r="E2408" s="9" t="s">
        <v>3085</v>
      </c>
      <c r="F2408" s="9" t="s">
        <v>264</v>
      </c>
      <c r="H2408" s="9"/>
    </row>
    <row r="2409" ht="14.25" customHeight="1">
      <c r="C2409" s="9" t="s">
        <v>481</v>
      </c>
      <c r="D2409" s="9" t="s">
        <v>3098</v>
      </c>
      <c r="E2409" s="9" t="s">
        <v>3085</v>
      </c>
      <c r="F2409" s="9" t="s">
        <v>474</v>
      </c>
      <c r="H2409" s="9"/>
    </row>
    <row r="2410" ht="14.25" customHeight="1">
      <c r="C2410" s="9" t="s">
        <v>481</v>
      </c>
      <c r="D2410" s="9" t="s">
        <v>3098</v>
      </c>
      <c r="E2410" s="9" t="s">
        <v>3085</v>
      </c>
      <c r="F2410" s="9" t="s">
        <v>284</v>
      </c>
      <c r="H2410" s="9"/>
    </row>
    <row r="2411" ht="14.25" customHeight="1">
      <c r="C2411" s="9" t="s">
        <v>481</v>
      </c>
      <c r="D2411" s="9" t="s">
        <v>3098</v>
      </c>
      <c r="E2411" s="9" t="s">
        <v>3085</v>
      </c>
      <c r="F2411" s="9" t="s">
        <v>493</v>
      </c>
      <c r="H2411" s="9"/>
    </row>
    <row r="2412" ht="14.25" customHeight="1">
      <c r="C2412" s="9" t="s">
        <v>481</v>
      </c>
      <c r="D2412" s="9" t="s">
        <v>3098</v>
      </c>
      <c r="E2412" s="9" t="s">
        <v>3085</v>
      </c>
      <c r="F2412" s="9" t="s">
        <v>450</v>
      </c>
      <c r="H2412" s="9"/>
    </row>
    <row r="2413" ht="14.25" customHeight="1">
      <c r="C2413" s="9" t="s">
        <v>481</v>
      </c>
      <c r="D2413" s="9" t="s">
        <v>3098</v>
      </c>
      <c r="E2413" s="9" t="s">
        <v>3085</v>
      </c>
      <c r="F2413" s="9" t="s">
        <v>2296</v>
      </c>
      <c r="H2413" s="9"/>
    </row>
    <row r="2414" ht="14.25" customHeight="1">
      <c r="C2414" s="9" t="s">
        <v>481</v>
      </c>
      <c r="D2414" s="9" t="s">
        <v>3098</v>
      </c>
      <c r="E2414" s="9" t="s">
        <v>3085</v>
      </c>
      <c r="F2414" s="9" t="s">
        <v>276</v>
      </c>
      <c r="H2414" s="9"/>
    </row>
    <row r="2415" ht="14.25" customHeight="1">
      <c r="C2415" s="9" t="s">
        <v>481</v>
      </c>
      <c r="D2415" s="9" t="s">
        <v>3098</v>
      </c>
      <c r="E2415" s="9" t="s">
        <v>3085</v>
      </c>
      <c r="F2415" s="9" t="s">
        <v>431</v>
      </c>
      <c r="H2415" s="9"/>
    </row>
    <row r="2416" ht="14.25" customHeight="1">
      <c r="C2416" s="9" t="s">
        <v>481</v>
      </c>
      <c r="D2416" s="9" t="s">
        <v>3098</v>
      </c>
      <c r="E2416" s="9" t="s">
        <v>3085</v>
      </c>
      <c r="F2416" s="9" t="s">
        <v>1272</v>
      </c>
      <c r="H2416" s="9"/>
    </row>
    <row r="2417" ht="14.25" customHeight="1">
      <c r="C2417" s="9" t="s">
        <v>481</v>
      </c>
      <c r="D2417" s="9" t="s">
        <v>3098</v>
      </c>
      <c r="E2417" s="9" t="s">
        <v>3085</v>
      </c>
      <c r="F2417" s="9" t="s">
        <v>420</v>
      </c>
      <c r="H2417" s="9"/>
    </row>
    <row r="2418" ht="14.25" customHeight="1">
      <c r="C2418" s="9" t="s">
        <v>481</v>
      </c>
      <c r="D2418" s="9" t="s">
        <v>3098</v>
      </c>
      <c r="E2418" s="9" t="s">
        <v>3085</v>
      </c>
      <c r="F2418" s="9" t="s">
        <v>482</v>
      </c>
      <c r="H2418" s="9"/>
    </row>
    <row r="2419" ht="14.25" customHeight="1">
      <c r="C2419" s="9" t="s">
        <v>481</v>
      </c>
      <c r="D2419" s="9" t="s">
        <v>3098</v>
      </c>
      <c r="E2419" s="9" t="s">
        <v>3085</v>
      </c>
      <c r="F2419" s="9" t="s">
        <v>136</v>
      </c>
      <c r="H2419" s="9"/>
    </row>
    <row r="2420" ht="14.25" customHeight="1">
      <c r="C2420" s="9" t="s">
        <v>481</v>
      </c>
      <c r="D2420" s="9" t="s">
        <v>3098</v>
      </c>
      <c r="E2420" s="9" t="s">
        <v>3085</v>
      </c>
      <c r="F2420" s="9" t="s">
        <v>408</v>
      </c>
      <c r="H2420" s="9"/>
    </row>
    <row r="2421" ht="14.25" customHeight="1">
      <c r="C2421" s="9" t="s">
        <v>481</v>
      </c>
      <c r="D2421" s="9" t="s">
        <v>3098</v>
      </c>
      <c r="E2421" s="9" t="s">
        <v>3085</v>
      </c>
      <c r="F2421" s="9" t="s">
        <v>2301</v>
      </c>
      <c r="H2421" s="9"/>
    </row>
    <row r="2422" ht="14.25" customHeight="1">
      <c r="C2422" s="9" t="s">
        <v>481</v>
      </c>
      <c r="D2422" s="9" t="s">
        <v>3098</v>
      </c>
      <c r="E2422" s="9" t="s">
        <v>3085</v>
      </c>
      <c r="F2422" s="9" t="s">
        <v>197</v>
      </c>
      <c r="H2422" s="9"/>
    </row>
    <row r="2423" ht="14.25" customHeight="1">
      <c r="C2423" s="9" t="s">
        <v>481</v>
      </c>
      <c r="D2423" s="9" t="s">
        <v>3098</v>
      </c>
      <c r="E2423" s="9" t="s">
        <v>3085</v>
      </c>
      <c r="F2423" s="9" t="s">
        <v>172</v>
      </c>
      <c r="H2423" s="9"/>
    </row>
    <row r="2424" ht="14.25" customHeight="1">
      <c r="C2424" s="9" t="s">
        <v>481</v>
      </c>
      <c r="D2424" s="9" t="s">
        <v>3098</v>
      </c>
      <c r="E2424" s="9" t="s">
        <v>3085</v>
      </c>
      <c r="F2424" s="9" t="s">
        <v>98</v>
      </c>
      <c r="H2424" s="9"/>
    </row>
    <row r="2425" ht="14.25" customHeight="1">
      <c r="C2425" s="9" t="s">
        <v>481</v>
      </c>
      <c r="D2425" s="9" t="s">
        <v>3098</v>
      </c>
      <c r="E2425" s="9" t="s">
        <v>3085</v>
      </c>
      <c r="F2425" s="9" t="s">
        <v>341</v>
      </c>
      <c r="H2425" s="9"/>
    </row>
    <row r="2426" ht="14.25" customHeight="1">
      <c r="C2426" s="9" t="s">
        <v>481</v>
      </c>
      <c r="D2426" s="9" t="s">
        <v>3098</v>
      </c>
      <c r="E2426" s="9" t="s">
        <v>3085</v>
      </c>
      <c r="F2426" s="9" t="s">
        <v>367</v>
      </c>
      <c r="H2426" s="9"/>
    </row>
    <row r="2427" ht="14.25" customHeight="1">
      <c r="C2427" s="9" t="s">
        <v>481</v>
      </c>
      <c r="D2427" s="9" t="s">
        <v>3098</v>
      </c>
      <c r="E2427" s="9" t="s">
        <v>3085</v>
      </c>
      <c r="F2427" s="9" t="s">
        <v>529</v>
      </c>
      <c r="H2427" s="9"/>
    </row>
    <row r="2428" ht="14.25" customHeight="1">
      <c r="C2428" s="9" t="s">
        <v>481</v>
      </c>
      <c r="D2428" s="9" t="s">
        <v>3098</v>
      </c>
      <c r="E2428" s="9" t="s">
        <v>3085</v>
      </c>
      <c r="F2428" s="9" t="s">
        <v>282</v>
      </c>
      <c r="H2428" s="9"/>
    </row>
    <row r="2429" ht="14.25" customHeight="1">
      <c r="C2429" s="9" t="s">
        <v>481</v>
      </c>
      <c r="D2429" s="9" t="s">
        <v>3098</v>
      </c>
      <c r="E2429" s="9" t="s">
        <v>3085</v>
      </c>
      <c r="F2429" s="9" t="s">
        <v>321</v>
      </c>
      <c r="H2429" s="9"/>
    </row>
    <row r="2430" ht="14.25" customHeight="1">
      <c r="C2430" s="9" t="s">
        <v>481</v>
      </c>
      <c r="D2430" s="9" t="s">
        <v>3098</v>
      </c>
      <c r="E2430" s="9" t="s">
        <v>3085</v>
      </c>
      <c r="F2430" s="9" t="s">
        <v>272</v>
      </c>
      <c r="H2430" s="9"/>
    </row>
    <row r="2431" ht="14.25" customHeight="1">
      <c r="C2431" s="9" t="s">
        <v>481</v>
      </c>
      <c r="D2431" s="9" t="s">
        <v>3098</v>
      </c>
      <c r="E2431" s="9" t="s">
        <v>3085</v>
      </c>
      <c r="F2431" s="9" t="s">
        <v>517</v>
      </c>
      <c r="H2431" s="9"/>
    </row>
    <row r="2432" ht="14.25" customHeight="1">
      <c r="C2432" s="9" t="s">
        <v>481</v>
      </c>
      <c r="D2432" s="9" t="s">
        <v>3098</v>
      </c>
      <c r="E2432" s="9" t="s">
        <v>3085</v>
      </c>
      <c r="F2432" s="9" t="s">
        <v>2309</v>
      </c>
      <c r="H2432" s="9"/>
    </row>
    <row r="2433" ht="14.25" customHeight="1">
      <c r="C2433" s="9" t="s">
        <v>481</v>
      </c>
      <c r="D2433" s="9" t="s">
        <v>3098</v>
      </c>
      <c r="E2433" s="9" t="s">
        <v>3085</v>
      </c>
      <c r="F2433" s="9" t="s">
        <v>507</v>
      </c>
      <c r="H2433" s="9"/>
    </row>
    <row r="2434" ht="14.25" customHeight="1">
      <c r="C2434" s="9" t="s">
        <v>481</v>
      </c>
      <c r="D2434" s="9" t="s">
        <v>3098</v>
      </c>
      <c r="E2434" s="9" t="s">
        <v>3085</v>
      </c>
      <c r="F2434" s="9" t="s">
        <v>336</v>
      </c>
      <c r="H2434" s="9"/>
    </row>
    <row r="2435" ht="14.25" customHeight="1">
      <c r="C2435" s="9" t="s">
        <v>481</v>
      </c>
      <c r="D2435" s="9" t="s">
        <v>3098</v>
      </c>
      <c r="E2435" s="9" t="s">
        <v>3085</v>
      </c>
      <c r="F2435" s="9" t="s">
        <v>235</v>
      </c>
      <c r="H2435" s="9"/>
    </row>
    <row r="2436" ht="14.25" customHeight="1">
      <c r="C2436" s="9" t="s">
        <v>481</v>
      </c>
      <c r="D2436" s="9" t="s">
        <v>3098</v>
      </c>
      <c r="E2436" s="9" t="s">
        <v>3085</v>
      </c>
      <c r="F2436" s="9" t="s">
        <v>2957</v>
      </c>
      <c r="H2436" s="9"/>
    </row>
    <row r="2437" ht="14.25" customHeight="1">
      <c r="C2437" s="9" t="s">
        <v>481</v>
      </c>
      <c r="D2437" s="9" t="s">
        <v>3098</v>
      </c>
      <c r="E2437" s="9" t="s">
        <v>3085</v>
      </c>
      <c r="F2437" s="9" t="s">
        <v>264</v>
      </c>
      <c r="H2437" s="9"/>
    </row>
    <row r="2438" ht="14.25" customHeight="1">
      <c r="C2438" s="9" t="s">
        <v>481</v>
      </c>
      <c r="D2438" s="9" t="s">
        <v>3099</v>
      </c>
      <c r="E2438" s="9" t="s">
        <v>3085</v>
      </c>
      <c r="F2438" s="9" t="s">
        <v>474</v>
      </c>
      <c r="H2438" s="9"/>
    </row>
    <row r="2439" ht="14.25" customHeight="1">
      <c r="C2439" s="9" t="s">
        <v>481</v>
      </c>
      <c r="D2439" s="9" t="s">
        <v>3099</v>
      </c>
      <c r="E2439" s="9" t="s">
        <v>3085</v>
      </c>
      <c r="F2439" s="9" t="s">
        <v>284</v>
      </c>
      <c r="H2439" s="9"/>
    </row>
    <row r="2440" ht="14.25" customHeight="1">
      <c r="C2440" s="9" t="s">
        <v>481</v>
      </c>
      <c r="D2440" s="9" t="s">
        <v>3099</v>
      </c>
      <c r="E2440" s="9" t="s">
        <v>3085</v>
      </c>
      <c r="F2440" s="9" t="s">
        <v>493</v>
      </c>
      <c r="H2440" s="9"/>
    </row>
    <row r="2441" ht="14.25" customHeight="1">
      <c r="C2441" s="9" t="s">
        <v>481</v>
      </c>
      <c r="D2441" s="9" t="s">
        <v>3099</v>
      </c>
      <c r="E2441" s="9" t="s">
        <v>3085</v>
      </c>
      <c r="F2441" s="9" t="s">
        <v>450</v>
      </c>
      <c r="H2441" s="9"/>
    </row>
    <row r="2442" ht="14.25" customHeight="1">
      <c r="C2442" s="9" t="s">
        <v>481</v>
      </c>
      <c r="D2442" s="9" t="s">
        <v>3099</v>
      </c>
      <c r="E2442" s="9" t="s">
        <v>3085</v>
      </c>
      <c r="F2442" s="9" t="s">
        <v>395</v>
      </c>
      <c r="H2442" s="9"/>
    </row>
    <row r="2443" ht="14.25" customHeight="1">
      <c r="C2443" s="9" t="s">
        <v>481</v>
      </c>
      <c r="D2443" s="9" t="s">
        <v>3099</v>
      </c>
      <c r="E2443" s="9" t="s">
        <v>3085</v>
      </c>
      <c r="F2443" s="9" t="s">
        <v>276</v>
      </c>
      <c r="H2443" s="9"/>
    </row>
    <row r="2444" ht="14.25" customHeight="1">
      <c r="C2444" s="9" t="s">
        <v>481</v>
      </c>
      <c r="D2444" s="9" t="s">
        <v>3099</v>
      </c>
      <c r="E2444" s="9" t="s">
        <v>3085</v>
      </c>
      <c r="F2444" s="9" t="s">
        <v>431</v>
      </c>
      <c r="H2444" s="9"/>
    </row>
    <row r="2445" ht="14.25" customHeight="1">
      <c r="C2445" s="9" t="s">
        <v>481</v>
      </c>
      <c r="D2445" s="9" t="s">
        <v>3099</v>
      </c>
      <c r="E2445" s="9" t="s">
        <v>3085</v>
      </c>
      <c r="F2445" s="9" t="s">
        <v>1272</v>
      </c>
      <c r="H2445" s="9"/>
    </row>
    <row r="2446" ht="14.25" customHeight="1">
      <c r="C2446" s="9" t="s">
        <v>481</v>
      </c>
      <c r="D2446" s="9" t="s">
        <v>3099</v>
      </c>
      <c r="E2446" s="9" t="s">
        <v>3085</v>
      </c>
      <c r="F2446" s="9" t="s">
        <v>420</v>
      </c>
      <c r="H2446" s="9"/>
    </row>
    <row r="2447" ht="14.25" customHeight="1">
      <c r="C2447" s="9" t="s">
        <v>481</v>
      </c>
      <c r="D2447" s="9" t="s">
        <v>3099</v>
      </c>
      <c r="E2447" s="9" t="s">
        <v>3085</v>
      </c>
      <c r="F2447" s="9" t="s">
        <v>482</v>
      </c>
      <c r="H2447" s="9"/>
    </row>
    <row r="2448" ht="14.25" customHeight="1">
      <c r="C2448" s="9" t="s">
        <v>481</v>
      </c>
      <c r="D2448" s="9" t="s">
        <v>3099</v>
      </c>
      <c r="E2448" s="9" t="s">
        <v>3085</v>
      </c>
      <c r="F2448" s="9" t="s">
        <v>136</v>
      </c>
      <c r="H2448" s="9"/>
    </row>
    <row r="2449" ht="14.25" customHeight="1">
      <c r="C2449" s="9" t="s">
        <v>481</v>
      </c>
      <c r="D2449" s="9" t="s">
        <v>3099</v>
      </c>
      <c r="E2449" s="9" t="s">
        <v>3085</v>
      </c>
      <c r="F2449" s="9" t="s">
        <v>408</v>
      </c>
      <c r="H2449" s="9"/>
    </row>
    <row r="2450" ht="14.25" customHeight="1">
      <c r="C2450" s="9" t="s">
        <v>481</v>
      </c>
      <c r="D2450" s="9" t="s">
        <v>3099</v>
      </c>
      <c r="E2450" s="9" t="s">
        <v>3085</v>
      </c>
      <c r="F2450" s="9" t="s">
        <v>2589</v>
      </c>
      <c r="H2450" s="9"/>
    </row>
    <row r="2451" ht="14.25" customHeight="1">
      <c r="C2451" s="9" t="s">
        <v>481</v>
      </c>
      <c r="D2451" s="9" t="s">
        <v>3099</v>
      </c>
      <c r="E2451" s="9" t="s">
        <v>3085</v>
      </c>
      <c r="F2451" s="9" t="s">
        <v>197</v>
      </c>
      <c r="H2451" s="9"/>
    </row>
    <row r="2452" ht="14.25" customHeight="1">
      <c r="C2452" s="9" t="s">
        <v>481</v>
      </c>
      <c r="D2452" s="9" t="s">
        <v>3099</v>
      </c>
      <c r="E2452" s="9" t="s">
        <v>3085</v>
      </c>
      <c r="F2452" s="9" t="s">
        <v>172</v>
      </c>
      <c r="H2452" s="9"/>
    </row>
    <row r="2453" ht="14.25" customHeight="1">
      <c r="C2453" s="9" t="s">
        <v>481</v>
      </c>
      <c r="D2453" s="9" t="s">
        <v>3099</v>
      </c>
      <c r="E2453" s="9" t="s">
        <v>3085</v>
      </c>
      <c r="F2453" s="9" t="s">
        <v>98</v>
      </c>
      <c r="H2453" s="9"/>
    </row>
    <row r="2454" ht="14.25" customHeight="1">
      <c r="C2454" s="9" t="s">
        <v>481</v>
      </c>
      <c r="D2454" s="9" t="s">
        <v>3099</v>
      </c>
      <c r="E2454" s="9" t="s">
        <v>3085</v>
      </c>
      <c r="F2454" s="9" t="s">
        <v>341</v>
      </c>
      <c r="H2454" s="9"/>
    </row>
    <row r="2455" ht="14.25" customHeight="1">
      <c r="C2455" s="9" t="s">
        <v>481</v>
      </c>
      <c r="D2455" s="9" t="s">
        <v>3099</v>
      </c>
      <c r="E2455" s="9" t="s">
        <v>3085</v>
      </c>
      <c r="F2455" s="9" t="s">
        <v>367</v>
      </c>
      <c r="H2455" s="9"/>
    </row>
    <row r="2456" ht="14.25" customHeight="1">
      <c r="C2456" s="9" t="s">
        <v>481</v>
      </c>
      <c r="D2456" s="9" t="s">
        <v>3099</v>
      </c>
      <c r="E2456" s="9" t="s">
        <v>3085</v>
      </c>
      <c r="F2456" s="9" t="s">
        <v>529</v>
      </c>
      <c r="H2456" s="9"/>
    </row>
    <row r="2457" ht="14.25" customHeight="1">
      <c r="C2457" s="9" t="s">
        <v>481</v>
      </c>
      <c r="D2457" s="9" t="s">
        <v>3099</v>
      </c>
      <c r="E2457" s="9" t="s">
        <v>3085</v>
      </c>
      <c r="F2457" s="9" t="s">
        <v>282</v>
      </c>
      <c r="H2457" s="9"/>
    </row>
    <row r="2458" ht="14.25" customHeight="1">
      <c r="C2458" s="9" t="s">
        <v>481</v>
      </c>
      <c r="D2458" s="9" t="s">
        <v>3099</v>
      </c>
      <c r="E2458" s="9" t="s">
        <v>3085</v>
      </c>
      <c r="F2458" s="9" t="s">
        <v>321</v>
      </c>
      <c r="H2458" s="9"/>
    </row>
    <row r="2459" ht="14.25" customHeight="1">
      <c r="C2459" s="9" t="s">
        <v>481</v>
      </c>
      <c r="D2459" s="9" t="s">
        <v>3099</v>
      </c>
      <c r="E2459" s="9" t="s">
        <v>3085</v>
      </c>
      <c r="F2459" s="9" t="s">
        <v>272</v>
      </c>
      <c r="H2459" s="9"/>
    </row>
    <row r="2460" ht="14.25" customHeight="1">
      <c r="C2460" s="9" t="s">
        <v>481</v>
      </c>
      <c r="D2460" s="9" t="s">
        <v>3099</v>
      </c>
      <c r="E2460" s="9" t="s">
        <v>3085</v>
      </c>
      <c r="F2460" s="9" t="s">
        <v>517</v>
      </c>
      <c r="H2460" s="9"/>
    </row>
    <row r="2461" ht="14.25" customHeight="1">
      <c r="C2461" s="9" t="s">
        <v>481</v>
      </c>
      <c r="D2461" s="9" t="s">
        <v>3099</v>
      </c>
      <c r="E2461" s="9" t="s">
        <v>3085</v>
      </c>
      <c r="F2461" s="9" t="s">
        <v>2593</v>
      </c>
      <c r="H2461" s="9"/>
    </row>
    <row r="2462" ht="14.25" customHeight="1">
      <c r="C2462" s="9" t="s">
        <v>481</v>
      </c>
      <c r="D2462" s="9" t="s">
        <v>3099</v>
      </c>
      <c r="E2462" s="9" t="s">
        <v>3085</v>
      </c>
      <c r="F2462" s="9" t="s">
        <v>507</v>
      </c>
      <c r="H2462" s="9"/>
    </row>
    <row r="2463" ht="14.25" customHeight="1">
      <c r="C2463" s="9" t="s">
        <v>481</v>
      </c>
      <c r="D2463" s="9" t="s">
        <v>3099</v>
      </c>
      <c r="E2463" s="9" t="s">
        <v>3085</v>
      </c>
      <c r="F2463" s="9" t="s">
        <v>336</v>
      </c>
      <c r="H2463" s="9"/>
    </row>
    <row r="2464" ht="14.25" customHeight="1">
      <c r="C2464" s="9" t="s">
        <v>481</v>
      </c>
      <c r="D2464" s="9" t="s">
        <v>3099</v>
      </c>
      <c r="E2464" s="9" t="s">
        <v>3085</v>
      </c>
      <c r="F2464" s="9" t="s">
        <v>235</v>
      </c>
      <c r="H2464" s="9"/>
    </row>
    <row r="2465" ht="14.25" customHeight="1">
      <c r="C2465" s="9" t="s">
        <v>481</v>
      </c>
      <c r="D2465" s="9" t="s">
        <v>3099</v>
      </c>
      <c r="E2465" s="9" t="s">
        <v>3085</v>
      </c>
      <c r="F2465" s="9" t="s">
        <v>327</v>
      </c>
      <c r="H2465" s="9"/>
    </row>
    <row r="2466" ht="14.25" customHeight="1">
      <c r="C2466" s="9" t="s">
        <v>481</v>
      </c>
      <c r="D2466" s="9" t="s">
        <v>3099</v>
      </c>
      <c r="E2466" s="9" t="s">
        <v>3085</v>
      </c>
      <c r="F2466" s="9" t="s">
        <v>264</v>
      </c>
      <c r="H2466" s="9"/>
    </row>
    <row r="2467" ht="14.25" customHeight="1">
      <c r="C2467" s="9" t="s">
        <v>481</v>
      </c>
      <c r="D2467" s="9" t="s">
        <v>3100</v>
      </c>
      <c r="E2467" s="9" t="s">
        <v>3085</v>
      </c>
      <c r="F2467" s="9" t="s">
        <v>474</v>
      </c>
      <c r="H2467" s="9"/>
    </row>
    <row r="2468" ht="14.25" customHeight="1">
      <c r="C2468" s="9" t="s">
        <v>481</v>
      </c>
      <c r="D2468" s="9" t="s">
        <v>3100</v>
      </c>
      <c r="E2468" s="9" t="s">
        <v>3085</v>
      </c>
      <c r="F2468" s="9" t="s">
        <v>284</v>
      </c>
      <c r="H2468" s="9"/>
    </row>
    <row r="2469" ht="14.25" customHeight="1">
      <c r="C2469" s="9" t="s">
        <v>481</v>
      </c>
      <c r="D2469" s="9" t="s">
        <v>3100</v>
      </c>
      <c r="E2469" s="9" t="s">
        <v>3085</v>
      </c>
      <c r="F2469" s="9" t="s">
        <v>493</v>
      </c>
      <c r="H2469" s="9"/>
    </row>
    <row r="2470" ht="14.25" customHeight="1">
      <c r="C2470" s="9" t="s">
        <v>481</v>
      </c>
      <c r="D2470" s="9" t="s">
        <v>3100</v>
      </c>
      <c r="E2470" s="9" t="s">
        <v>3085</v>
      </c>
      <c r="F2470" s="9" t="s">
        <v>450</v>
      </c>
      <c r="H2470" s="9"/>
    </row>
    <row r="2471" ht="14.25" customHeight="1">
      <c r="C2471" s="9" t="s">
        <v>481</v>
      </c>
      <c r="D2471" s="9" t="s">
        <v>3100</v>
      </c>
      <c r="E2471" s="9" t="s">
        <v>3085</v>
      </c>
      <c r="F2471" s="9" t="s">
        <v>395</v>
      </c>
      <c r="H2471" s="9"/>
    </row>
    <row r="2472" ht="14.25" customHeight="1">
      <c r="C2472" s="9" t="s">
        <v>481</v>
      </c>
      <c r="D2472" s="9" t="s">
        <v>3100</v>
      </c>
      <c r="E2472" s="9" t="s">
        <v>3085</v>
      </c>
      <c r="F2472" s="9" t="s">
        <v>276</v>
      </c>
      <c r="H2472" s="9"/>
    </row>
    <row r="2473" ht="14.25" customHeight="1">
      <c r="C2473" s="9" t="s">
        <v>481</v>
      </c>
      <c r="D2473" s="9" t="s">
        <v>3100</v>
      </c>
      <c r="E2473" s="9" t="s">
        <v>3085</v>
      </c>
      <c r="F2473" s="9" t="s">
        <v>431</v>
      </c>
      <c r="H2473" s="9"/>
    </row>
    <row r="2474" ht="14.25" customHeight="1">
      <c r="C2474" s="9" t="s">
        <v>481</v>
      </c>
      <c r="D2474" s="9" t="s">
        <v>3100</v>
      </c>
      <c r="E2474" s="9" t="s">
        <v>3085</v>
      </c>
      <c r="F2474" s="9" t="s">
        <v>1272</v>
      </c>
      <c r="H2474" s="9"/>
    </row>
    <row r="2475" ht="14.25" customHeight="1">
      <c r="C2475" s="9" t="s">
        <v>481</v>
      </c>
      <c r="D2475" s="9" t="s">
        <v>3100</v>
      </c>
      <c r="E2475" s="9" t="s">
        <v>3085</v>
      </c>
      <c r="F2475" s="9" t="s">
        <v>420</v>
      </c>
      <c r="H2475" s="9"/>
    </row>
    <row r="2476" ht="14.25" customHeight="1">
      <c r="C2476" s="9" t="s">
        <v>481</v>
      </c>
      <c r="D2476" s="9" t="s">
        <v>3100</v>
      </c>
      <c r="E2476" s="9" t="s">
        <v>3085</v>
      </c>
      <c r="F2476" s="9" t="s">
        <v>482</v>
      </c>
      <c r="H2476" s="9"/>
    </row>
    <row r="2477" ht="14.25" customHeight="1">
      <c r="C2477" s="9" t="s">
        <v>481</v>
      </c>
      <c r="D2477" s="9" t="s">
        <v>3100</v>
      </c>
      <c r="E2477" s="9" t="s">
        <v>3085</v>
      </c>
      <c r="F2477" s="9" t="s">
        <v>136</v>
      </c>
      <c r="H2477" s="9"/>
    </row>
    <row r="2478" ht="14.25" customHeight="1">
      <c r="C2478" s="9" t="s">
        <v>481</v>
      </c>
      <c r="D2478" s="9" t="s">
        <v>3100</v>
      </c>
      <c r="E2478" s="9" t="s">
        <v>3085</v>
      </c>
      <c r="F2478" s="9" t="s">
        <v>408</v>
      </c>
      <c r="H2478" s="9"/>
    </row>
    <row r="2479" ht="14.25" customHeight="1">
      <c r="C2479" s="9" t="s">
        <v>481</v>
      </c>
      <c r="D2479" s="9" t="s">
        <v>3100</v>
      </c>
      <c r="E2479" s="9" t="s">
        <v>3085</v>
      </c>
      <c r="F2479" s="9" t="s">
        <v>2589</v>
      </c>
      <c r="H2479" s="9"/>
    </row>
    <row r="2480" ht="14.25" customHeight="1">
      <c r="C2480" s="9" t="s">
        <v>481</v>
      </c>
      <c r="D2480" s="9" t="s">
        <v>3100</v>
      </c>
      <c r="E2480" s="9" t="s">
        <v>3085</v>
      </c>
      <c r="F2480" s="9" t="s">
        <v>197</v>
      </c>
      <c r="H2480" s="9"/>
    </row>
    <row r="2481" ht="14.25" customHeight="1">
      <c r="C2481" s="9" t="s">
        <v>481</v>
      </c>
      <c r="D2481" s="9" t="s">
        <v>3100</v>
      </c>
      <c r="E2481" s="9" t="s">
        <v>3085</v>
      </c>
      <c r="F2481" s="9" t="s">
        <v>172</v>
      </c>
      <c r="H2481" s="9"/>
    </row>
    <row r="2482" ht="14.25" customHeight="1">
      <c r="C2482" s="9" t="s">
        <v>481</v>
      </c>
      <c r="D2482" s="9" t="s">
        <v>3100</v>
      </c>
      <c r="E2482" s="9" t="s">
        <v>3085</v>
      </c>
      <c r="F2482" s="9" t="s">
        <v>98</v>
      </c>
      <c r="H2482" s="9"/>
    </row>
    <row r="2483" ht="14.25" customHeight="1">
      <c r="C2483" s="9" t="s">
        <v>481</v>
      </c>
      <c r="D2483" s="9" t="s">
        <v>3100</v>
      </c>
      <c r="E2483" s="9" t="s">
        <v>3085</v>
      </c>
      <c r="F2483" s="9" t="s">
        <v>341</v>
      </c>
      <c r="H2483" s="9"/>
    </row>
    <row r="2484" ht="14.25" customHeight="1">
      <c r="C2484" s="9" t="s">
        <v>481</v>
      </c>
      <c r="D2484" s="9" t="s">
        <v>3100</v>
      </c>
      <c r="E2484" s="9" t="s">
        <v>3085</v>
      </c>
      <c r="F2484" s="9" t="s">
        <v>367</v>
      </c>
      <c r="H2484" s="9"/>
    </row>
    <row r="2485" ht="14.25" customHeight="1">
      <c r="C2485" s="9" t="s">
        <v>481</v>
      </c>
      <c r="D2485" s="9" t="s">
        <v>3100</v>
      </c>
      <c r="E2485" s="9" t="s">
        <v>3085</v>
      </c>
      <c r="F2485" s="9" t="s">
        <v>529</v>
      </c>
      <c r="H2485" s="9"/>
    </row>
    <row r="2486" ht="14.25" customHeight="1">
      <c r="C2486" s="9" t="s">
        <v>481</v>
      </c>
      <c r="D2486" s="9" t="s">
        <v>3100</v>
      </c>
      <c r="E2486" s="9" t="s">
        <v>3085</v>
      </c>
      <c r="F2486" s="9" t="s">
        <v>282</v>
      </c>
      <c r="H2486" s="9"/>
    </row>
    <row r="2487" ht="14.25" customHeight="1">
      <c r="C2487" s="9" t="s">
        <v>481</v>
      </c>
      <c r="D2487" s="9" t="s">
        <v>3100</v>
      </c>
      <c r="E2487" s="9" t="s">
        <v>3085</v>
      </c>
      <c r="F2487" s="9" t="s">
        <v>321</v>
      </c>
      <c r="H2487" s="9"/>
    </row>
    <row r="2488" ht="14.25" customHeight="1">
      <c r="C2488" s="9" t="s">
        <v>481</v>
      </c>
      <c r="D2488" s="9" t="s">
        <v>3100</v>
      </c>
      <c r="E2488" s="9" t="s">
        <v>3085</v>
      </c>
      <c r="F2488" s="9" t="s">
        <v>272</v>
      </c>
      <c r="H2488" s="9"/>
    </row>
    <row r="2489" ht="14.25" customHeight="1">
      <c r="C2489" s="9" t="s">
        <v>481</v>
      </c>
      <c r="D2489" s="9" t="s">
        <v>3100</v>
      </c>
      <c r="E2489" s="9" t="s">
        <v>3085</v>
      </c>
      <c r="F2489" s="9" t="s">
        <v>517</v>
      </c>
      <c r="H2489" s="9"/>
    </row>
    <row r="2490" ht="14.25" customHeight="1">
      <c r="C2490" s="9" t="s">
        <v>481</v>
      </c>
      <c r="D2490" s="9" t="s">
        <v>3100</v>
      </c>
      <c r="E2490" s="9" t="s">
        <v>3085</v>
      </c>
      <c r="F2490" s="9" t="s">
        <v>2593</v>
      </c>
      <c r="H2490" s="9"/>
    </row>
    <row r="2491" ht="14.25" customHeight="1">
      <c r="C2491" s="9" t="s">
        <v>481</v>
      </c>
      <c r="D2491" s="9" t="s">
        <v>3100</v>
      </c>
      <c r="E2491" s="9" t="s">
        <v>3085</v>
      </c>
      <c r="F2491" s="9" t="s">
        <v>507</v>
      </c>
      <c r="H2491" s="9"/>
    </row>
    <row r="2492" ht="14.25" customHeight="1">
      <c r="C2492" s="9" t="s">
        <v>481</v>
      </c>
      <c r="D2492" s="9" t="s">
        <v>3100</v>
      </c>
      <c r="E2492" s="9" t="s">
        <v>3085</v>
      </c>
      <c r="F2492" s="9" t="s">
        <v>336</v>
      </c>
      <c r="H2492" s="9"/>
    </row>
    <row r="2493" ht="14.25" customHeight="1">
      <c r="C2493" s="9" t="s">
        <v>481</v>
      </c>
      <c r="D2493" s="9" t="s">
        <v>3100</v>
      </c>
      <c r="E2493" s="9" t="s">
        <v>3085</v>
      </c>
      <c r="F2493" s="9" t="s">
        <v>235</v>
      </c>
      <c r="H2493" s="9"/>
    </row>
    <row r="2494" ht="14.25" customHeight="1">
      <c r="C2494" s="9" t="s">
        <v>481</v>
      </c>
      <c r="D2494" s="9" t="s">
        <v>3100</v>
      </c>
      <c r="E2494" s="9" t="s">
        <v>3085</v>
      </c>
      <c r="F2494" s="9" t="s">
        <v>327</v>
      </c>
      <c r="H2494" s="9"/>
    </row>
    <row r="2495" ht="14.25" customHeight="1">
      <c r="C2495" s="9" t="s">
        <v>481</v>
      </c>
      <c r="D2495" s="9" t="s">
        <v>3100</v>
      </c>
      <c r="E2495" s="9" t="s">
        <v>3085</v>
      </c>
      <c r="F2495" s="9" t="s">
        <v>264</v>
      </c>
      <c r="H2495" s="9"/>
    </row>
    <row r="2496" ht="14.25" customHeight="1">
      <c r="C2496" s="9" t="s">
        <v>1101</v>
      </c>
      <c r="D2496" s="9" t="s">
        <v>3101</v>
      </c>
      <c r="E2496" s="9" t="s">
        <v>3085</v>
      </c>
      <c r="F2496" s="9" t="s">
        <v>474</v>
      </c>
      <c r="H2496" s="9"/>
    </row>
    <row r="2497" ht="14.25" customHeight="1">
      <c r="C2497" s="9" t="s">
        <v>1101</v>
      </c>
      <c r="D2497" s="9" t="s">
        <v>3101</v>
      </c>
      <c r="E2497" s="9" t="s">
        <v>3085</v>
      </c>
      <c r="F2497" s="9" t="s">
        <v>284</v>
      </c>
      <c r="H2497" s="9"/>
    </row>
    <row r="2498" ht="14.25" customHeight="1">
      <c r="C2498" s="9" t="s">
        <v>1101</v>
      </c>
      <c r="D2498" s="9" t="s">
        <v>3101</v>
      </c>
      <c r="E2498" s="9" t="s">
        <v>3085</v>
      </c>
      <c r="F2498" s="9" t="s">
        <v>493</v>
      </c>
      <c r="H2498" s="9"/>
    </row>
    <row r="2499" ht="14.25" customHeight="1">
      <c r="C2499" s="9" t="s">
        <v>1101</v>
      </c>
      <c r="D2499" s="9" t="s">
        <v>3101</v>
      </c>
      <c r="E2499" s="9" t="s">
        <v>3085</v>
      </c>
      <c r="F2499" s="9" t="s">
        <v>450</v>
      </c>
      <c r="H2499" s="9"/>
    </row>
    <row r="2500" ht="14.25" customHeight="1">
      <c r="C2500" s="9" t="s">
        <v>1101</v>
      </c>
      <c r="D2500" s="9" t="s">
        <v>3101</v>
      </c>
      <c r="E2500" s="9" t="s">
        <v>3085</v>
      </c>
      <c r="F2500" s="9" t="s">
        <v>395</v>
      </c>
      <c r="H2500" s="9"/>
    </row>
    <row r="2501" ht="14.25" customHeight="1">
      <c r="C2501" s="9" t="s">
        <v>1101</v>
      </c>
      <c r="D2501" s="9" t="s">
        <v>3101</v>
      </c>
      <c r="E2501" s="9" t="s">
        <v>3085</v>
      </c>
      <c r="F2501" s="9" t="s">
        <v>276</v>
      </c>
      <c r="H2501" s="9"/>
    </row>
    <row r="2502" ht="14.25" customHeight="1">
      <c r="C2502" s="9" t="s">
        <v>1101</v>
      </c>
      <c r="D2502" s="9" t="s">
        <v>3101</v>
      </c>
      <c r="E2502" s="9" t="s">
        <v>3085</v>
      </c>
      <c r="F2502" s="9" t="s">
        <v>431</v>
      </c>
      <c r="H2502" s="9"/>
    </row>
    <row r="2503" ht="14.25" customHeight="1">
      <c r="C2503" s="9" t="s">
        <v>1101</v>
      </c>
      <c r="D2503" s="9" t="s">
        <v>3101</v>
      </c>
      <c r="E2503" s="9" t="s">
        <v>3085</v>
      </c>
      <c r="F2503" s="9" t="s">
        <v>1272</v>
      </c>
      <c r="H2503" s="9"/>
    </row>
    <row r="2504" ht="14.25" customHeight="1">
      <c r="C2504" s="9" t="s">
        <v>1101</v>
      </c>
      <c r="D2504" s="9" t="s">
        <v>3101</v>
      </c>
      <c r="E2504" s="9" t="s">
        <v>3085</v>
      </c>
      <c r="F2504" s="9" t="s">
        <v>420</v>
      </c>
      <c r="H2504" s="9"/>
    </row>
    <row r="2505" ht="14.25" customHeight="1">
      <c r="C2505" s="9" t="s">
        <v>1101</v>
      </c>
      <c r="D2505" s="9" t="s">
        <v>3101</v>
      </c>
      <c r="E2505" s="9" t="s">
        <v>3085</v>
      </c>
      <c r="F2505" s="9" t="s">
        <v>482</v>
      </c>
      <c r="H2505" s="9"/>
    </row>
    <row r="2506" ht="14.25" customHeight="1">
      <c r="C2506" s="9" t="s">
        <v>1101</v>
      </c>
      <c r="D2506" s="9" t="s">
        <v>3101</v>
      </c>
      <c r="E2506" s="9" t="s">
        <v>3085</v>
      </c>
      <c r="F2506" s="9" t="s">
        <v>136</v>
      </c>
      <c r="H2506" s="9"/>
    </row>
    <row r="2507" ht="14.25" customHeight="1">
      <c r="C2507" s="9" t="s">
        <v>1101</v>
      </c>
      <c r="D2507" s="9" t="s">
        <v>3101</v>
      </c>
      <c r="E2507" s="9" t="s">
        <v>3085</v>
      </c>
      <c r="F2507" s="9" t="s">
        <v>408</v>
      </c>
      <c r="H2507" s="9"/>
    </row>
    <row r="2508" ht="14.25" customHeight="1">
      <c r="C2508" s="9" t="s">
        <v>1101</v>
      </c>
      <c r="D2508" s="9" t="s">
        <v>3101</v>
      </c>
      <c r="E2508" s="9" t="s">
        <v>3085</v>
      </c>
      <c r="F2508" s="9" t="s">
        <v>2589</v>
      </c>
      <c r="H2508" s="9"/>
    </row>
    <row r="2509" ht="14.25" customHeight="1">
      <c r="C2509" s="9" t="s">
        <v>1101</v>
      </c>
      <c r="D2509" s="9" t="s">
        <v>3101</v>
      </c>
      <c r="E2509" s="9" t="s">
        <v>3085</v>
      </c>
      <c r="F2509" s="9" t="s">
        <v>197</v>
      </c>
      <c r="H2509" s="9"/>
    </row>
    <row r="2510" ht="14.25" customHeight="1">
      <c r="C2510" s="9" t="s">
        <v>1101</v>
      </c>
      <c r="D2510" s="9" t="s">
        <v>3101</v>
      </c>
      <c r="E2510" s="9" t="s">
        <v>3085</v>
      </c>
      <c r="F2510" s="9" t="s">
        <v>172</v>
      </c>
      <c r="H2510" s="9"/>
    </row>
    <row r="2511" ht="14.25" customHeight="1">
      <c r="C2511" s="9" t="s">
        <v>1101</v>
      </c>
      <c r="D2511" s="9" t="s">
        <v>3101</v>
      </c>
      <c r="E2511" s="9" t="s">
        <v>3085</v>
      </c>
      <c r="F2511" s="9" t="s">
        <v>98</v>
      </c>
      <c r="H2511" s="9"/>
    </row>
    <row r="2512" ht="14.25" customHeight="1">
      <c r="C2512" s="9" t="s">
        <v>1101</v>
      </c>
      <c r="D2512" s="9" t="s">
        <v>3101</v>
      </c>
      <c r="E2512" s="9" t="s">
        <v>3085</v>
      </c>
      <c r="F2512" s="9" t="s">
        <v>341</v>
      </c>
      <c r="H2512" s="9"/>
    </row>
    <row r="2513" ht="14.25" customHeight="1">
      <c r="C2513" s="9" t="s">
        <v>1101</v>
      </c>
      <c r="D2513" s="9" t="s">
        <v>3101</v>
      </c>
      <c r="E2513" s="9" t="s">
        <v>3085</v>
      </c>
      <c r="F2513" s="9" t="s">
        <v>367</v>
      </c>
      <c r="H2513" s="9"/>
    </row>
    <row r="2514" ht="14.25" customHeight="1">
      <c r="C2514" s="9" t="s">
        <v>1101</v>
      </c>
      <c r="D2514" s="9" t="s">
        <v>3101</v>
      </c>
      <c r="E2514" s="9" t="s">
        <v>3085</v>
      </c>
      <c r="F2514" s="9" t="s">
        <v>529</v>
      </c>
      <c r="H2514" s="9"/>
    </row>
    <row r="2515" ht="14.25" customHeight="1">
      <c r="C2515" s="9" t="s">
        <v>1101</v>
      </c>
      <c r="D2515" s="9" t="s">
        <v>3101</v>
      </c>
      <c r="E2515" s="9" t="s">
        <v>3085</v>
      </c>
      <c r="F2515" s="9" t="s">
        <v>282</v>
      </c>
      <c r="H2515" s="9"/>
    </row>
    <row r="2516" ht="14.25" customHeight="1">
      <c r="C2516" s="9" t="s">
        <v>1101</v>
      </c>
      <c r="D2516" s="9" t="s">
        <v>3101</v>
      </c>
      <c r="E2516" s="9" t="s">
        <v>3085</v>
      </c>
      <c r="F2516" s="9" t="s">
        <v>321</v>
      </c>
      <c r="H2516" s="9"/>
    </row>
    <row r="2517" ht="14.25" customHeight="1">
      <c r="C2517" s="9" t="s">
        <v>1101</v>
      </c>
      <c r="D2517" s="9" t="s">
        <v>3101</v>
      </c>
      <c r="E2517" s="9" t="s">
        <v>3085</v>
      </c>
      <c r="F2517" s="9" t="s">
        <v>272</v>
      </c>
      <c r="H2517" s="9"/>
    </row>
    <row r="2518" ht="14.25" customHeight="1">
      <c r="C2518" s="9" t="s">
        <v>1101</v>
      </c>
      <c r="D2518" s="9" t="s">
        <v>3101</v>
      </c>
      <c r="E2518" s="9" t="s">
        <v>3085</v>
      </c>
      <c r="F2518" s="9" t="s">
        <v>517</v>
      </c>
      <c r="H2518" s="9"/>
    </row>
    <row r="2519" ht="14.25" customHeight="1">
      <c r="C2519" s="9" t="s">
        <v>1101</v>
      </c>
      <c r="D2519" s="9" t="s">
        <v>3101</v>
      </c>
      <c r="E2519" s="9" t="s">
        <v>3085</v>
      </c>
      <c r="F2519" s="9" t="s">
        <v>2593</v>
      </c>
      <c r="H2519" s="9"/>
    </row>
    <row r="2520" ht="14.25" customHeight="1">
      <c r="C2520" s="9" t="s">
        <v>1101</v>
      </c>
      <c r="D2520" s="9" t="s">
        <v>3101</v>
      </c>
      <c r="E2520" s="9" t="s">
        <v>3085</v>
      </c>
      <c r="F2520" s="9" t="s">
        <v>507</v>
      </c>
      <c r="H2520" s="9"/>
    </row>
    <row r="2521" ht="14.25" customHeight="1">
      <c r="C2521" s="9" t="s">
        <v>1101</v>
      </c>
      <c r="D2521" s="9" t="s">
        <v>3101</v>
      </c>
      <c r="E2521" s="9" t="s">
        <v>3085</v>
      </c>
      <c r="F2521" s="9" t="s">
        <v>336</v>
      </c>
      <c r="H2521" s="9"/>
    </row>
    <row r="2522" ht="14.25" customHeight="1">
      <c r="C2522" s="9" t="s">
        <v>1101</v>
      </c>
      <c r="D2522" s="9" t="s">
        <v>3101</v>
      </c>
      <c r="E2522" s="9" t="s">
        <v>3085</v>
      </c>
      <c r="F2522" s="9" t="s">
        <v>235</v>
      </c>
      <c r="H2522" s="9"/>
    </row>
    <row r="2523" ht="14.25" customHeight="1">
      <c r="C2523" s="9" t="s">
        <v>1101</v>
      </c>
      <c r="D2523" s="9" t="s">
        <v>3101</v>
      </c>
      <c r="E2523" s="9" t="s">
        <v>3085</v>
      </c>
      <c r="F2523" s="9" t="s">
        <v>327</v>
      </c>
      <c r="H2523" s="9"/>
    </row>
    <row r="2524" ht="14.25" customHeight="1">
      <c r="C2524" s="9" t="s">
        <v>1101</v>
      </c>
      <c r="D2524" s="9" t="s">
        <v>3101</v>
      </c>
      <c r="E2524" s="9" t="s">
        <v>3085</v>
      </c>
      <c r="F2524" s="9" t="s">
        <v>264</v>
      </c>
      <c r="H2524" s="9"/>
    </row>
    <row r="2525" ht="14.25" customHeight="1">
      <c r="C2525" s="9" t="s">
        <v>1101</v>
      </c>
      <c r="D2525" s="9" t="s">
        <v>3102</v>
      </c>
      <c r="E2525" s="9" t="s">
        <v>3085</v>
      </c>
      <c r="F2525" s="9" t="s">
        <v>474</v>
      </c>
      <c r="H2525" s="9"/>
    </row>
    <row r="2526" ht="14.25" customHeight="1">
      <c r="C2526" s="9" t="s">
        <v>1101</v>
      </c>
      <c r="D2526" s="9" t="s">
        <v>3102</v>
      </c>
      <c r="E2526" s="9" t="s">
        <v>3085</v>
      </c>
      <c r="F2526" s="9" t="s">
        <v>284</v>
      </c>
      <c r="H2526" s="9"/>
    </row>
    <row r="2527" ht="14.25" customHeight="1">
      <c r="C2527" s="9" t="s">
        <v>1101</v>
      </c>
      <c r="D2527" s="9" t="s">
        <v>3102</v>
      </c>
      <c r="E2527" s="9" t="s">
        <v>3085</v>
      </c>
      <c r="F2527" s="9" t="s">
        <v>493</v>
      </c>
      <c r="H2527" s="9"/>
    </row>
    <row r="2528" ht="14.25" customHeight="1">
      <c r="C2528" s="9" t="s">
        <v>1101</v>
      </c>
      <c r="D2528" s="9" t="s">
        <v>3102</v>
      </c>
      <c r="E2528" s="9" t="s">
        <v>3085</v>
      </c>
      <c r="F2528" s="9" t="s">
        <v>450</v>
      </c>
      <c r="H2528" s="9"/>
    </row>
    <row r="2529" ht="14.25" customHeight="1">
      <c r="C2529" s="9" t="s">
        <v>1101</v>
      </c>
      <c r="D2529" s="9" t="s">
        <v>3102</v>
      </c>
      <c r="E2529" s="9" t="s">
        <v>3085</v>
      </c>
      <c r="F2529" s="9" t="s">
        <v>2296</v>
      </c>
      <c r="H2529" s="9"/>
    </row>
    <row r="2530" ht="14.25" customHeight="1">
      <c r="C2530" s="9" t="s">
        <v>1101</v>
      </c>
      <c r="D2530" s="9" t="s">
        <v>3102</v>
      </c>
      <c r="E2530" s="9" t="s">
        <v>3085</v>
      </c>
      <c r="F2530" s="9" t="s">
        <v>395</v>
      </c>
      <c r="H2530" s="9"/>
    </row>
    <row r="2531" ht="14.25" customHeight="1">
      <c r="C2531" s="9" t="s">
        <v>1101</v>
      </c>
      <c r="D2531" s="9" t="s">
        <v>3102</v>
      </c>
      <c r="E2531" s="9" t="s">
        <v>3085</v>
      </c>
      <c r="F2531" s="9" t="s">
        <v>276</v>
      </c>
      <c r="H2531" s="9"/>
    </row>
    <row r="2532" ht="14.25" customHeight="1">
      <c r="C2532" s="9" t="s">
        <v>1101</v>
      </c>
      <c r="D2532" s="9" t="s">
        <v>3102</v>
      </c>
      <c r="E2532" s="9" t="s">
        <v>3085</v>
      </c>
      <c r="F2532" s="9" t="s">
        <v>431</v>
      </c>
      <c r="H2532" s="9"/>
    </row>
    <row r="2533" ht="14.25" customHeight="1">
      <c r="C2533" s="9" t="s">
        <v>1101</v>
      </c>
      <c r="D2533" s="9" t="s">
        <v>3102</v>
      </c>
      <c r="E2533" s="9" t="s">
        <v>3085</v>
      </c>
      <c r="F2533" s="9" t="s">
        <v>1272</v>
      </c>
      <c r="H2533" s="9"/>
    </row>
    <row r="2534" ht="14.25" customHeight="1">
      <c r="C2534" s="9" t="s">
        <v>1101</v>
      </c>
      <c r="D2534" s="9" t="s">
        <v>3102</v>
      </c>
      <c r="E2534" s="9" t="s">
        <v>3085</v>
      </c>
      <c r="F2534" s="9" t="s">
        <v>420</v>
      </c>
      <c r="H2534" s="9"/>
    </row>
    <row r="2535" ht="14.25" customHeight="1">
      <c r="C2535" s="9" t="s">
        <v>1101</v>
      </c>
      <c r="D2535" s="9" t="s">
        <v>3102</v>
      </c>
      <c r="E2535" s="9" t="s">
        <v>3085</v>
      </c>
      <c r="F2535" s="9" t="s">
        <v>482</v>
      </c>
      <c r="H2535" s="9"/>
    </row>
    <row r="2536" ht="14.25" customHeight="1">
      <c r="C2536" s="9" t="s">
        <v>1101</v>
      </c>
      <c r="D2536" s="9" t="s">
        <v>3102</v>
      </c>
      <c r="E2536" s="9" t="s">
        <v>3085</v>
      </c>
      <c r="F2536" s="9" t="s">
        <v>136</v>
      </c>
      <c r="H2536" s="9"/>
    </row>
    <row r="2537" ht="14.25" customHeight="1">
      <c r="C2537" s="9" t="s">
        <v>1101</v>
      </c>
      <c r="D2537" s="9" t="s">
        <v>3102</v>
      </c>
      <c r="E2537" s="9" t="s">
        <v>3085</v>
      </c>
      <c r="F2537" s="9" t="s">
        <v>408</v>
      </c>
      <c r="H2537" s="9"/>
    </row>
    <row r="2538" ht="14.25" customHeight="1">
      <c r="C2538" s="9" t="s">
        <v>1101</v>
      </c>
      <c r="D2538" s="9" t="s">
        <v>3102</v>
      </c>
      <c r="E2538" s="9" t="s">
        <v>3085</v>
      </c>
      <c r="F2538" s="9" t="s">
        <v>2301</v>
      </c>
      <c r="H2538" s="9"/>
    </row>
    <row r="2539" ht="14.25" customHeight="1">
      <c r="C2539" s="9" t="s">
        <v>1101</v>
      </c>
      <c r="D2539" s="9" t="s">
        <v>3102</v>
      </c>
      <c r="E2539" s="9" t="s">
        <v>3085</v>
      </c>
      <c r="F2539" s="9" t="s">
        <v>2589</v>
      </c>
      <c r="H2539" s="9"/>
    </row>
    <row r="2540" ht="14.25" customHeight="1">
      <c r="C2540" s="9" t="s">
        <v>1101</v>
      </c>
      <c r="D2540" s="9" t="s">
        <v>3102</v>
      </c>
      <c r="E2540" s="9" t="s">
        <v>3085</v>
      </c>
      <c r="F2540" s="9" t="s">
        <v>197</v>
      </c>
      <c r="H2540" s="9"/>
    </row>
    <row r="2541" ht="14.25" customHeight="1">
      <c r="C2541" s="9" t="s">
        <v>1101</v>
      </c>
      <c r="D2541" s="9" t="s">
        <v>3102</v>
      </c>
      <c r="E2541" s="9" t="s">
        <v>3085</v>
      </c>
      <c r="F2541" s="9" t="s">
        <v>172</v>
      </c>
      <c r="H2541" s="9"/>
    </row>
    <row r="2542" ht="14.25" customHeight="1">
      <c r="C2542" s="9" t="s">
        <v>1101</v>
      </c>
      <c r="D2542" s="9" t="s">
        <v>3102</v>
      </c>
      <c r="E2542" s="9" t="s">
        <v>3085</v>
      </c>
      <c r="F2542" s="9" t="s">
        <v>98</v>
      </c>
      <c r="H2542" s="9"/>
    </row>
    <row r="2543" ht="14.25" customHeight="1">
      <c r="C2543" s="9" t="s">
        <v>1101</v>
      </c>
      <c r="D2543" s="9" t="s">
        <v>3102</v>
      </c>
      <c r="E2543" s="9" t="s">
        <v>3085</v>
      </c>
      <c r="F2543" s="9" t="s">
        <v>341</v>
      </c>
      <c r="H2543" s="9"/>
    </row>
    <row r="2544" ht="14.25" customHeight="1">
      <c r="C2544" s="9" t="s">
        <v>1101</v>
      </c>
      <c r="D2544" s="9" t="s">
        <v>3102</v>
      </c>
      <c r="E2544" s="9" t="s">
        <v>3085</v>
      </c>
      <c r="F2544" s="9" t="s">
        <v>367</v>
      </c>
      <c r="H2544" s="9"/>
    </row>
    <row r="2545" ht="14.25" customHeight="1">
      <c r="C2545" s="9" t="s">
        <v>1101</v>
      </c>
      <c r="D2545" s="9" t="s">
        <v>3102</v>
      </c>
      <c r="E2545" s="9" t="s">
        <v>3085</v>
      </c>
      <c r="F2545" s="9" t="s">
        <v>529</v>
      </c>
      <c r="H2545" s="9"/>
    </row>
    <row r="2546" ht="14.25" customHeight="1">
      <c r="C2546" s="9" t="s">
        <v>1101</v>
      </c>
      <c r="D2546" s="9" t="s">
        <v>3102</v>
      </c>
      <c r="E2546" s="9" t="s">
        <v>3085</v>
      </c>
      <c r="F2546" s="9" t="s">
        <v>282</v>
      </c>
      <c r="H2546" s="9"/>
    </row>
    <row r="2547" ht="14.25" customHeight="1">
      <c r="C2547" s="9" t="s">
        <v>1101</v>
      </c>
      <c r="D2547" s="9" t="s">
        <v>3102</v>
      </c>
      <c r="E2547" s="9" t="s">
        <v>3085</v>
      </c>
      <c r="F2547" s="9" t="s">
        <v>321</v>
      </c>
      <c r="H2547" s="9"/>
    </row>
    <row r="2548" ht="14.25" customHeight="1">
      <c r="C2548" s="9" t="s">
        <v>1101</v>
      </c>
      <c r="D2548" s="9" t="s">
        <v>3102</v>
      </c>
      <c r="E2548" s="9" t="s">
        <v>3085</v>
      </c>
      <c r="F2548" s="9" t="s">
        <v>272</v>
      </c>
      <c r="H2548" s="9"/>
    </row>
    <row r="2549" ht="14.25" customHeight="1">
      <c r="C2549" s="9" t="s">
        <v>1101</v>
      </c>
      <c r="D2549" s="9" t="s">
        <v>3102</v>
      </c>
      <c r="E2549" s="9" t="s">
        <v>3085</v>
      </c>
      <c r="F2549" s="9" t="s">
        <v>517</v>
      </c>
      <c r="H2549" s="9"/>
    </row>
    <row r="2550" ht="14.25" customHeight="1">
      <c r="C2550" s="9" t="s">
        <v>1101</v>
      </c>
      <c r="D2550" s="9" t="s">
        <v>3102</v>
      </c>
      <c r="E2550" s="9" t="s">
        <v>3085</v>
      </c>
      <c r="F2550" s="9" t="s">
        <v>2309</v>
      </c>
      <c r="H2550" s="9"/>
    </row>
    <row r="2551" ht="14.25" customHeight="1">
      <c r="C2551" s="9" t="s">
        <v>1101</v>
      </c>
      <c r="D2551" s="9" t="s">
        <v>3102</v>
      </c>
      <c r="E2551" s="9" t="s">
        <v>3085</v>
      </c>
      <c r="F2551" s="9" t="s">
        <v>2593</v>
      </c>
      <c r="H2551" s="9"/>
    </row>
    <row r="2552" ht="14.25" customHeight="1">
      <c r="C2552" s="9" t="s">
        <v>1101</v>
      </c>
      <c r="D2552" s="9" t="s">
        <v>3102</v>
      </c>
      <c r="E2552" s="9" t="s">
        <v>3085</v>
      </c>
      <c r="F2552" s="9" t="s">
        <v>507</v>
      </c>
      <c r="H2552" s="9"/>
    </row>
    <row r="2553" ht="14.25" customHeight="1">
      <c r="C2553" s="9" t="s">
        <v>1101</v>
      </c>
      <c r="D2553" s="9" t="s">
        <v>3102</v>
      </c>
      <c r="E2553" s="9" t="s">
        <v>3085</v>
      </c>
      <c r="F2553" s="9" t="s">
        <v>336</v>
      </c>
      <c r="H2553" s="9"/>
    </row>
    <row r="2554" ht="14.25" customHeight="1">
      <c r="C2554" s="9" t="s">
        <v>1101</v>
      </c>
      <c r="D2554" s="9" t="s">
        <v>3102</v>
      </c>
      <c r="E2554" s="9" t="s">
        <v>3085</v>
      </c>
      <c r="F2554" s="9" t="s">
        <v>235</v>
      </c>
      <c r="H2554" s="9"/>
    </row>
    <row r="2555" ht="14.25" customHeight="1">
      <c r="C2555" s="9" t="s">
        <v>1101</v>
      </c>
      <c r="D2555" s="9" t="s">
        <v>3102</v>
      </c>
      <c r="E2555" s="9" t="s">
        <v>3085</v>
      </c>
      <c r="F2555" s="9" t="s">
        <v>327</v>
      </c>
      <c r="H2555" s="9"/>
    </row>
    <row r="2556" ht="14.25" customHeight="1">
      <c r="C2556" s="9" t="s">
        <v>1101</v>
      </c>
      <c r="D2556" s="9" t="s">
        <v>3102</v>
      </c>
      <c r="E2556" s="9" t="s">
        <v>3085</v>
      </c>
      <c r="F2556" s="9" t="s">
        <v>264</v>
      </c>
      <c r="H2556" s="9"/>
    </row>
    <row r="2557" ht="14.25" customHeight="1">
      <c r="C2557" s="9" t="s">
        <v>486</v>
      </c>
      <c r="D2557" s="9" t="s">
        <v>486</v>
      </c>
      <c r="E2557" s="9" t="s">
        <v>3103</v>
      </c>
      <c r="F2557" s="9" t="s">
        <v>474</v>
      </c>
      <c r="H2557" s="9"/>
    </row>
    <row r="2558" ht="14.25" customHeight="1">
      <c r="C2558" s="9" t="s">
        <v>486</v>
      </c>
      <c r="D2558" s="9" t="s">
        <v>486</v>
      </c>
      <c r="E2558" s="9" t="s">
        <v>3103</v>
      </c>
      <c r="F2558" s="9" t="s">
        <v>284</v>
      </c>
      <c r="H2558" s="9"/>
    </row>
    <row r="2559" ht="14.25" customHeight="1">
      <c r="C2559" s="9" t="s">
        <v>486</v>
      </c>
      <c r="D2559" s="9" t="s">
        <v>486</v>
      </c>
      <c r="E2559" s="9" t="s">
        <v>3103</v>
      </c>
      <c r="F2559" s="9" t="s">
        <v>493</v>
      </c>
      <c r="H2559" s="9"/>
    </row>
    <row r="2560" ht="14.25" customHeight="1">
      <c r="C2560" s="9" t="s">
        <v>486</v>
      </c>
      <c r="D2560" s="9" t="s">
        <v>486</v>
      </c>
      <c r="E2560" s="9" t="s">
        <v>3103</v>
      </c>
      <c r="F2560" s="9" t="s">
        <v>450</v>
      </c>
      <c r="H2560" s="9"/>
    </row>
    <row r="2561" ht="14.25" customHeight="1">
      <c r="C2561" s="9" t="s">
        <v>486</v>
      </c>
      <c r="D2561" s="9" t="s">
        <v>486</v>
      </c>
      <c r="E2561" s="9" t="s">
        <v>3103</v>
      </c>
      <c r="F2561" s="9" t="s">
        <v>2296</v>
      </c>
      <c r="H2561" s="9"/>
    </row>
    <row r="2562" ht="14.25" customHeight="1">
      <c r="C2562" s="9" t="s">
        <v>486</v>
      </c>
      <c r="D2562" s="9" t="s">
        <v>486</v>
      </c>
      <c r="E2562" s="9" t="s">
        <v>3103</v>
      </c>
      <c r="F2562" s="9" t="s">
        <v>276</v>
      </c>
      <c r="H2562" s="9"/>
    </row>
    <row r="2563" ht="14.25" customHeight="1">
      <c r="C2563" s="9" t="s">
        <v>486</v>
      </c>
      <c r="D2563" s="9" t="s">
        <v>486</v>
      </c>
      <c r="E2563" s="9" t="s">
        <v>3103</v>
      </c>
      <c r="F2563" s="9" t="s">
        <v>431</v>
      </c>
      <c r="H2563" s="9"/>
    </row>
    <row r="2564" ht="14.25" customHeight="1">
      <c r="C2564" s="9" t="s">
        <v>486</v>
      </c>
      <c r="D2564" s="9" t="s">
        <v>486</v>
      </c>
      <c r="E2564" s="9" t="s">
        <v>3103</v>
      </c>
      <c r="F2564" s="9" t="s">
        <v>1272</v>
      </c>
      <c r="H2564" s="9"/>
    </row>
    <row r="2565" ht="14.25" customHeight="1">
      <c r="C2565" s="9" t="s">
        <v>486</v>
      </c>
      <c r="D2565" s="9" t="s">
        <v>486</v>
      </c>
      <c r="E2565" s="9" t="s">
        <v>3103</v>
      </c>
      <c r="F2565" s="9" t="s">
        <v>420</v>
      </c>
      <c r="H2565" s="9"/>
    </row>
    <row r="2566" ht="14.25" customHeight="1">
      <c r="C2566" s="9" t="s">
        <v>486</v>
      </c>
      <c r="D2566" s="9" t="s">
        <v>486</v>
      </c>
      <c r="E2566" s="9" t="s">
        <v>3103</v>
      </c>
      <c r="F2566" s="9" t="s">
        <v>482</v>
      </c>
      <c r="H2566" s="9"/>
    </row>
    <row r="2567" ht="14.25" customHeight="1">
      <c r="C2567" s="9" t="s">
        <v>486</v>
      </c>
      <c r="D2567" s="9" t="s">
        <v>486</v>
      </c>
      <c r="E2567" s="9" t="s">
        <v>3103</v>
      </c>
      <c r="F2567" s="9" t="s">
        <v>136</v>
      </c>
      <c r="H2567" s="9"/>
    </row>
    <row r="2568" ht="14.25" customHeight="1">
      <c r="C2568" s="9" t="s">
        <v>486</v>
      </c>
      <c r="D2568" s="9" t="s">
        <v>486</v>
      </c>
      <c r="E2568" s="9" t="s">
        <v>3103</v>
      </c>
      <c r="F2568" s="9" t="s">
        <v>408</v>
      </c>
      <c r="H2568" s="9"/>
    </row>
    <row r="2569" ht="14.25" customHeight="1">
      <c r="C2569" s="9" t="s">
        <v>486</v>
      </c>
      <c r="D2569" s="9" t="s">
        <v>486</v>
      </c>
      <c r="E2569" s="9" t="s">
        <v>3103</v>
      </c>
      <c r="F2569" s="9" t="s">
        <v>2301</v>
      </c>
      <c r="H2569" s="9"/>
    </row>
    <row r="2570" ht="14.25" customHeight="1">
      <c r="C2570" s="9" t="s">
        <v>486</v>
      </c>
      <c r="D2570" s="9" t="s">
        <v>486</v>
      </c>
      <c r="E2570" s="9" t="s">
        <v>3103</v>
      </c>
      <c r="F2570" s="9" t="s">
        <v>197</v>
      </c>
      <c r="H2570" s="9"/>
    </row>
    <row r="2571" ht="14.25" customHeight="1">
      <c r="C2571" s="9" t="s">
        <v>486</v>
      </c>
      <c r="D2571" s="9" t="s">
        <v>486</v>
      </c>
      <c r="E2571" s="9" t="s">
        <v>3103</v>
      </c>
      <c r="F2571" s="9" t="s">
        <v>172</v>
      </c>
      <c r="H2571" s="9"/>
    </row>
    <row r="2572" ht="14.25" customHeight="1">
      <c r="C2572" s="9" t="s">
        <v>486</v>
      </c>
      <c r="D2572" s="9" t="s">
        <v>486</v>
      </c>
      <c r="E2572" s="9" t="s">
        <v>3103</v>
      </c>
      <c r="F2572" s="9" t="s">
        <v>98</v>
      </c>
      <c r="H2572" s="9"/>
    </row>
    <row r="2573" ht="14.25" customHeight="1">
      <c r="C2573" s="9" t="s">
        <v>486</v>
      </c>
      <c r="D2573" s="9" t="s">
        <v>486</v>
      </c>
      <c r="E2573" s="9" t="s">
        <v>3103</v>
      </c>
      <c r="F2573" s="9" t="s">
        <v>341</v>
      </c>
      <c r="H2573" s="9"/>
    </row>
    <row r="2574" ht="14.25" customHeight="1">
      <c r="C2574" s="9" t="s">
        <v>486</v>
      </c>
      <c r="D2574" s="9" t="s">
        <v>486</v>
      </c>
      <c r="E2574" s="9" t="s">
        <v>3103</v>
      </c>
      <c r="F2574" s="9" t="s">
        <v>367</v>
      </c>
      <c r="H2574" s="9"/>
    </row>
    <row r="2575" ht="14.25" customHeight="1">
      <c r="C2575" s="9" t="s">
        <v>486</v>
      </c>
      <c r="D2575" s="9" t="s">
        <v>486</v>
      </c>
      <c r="E2575" s="9" t="s">
        <v>3103</v>
      </c>
      <c r="F2575" s="9" t="s">
        <v>529</v>
      </c>
      <c r="H2575" s="9"/>
    </row>
    <row r="2576" ht="14.25" customHeight="1">
      <c r="C2576" s="9" t="s">
        <v>486</v>
      </c>
      <c r="D2576" s="9" t="s">
        <v>486</v>
      </c>
      <c r="E2576" s="9" t="s">
        <v>3103</v>
      </c>
      <c r="F2576" s="9" t="s">
        <v>282</v>
      </c>
      <c r="H2576" s="9"/>
    </row>
    <row r="2577" ht="14.25" customHeight="1">
      <c r="C2577" s="9" t="s">
        <v>486</v>
      </c>
      <c r="D2577" s="9" t="s">
        <v>486</v>
      </c>
      <c r="E2577" s="9" t="s">
        <v>3103</v>
      </c>
      <c r="F2577" s="9" t="s">
        <v>321</v>
      </c>
      <c r="H2577" s="9"/>
    </row>
    <row r="2578" ht="14.25" customHeight="1">
      <c r="C2578" s="9" t="s">
        <v>486</v>
      </c>
      <c r="D2578" s="9" t="s">
        <v>486</v>
      </c>
      <c r="E2578" s="9" t="s">
        <v>3103</v>
      </c>
      <c r="F2578" s="9" t="s">
        <v>272</v>
      </c>
      <c r="H2578" s="9"/>
    </row>
    <row r="2579" ht="14.25" customHeight="1">
      <c r="C2579" s="9" t="s">
        <v>486</v>
      </c>
      <c r="D2579" s="9" t="s">
        <v>486</v>
      </c>
      <c r="E2579" s="9" t="s">
        <v>3103</v>
      </c>
      <c r="F2579" s="9" t="s">
        <v>517</v>
      </c>
      <c r="H2579" s="9"/>
    </row>
    <row r="2580" ht="14.25" customHeight="1">
      <c r="C2580" s="9" t="s">
        <v>486</v>
      </c>
      <c r="D2580" s="9" t="s">
        <v>486</v>
      </c>
      <c r="E2580" s="9" t="s">
        <v>3103</v>
      </c>
      <c r="F2580" s="9" t="s">
        <v>2309</v>
      </c>
      <c r="H2580" s="9"/>
    </row>
    <row r="2581" ht="14.25" customHeight="1">
      <c r="C2581" s="9" t="s">
        <v>486</v>
      </c>
      <c r="D2581" s="9" t="s">
        <v>486</v>
      </c>
      <c r="E2581" s="9" t="s">
        <v>3103</v>
      </c>
      <c r="F2581" s="9" t="s">
        <v>507</v>
      </c>
      <c r="H2581" s="9"/>
    </row>
    <row r="2582" ht="14.25" customHeight="1">
      <c r="C2582" s="9" t="s">
        <v>486</v>
      </c>
      <c r="D2582" s="9" t="s">
        <v>486</v>
      </c>
      <c r="E2582" s="9" t="s">
        <v>3103</v>
      </c>
      <c r="F2582" s="9" t="s">
        <v>336</v>
      </c>
      <c r="H2582" s="9"/>
    </row>
    <row r="2583" ht="14.25" customHeight="1">
      <c r="C2583" s="9" t="s">
        <v>486</v>
      </c>
      <c r="D2583" s="9" t="s">
        <v>486</v>
      </c>
      <c r="E2583" s="9" t="s">
        <v>3103</v>
      </c>
      <c r="F2583" s="9" t="s">
        <v>235</v>
      </c>
      <c r="H2583" s="9"/>
    </row>
    <row r="2584" ht="14.25" customHeight="1">
      <c r="C2584" s="9" t="s">
        <v>486</v>
      </c>
      <c r="D2584" s="9" t="s">
        <v>486</v>
      </c>
      <c r="E2584" s="9" t="s">
        <v>3103</v>
      </c>
      <c r="F2584" s="9" t="s">
        <v>327</v>
      </c>
      <c r="H2584" s="9"/>
    </row>
    <row r="2585" ht="14.25" customHeight="1">
      <c r="C2585" s="9" t="s">
        <v>486</v>
      </c>
      <c r="D2585" s="9" t="s">
        <v>486</v>
      </c>
      <c r="E2585" s="9" t="s">
        <v>3103</v>
      </c>
      <c r="F2585" s="9" t="s">
        <v>264</v>
      </c>
      <c r="H2585" s="9"/>
    </row>
    <row r="2586" ht="14.25" customHeight="1">
      <c r="C2586" s="9" t="s">
        <v>499</v>
      </c>
      <c r="D2586" s="9" t="s">
        <v>3104</v>
      </c>
      <c r="E2586" s="9" t="s">
        <v>3103</v>
      </c>
      <c r="F2586" s="9" t="s">
        <v>474</v>
      </c>
      <c r="H2586" s="9"/>
    </row>
    <row r="2587" ht="14.25" customHeight="1">
      <c r="C2587" s="9" t="s">
        <v>499</v>
      </c>
      <c r="D2587" s="9" t="s">
        <v>3104</v>
      </c>
      <c r="E2587" s="9" t="s">
        <v>3103</v>
      </c>
      <c r="F2587" s="9" t="s">
        <v>284</v>
      </c>
      <c r="H2587" s="9"/>
    </row>
    <row r="2588" ht="14.25" customHeight="1">
      <c r="C2588" s="9" t="s">
        <v>499</v>
      </c>
      <c r="D2588" s="9" t="s">
        <v>3104</v>
      </c>
      <c r="E2588" s="9" t="s">
        <v>3103</v>
      </c>
      <c r="F2588" s="9" t="s">
        <v>493</v>
      </c>
      <c r="H2588" s="9"/>
    </row>
    <row r="2589" ht="14.25" customHeight="1">
      <c r="C2589" s="9" t="s">
        <v>499</v>
      </c>
      <c r="D2589" s="9" t="s">
        <v>3104</v>
      </c>
      <c r="E2589" s="9" t="s">
        <v>3103</v>
      </c>
      <c r="F2589" s="9" t="s">
        <v>450</v>
      </c>
      <c r="H2589" s="9"/>
    </row>
    <row r="2590" ht="14.25" customHeight="1">
      <c r="C2590" s="9" t="s">
        <v>499</v>
      </c>
      <c r="D2590" s="9" t="s">
        <v>3104</v>
      </c>
      <c r="E2590" s="9" t="s">
        <v>3103</v>
      </c>
      <c r="F2590" s="9" t="s">
        <v>2296</v>
      </c>
      <c r="H2590" s="9"/>
    </row>
    <row r="2591" ht="14.25" customHeight="1">
      <c r="C2591" s="9" t="s">
        <v>499</v>
      </c>
      <c r="D2591" s="9" t="s">
        <v>3104</v>
      </c>
      <c r="E2591" s="9" t="s">
        <v>3103</v>
      </c>
      <c r="F2591" s="9" t="s">
        <v>276</v>
      </c>
      <c r="H2591" s="9"/>
    </row>
    <row r="2592" ht="14.25" customHeight="1">
      <c r="C2592" s="9" t="s">
        <v>499</v>
      </c>
      <c r="D2592" s="9" t="s">
        <v>3104</v>
      </c>
      <c r="E2592" s="9" t="s">
        <v>3103</v>
      </c>
      <c r="F2592" s="9" t="s">
        <v>431</v>
      </c>
      <c r="H2592" s="9"/>
    </row>
    <row r="2593" ht="14.25" customHeight="1">
      <c r="C2593" s="9" t="s">
        <v>499</v>
      </c>
      <c r="D2593" s="9" t="s">
        <v>3104</v>
      </c>
      <c r="E2593" s="9" t="s">
        <v>3103</v>
      </c>
      <c r="F2593" s="9" t="s">
        <v>1272</v>
      </c>
      <c r="H2593" s="9"/>
    </row>
    <row r="2594" ht="14.25" customHeight="1">
      <c r="C2594" s="9" t="s">
        <v>499</v>
      </c>
      <c r="D2594" s="9" t="s">
        <v>3104</v>
      </c>
      <c r="E2594" s="9" t="s">
        <v>3103</v>
      </c>
      <c r="F2594" s="9" t="s">
        <v>420</v>
      </c>
      <c r="H2594" s="9"/>
    </row>
    <row r="2595" ht="14.25" customHeight="1">
      <c r="C2595" s="9" t="s">
        <v>499</v>
      </c>
      <c r="D2595" s="9" t="s">
        <v>3104</v>
      </c>
      <c r="E2595" s="9" t="s">
        <v>3103</v>
      </c>
      <c r="F2595" s="9" t="s">
        <v>482</v>
      </c>
      <c r="H2595" s="9"/>
    </row>
    <row r="2596" ht="14.25" customHeight="1">
      <c r="C2596" s="9" t="s">
        <v>499</v>
      </c>
      <c r="D2596" s="9" t="s">
        <v>3104</v>
      </c>
      <c r="E2596" s="9" t="s">
        <v>3103</v>
      </c>
      <c r="F2596" s="9" t="s">
        <v>136</v>
      </c>
      <c r="H2596" s="9"/>
    </row>
    <row r="2597" ht="14.25" customHeight="1">
      <c r="C2597" s="9" t="s">
        <v>499</v>
      </c>
      <c r="D2597" s="9" t="s">
        <v>3104</v>
      </c>
      <c r="E2597" s="9" t="s">
        <v>3103</v>
      </c>
      <c r="F2597" s="9" t="s">
        <v>408</v>
      </c>
      <c r="H2597" s="9"/>
    </row>
    <row r="2598" ht="14.25" customHeight="1">
      <c r="C2598" s="9" t="s">
        <v>499</v>
      </c>
      <c r="D2598" s="9" t="s">
        <v>3104</v>
      </c>
      <c r="E2598" s="9" t="s">
        <v>3103</v>
      </c>
      <c r="F2598" s="9" t="s">
        <v>2301</v>
      </c>
      <c r="H2598" s="9"/>
    </row>
    <row r="2599" ht="14.25" customHeight="1">
      <c r="C2599" s="9" t="s">
        <v>499</v>
      </c>
      <c r="D2599" s="9" t="s">
        <v>3104</v>
      </c>
      <c r="E2599" s="9" t="s">
        <v>3103</v>
      </c>
      <c r="F2599" s="9" t="s">
        <v>197</v>
      </c>
      <c r="H2599" s="9"/>
    </row>
    <row r="2600" ht="14.25" customHeight="1">
      <c r="C2600" s="9" t="s">
        <v>499</v>
      </c>
      <c r="D2600" s="9" t="s">
        <v>3104</v>
      </c>
      <c r="E2600" s="9" t="s">
        <v>3103</v>
      </c>
      <c r="F2600" s="9" t="s">
        <v>172</v>
      </c>
      <c r="H2600" s="9"/>
    </row>
    <row r="2601" ht="14.25" customHeight="1">
      <c r="C2601" s="9" t="s">
        <v>499</v>
      </c>
      <c r="D2601" s="9" t="s">
        <v>3104</v>
      </c>
      <c r="E2601" s="9" t="s">
        <v>3103</v>
      </c>
      <c r="F2601" s="9" t="s">
        <v>98</v>
      </c>
      <c r="H2601" s="9"/>
    </row>
    <row r="2602" ht="14.25" customHeight="1">
      <c r="C2602" s="9" t="s">
        <v>499</v>
      </c>
      <c r="D2602" s="9" t="s">
        <v>3104</v>
      </c>
      <c r="E2602" s="9" t="s">
        <v>3103</v>
      </c>
      <c r="F2602" s="9" t="s">
        <v>341</v>
      </c>
      <c r="H2602" s="9"/>
    </row>
    <row r="2603" ht="14.25" customHeight="1">
      <c r="C2603" s="9" t="s">
        <v>499</v>
      </c>
      <c r="D2603" s="9" t="s">
        <v>3104</v>
      </c>
      <c r="E2603" s="9" t="s">
        <v>3103</v>
      </c>
      <c r="F2603" s="9" t="s">
        <v>367</v>
      </c>
      <c r="H2603" s="9"/>
    </row>
    <row r="2604" ht="14.25" customHeight="1">
      <c r="C2604" s="9" t="s">
        <v>499</v>
      </c>
      <c r="D2604" s="9" t="s">
        <v>3104</v>
      </c>
      <c r="E2604" s="9" t="s">
        <v>3103</v>
      </c>
      <c r="F2604" s="9" t="s">
        <v>529</v>
      </c>
      <c r="H2604" s="9"/>
    </row>
    <row r="2605" ht="14.25" customHeight="1">
      <c r="C2605" s="9" t="s">
        <v>499</v>
      </c>
      <c r="D2605" s="9" t="s">
        <v>3104</v>
      </c>
      <c r="E2605" s="9" t="s">
        <v>3103</v>
      </c>
      <c r="F2605" s="9" t="s">
        <v>282</v>
      </c>
      <c r="H2605" s="9"/>
    </row>
    <row r="2606" ht="14.25" customHeight="1">
      <c r="C2606" s="9" t="s">
        <v>499</v>
      </c>
      <c r="D2606" s="9" t="s">
        <v>3104</v>
      </c>
      <c r="E2606" s="9" t="s">
        <v>3103</v>
      </c>
      <c r="F2606" s="9" t="s">
        <v>321</v>
      </c>
      <c r="H2606" s="9"/>
    </row>
    <row r="2607" ht="14.25" customHeight="1">
      <c r="C2607" s="9" t="s">
        <v>499</v>
      </c>
      <c r="D2607" s="9" t="s">
        <v>3104</v>
      </c>
      <c r="E2607" s="9" t="s">
        <v>3103</v>
      </c>
      <c r="F2607" s="9" t="s">
        <v>272</v>
      </c>
      <c r="H2607" s="9"/>
    </row>
    <row r="2608" ht="14.25" customHeight="1">
      <c r="C2608" s="9" t="s">
        <v>499</v>
      </c>
      <c r="D2608" s="9" t="s">
        <v>3104</v>
      </c>
      <c r="E2608" s="9" t="s">
        <v>3103</v>
      </c>
      <c r="F2608" s="9" t="s">
        <v>517</v>
      </c>
      <c r="H2608" s="9"/>
    </row>
    <row r="2609" ht="14.25" customHeight="1">
      <c r="C2609" s="9" t="s">
        <v>499</v>
      </c>
      <c r="D2609" s="9" t="s">
        <v>3104</v>
      </c>
      <c r="E2609" s="9" t="s">
        <v>3103</v>
      </c>
      <c r="F2609" s="9" t="s">
        <v>2309</v>
      </c>
      <c r="H2609" s="9"/>
    </row>
    <row r="2610" ht="14.25" customHeight="1">
      <c r="C2610" s="9" t="s">
        <v>499</v>
      </c>
      <c r="D2610" s="9" t="s">
        <v>3104</v>
      </c>
      <c r="E2610" s="9" t="s">
        <v>3103</v>
      </c>
      <c r="F2610" s="9" t="s">
        <v>507</v>
      </c>
      <c r="H2610" s="9"/>
    </row>
    <row r="2611" ht="14.25" customHeight="1">
      <c r="C2611" s="9" t="s">
        <v>499</v>
      </c>
      <c r="D2611" s="9" t="s">
        <v>3104</v>
      </c>
      <c r="E2611" s="9" t="s">
        <v>3103</v>
      </c>
      <c r="F2611" s="9" t="s">
        <v>336</v>
      </c>
      <c r="H2611" s="9"/>
    </row>
    <row r="2612" ht="14.25" customHeight="1">
      <c r="C2612" s="9" t="s">
        <v>499</v>
      </c>
      <c r="D2612" s="9" t="s">
        <v>3104</v>
      </c>
      <c r="E2612" s="9" t="s">
        <v>3103</v>
      </c>
      <c r="F2612" s="9" t="s">
        <v>235</v>
      </c>
      <c r="H2612" s="9"/>
    </row>
    <row r="2613" ht="14.25" customHeight="1">
      <c r="C2613" s="9" t="s">
        <v>499</v>
      </c>
      <c r="D2613" s="9" t="s">
        <v>3104</v>
      </c>
      <c r="E2613" s="9" t="s">
        <v>3103</v>
      </c>
      <c r="F2613" s="9" t="s">
        <v>327</v>
      </c>
      <c r="H2613" s="9"/>
    </row>
    <row r="2614" ht="14.25" customHeight="1">
      <c r="C2614" s="9" t="s">
        <v>499</v>
      </c>
      <c r="D2614" s="9" t="s">
        <v>3104</v>
      </c>
      <c r="E2614" s="9" t="s">
        <v>3103</v>
      </c>
      <c r="F2614" s="9" t="s">
        <v>264</v>
      </c>
      <c r="H2614" s="9"/>
    </row>
    <row r="2615" ht="14.25" customHeight="1">
      <c r="C2615" s="9" t="s">
        <v>499</v>
      </c>
      <c r="D2615" s="9" t="s">
        <v>3105</v>
      </c>
      <c r="E2615" s="9" t="s">
        <v>3103</v>
      </c>
      <c r="F2615" s="9" t="s">
        <v>474</v>
      </c>
      <c r="H2615" s="9"/>
    </row>
    <row r="2616" ht="14.25" customHeight="1">
      <c r="C2616" s="9" t="s">
        <v>499</v>
      </c>
      <c r="D2616" s="9" t="s">
        <v>3105</v>
      </c>
      <c r="E2616" s="9" t="s">
        <v>3103</v>
      </c>
      <c r="F2616" s="9" t="s">
        <v>284</v>
      </c>
      <c r="H2616" s="9"/>
    </row>
    <row r="2617" ht="14.25" customHeight="1">
      <c r="C2617" s="9" t="s">
        <v>499</v>
      </c>
      <c r="D2617" s="9" t="s">
        <v>3105</v>
      </c>
      <c r="E2617" s="9" t="s">
        <v>3103</v>
      </c>
      <c r="F2617" s="9" t="s">
        <v>493</v>
      </c>
      <c r="H2617" s="9"/>
    </row>
    <row r="2618" ht="14.25" customHeight="1">
      <c r="C2618" s="9" t="s">
        <v>499</v>
      </c>
      <c r="D2618" s="9" t="s">
        <v>3105</v>
      </c>
      <c r="E2618" s="9" t="s">
        <v>3103</v>
      </c>
      <c r="F2618" s="9" t="s">
        <v>450</v>
      </c>
      <c r="H2618" s="9"/>
    </row>
    <row r="2619" ht="14.25" customHeight="1">
      <c r="C2619" s="9" t="s">
        <v>499</v>
      </c>
      <c r="D2619" s="9" t="s">
        <v>3105</v>
      </c>
      <c r="E2619" s="9" t="s">
        <v>3103</v>
      </c>
      <c r="F2619" s="9" t="s">
        <v>2296</v>
      </c>
      <c r="H2619" s="9"/>
    </row>
    <row r="2620" ht="14.25" customHeight="1">
      <c r="C2620" s="9" t="s">
        <v>499</v>
      </c>
      <c r="D2620" s="9" t="s">
        <v>3105</v>
      </c>
      <c r="E2620" s="9" t="s">
        <v>3103</v>
      </c>
      <c r="F2620" s="9" t="s">
        <v>276</v>
      </c>
      <c r="H2620" s="9"/>
    </row>
    <row r="2621" ht="14.25" customHeight="1">
      <c r="C2621" s="9" t="s">
        <v>499</v>
      </c>
      <c r="D2621" s="9" t="s">
        <v>3105</v>
      </c>
      <c r="E2621" s="9" t="s">
        <v>3103</v>
      </c>
      <c r="F2621" s="9" t="s">
        <v>431</v>
      </c>
      <c r="H2621" s="9"/>
    </row>
    <row r="2622" ht="14.25" customHeight="1">
      <c r="C2622" s="9" t="s">
        <v>499</v>
      </c>
      <c r="D2622" s="9" t="s">
        <v>3105</v>
      </c>
      <c r="E2622" s="9" t="s">
        <v>3103</v>
      </c>
      <c r="F2622" s="9" t="s">
        <v>1272</v>
      </c>
      <c r="H2622" s="9"/>
    </row>
    <row r="2623" ht="14.25" customHeight="1">
      <c r="C2623" s="9" t="s">
        <v>499</v>
      </c>
      <c r="D2623" s="9" t="s">
        <v>3105</v>
      </c>
      <c r="E2623" s="9" t="s">
        <v>3103</v>
      </c>
      <c r="F2623" s="9" t="s">
        <v>420</v>
      </c>
      <c r="H2623" s="9"/>
    </row>
    <row r="2624" ht="14.25" customHeight="1">
      <c r="C2624" s="9" t="s">
        <v>499</v>
      </c>
      <c r="D2624" s="9" t="s">
        <v>3105</v>
      </c>
      <c r="E2624" s="9" t="s">
        <v>3103</v>
      </c>
      <c r="F2624" s="9" t="s">
        <v>482</v>
      </c>
      <c r="H2624" s="9"/>
    </row>
    <row r="2625" ht="14.25" customHeight="1">
      <c r="C2625" s="9" t="s">
        <v>499</v>
      </c>
      <c r="D2625" s="9" t="s">
        <v>3105</v>
      </c>
      <c r="E2625" s="9" t="s">
        <v>3103</v>
      </c>
      <c r="F2625" s="9" t="s">
        <v>136</v>
      </c>
      <c r="H2625" s="9"/>
    </row>
    <row r="2626" ht="14.25" customHeight="1">
      <c r="C2626" s="9" t="s">
        <v>499</v>
      </c>
      <c r="D2626" s="9" t="s">
        <v>3105</v>
      </c>
      <c r="E2626" s="9" t="s">
        <v>3103</v>
      </c>
      <c r="F2626" s="9" t="s">
        <v>408</v>
      </c>
      <c r="H2626" s="9"/>
    </row>
    <row r="2627" ht="14.25" customHeight="1">
      <c r="C2627" s="9" t="s">
        <v>499</v>
      </c>
      <c r="D2627" s="9" t="s">
        <v>3105</v>
      </c>
      <c r="E2627" s="9" t="s">
        <v>3103</v>
      </c>
      <c r="F2627" s="9" t="s">
        <v>2301</v>
      </c>
      <c r="H2627" s="9"/>
    </row>
    <row r="2628" ht="14.25" customHeight="1">
      <c r="C2628" s="9" t="s">
        <v>499</v>
      </c>
      <c r="D2628" s="9" t="s">
        <v>3105</v>
      </c>
      <c r="E2628" s="9" t="s">
        <v>3103</v>
      </c>
      <c r="F2628" s="9" t="s">
        <v>197</v>
      </c>
      <c r="H2628" s="9"/>
    </row>
    <row r="2629" ht="14.25" customHeight="1">
      <c r="C2629" s="9" t="s">
        <v>499</v>
      </c>
      <c r="D2629" s="9" t="s">
        <v>3105</v>
      </c>
      <c r="E2629" s="9" t="s">
        <v>3103</v>
      </c>
      <c r="F2629" s="9" t="s">
        <v>172</v>
      </c>
      <c r="H2629" s="9"/>
    </row>
    <row r="2630" ht="14.25" customHeight="1">
      <c r="C2630" s="9" t="s">
        <v>499</v>
      </c>
      <c r="D2630" s="9" t="s">
        <v>3105</v>
      </c>
      <c r="E2630" s="9" t="s">
        <v>3103</v>
      </c>
      <c r="F2630" s="9" t="s">
        <v>98</v>
      </c>
      <c r="H2630" s="9"/>
    </row>
    <row r="2631" ht="14.25" customHeight="1">
      <c r="C2631" s="9" t="s">
        <v>499</v>
      </c>
      <c r="D2631" s="9" t="s">
        <v>3105</v>
      </c>
      <c r="E2631" s="9" t="s">
        <v>3103</v>
      </c>
      <c r="F2631" s="9" t="s">
        <v>341</v>
      </c>
      <c r="H2631" s="9"/>
    </row>
    <row r="2632" ht="14.25" customHeight="1">
      <c r="C2632" s="9" t="s">
        <v>499</v>
      </c>
      <c r="D2632" s="9" t="s">
        <v>3105</v>
      </c>
      <c r="E2632" s="9" t="s">
        <v>3103</v>
      </c>
      <c r="F2632" s="9" t="s">
        <v>367</v>
      </c>
      <c r="H2632" s="9"/>
    </row>
    <row r="2633" ht="14.25" customHeight="1">
      <c r="C2633" s="9" t="s">
        <v>499</v>
      </c>
      <c r="D2633" s="9" t="s">
        <v>3105</v>
      </c>
      <c r="E2633" s="9" t="s">
        <v>3103</v>
      </c>
      <c r="F2633" s="9" t="s">
        <v>529</v>
      </c>
      <c r="H2633" s="9"/>
    </row>
    <row r="2634" ht="14.25" customHeight="1">
      <c r="C2634" s="9" t="s">
        <v>499</v>
      </c>
      <c r="D2634" s="9" t="s">
        <v>3105</v>
      </c>
      <c r="E2634" s="9" t="s">
        <v>3103</v>
      </c>
      <c r="F2634" s="9" t="s">
        <v>282</v>
      </c>
      <c r="H2634" s="9"/>
    </row>
    <row r="2635" ht="14.25" customHeight="1">
      <c r="C2635" s="9" t="s">
        <v>499</v>
      </c>
      <c r="D2635" s="9" t="s">
        <v>3105</v>
      </c>
      <c r="E2635" s="9" t="s">
        <v>3103</v>
      </c>
      <c r="F2635" s="9" t="s">
        <v>321</v>
      </c>
      <c r="H2635" s="9"/>
    </row>
    <row r="2636" ht="14.25" customHeight="1">
      <c r="C2636" s="9" t="s">
        <v>499</v>
      </c>
      <c r="D2636" s="9" t="s">
        <v>3105</v>
      </c>
      <c r="E2636" s="9" t="s">
        <v>3103</v>
      </c>
      <c r="F2636" s="9" t="s">
        <v>272</v>
      </c>
      <c r="H2636" s="9"/>
    </row>
    <row r="2637" ht="14.25" customHeight="1">
      <c r="C2637" s="9" t="s">
        <v>499</v>
      </c>
      <c r="D2637" s="9" t="s">
        <v>3105</v>
      </c>
      <c r="E2637" s="9" t="s">
        <v>3103</v>
      </c>
      <c r="F2637" s="9" t="s">
        <v>517</v>
      </c>
      <c r="H2637" s="9"/>
    </row>
    <row r="2638" ht="14.25" customHeight="1">
      <c r="C2638" s="9" t="s">
        <v>499</v>
      </c>
      <c r="D2638" s="9" t="s">
        <v>3105</v>
      </c>
      <c r="E2638" s="9" t="s">
        <v>3103</v>
      </c>
      <c r="F2638" s="9" t="s">
        <v>2309</v>
      </c>
      <c r="H2638" s="9"/>
    </row>
    <row r="2639" ht="14.25" customHeight="1">
      <c r="C2639" s="9" t="s">
        <v>499</v>
      </c>
      <c r="D2639" s="9" t="s">
        <v>3105</v>
      </c>
      <c r="E2639" s="9" t="s">
        <v>3103</v>
      </c>
      <c r="F2639" s="9" t="s">
        <v>507</v>
      </c>
      <c r="H2639" s="9"/>
    </row>
    <row r="2640" ht="14.25" customHeight="1">
      <c r="C2640" s="9" t="s">
        <v>499</v>
      </c>
      <c r="D2640" s="9" t="s">
        <v>3105</v>
      </c>
      <c r="E2640" s="9" t="s">
        <v>3103</v>
      </c>
      <c r="F2640" s="9" t="s">
        <v>336</v>
      </c>
      <c r="H2640" s="9"/>
    </row>
    <row r="2641" ht="14.25" customHeight="1">
      <c r="C2641" s="9" t="s">
        <v>499</v>
      </c>
      <c r="D2641" s="9" t="s">
        <v>3105</v>
      </c>
      <c r="E2641" s="9" t="s">
        <v>3103</v>
      </c>
      <c r="F2641" s="9" t="s">
        <v>235</v>
      </c>
      <c r="H2641" s="9"/>
    </row>
    <row r="2642" ht="14.25" customHeight="1">
      <c r="C2642" s="9" t="s">
        <v>499</v>
      </c>
      <c r="D2642" s="9" t="s">
        <v>3105</v>
      </c>
      <c r="E2642" s="9" t="s">
        <v>3103</v>
      </c>
      <c r="F2642" s="9" t="s">
        <v>327</v>
      </c>
      <c r="H2642" s="9"/>
    </row>
    <row r="2643" ht="14.25" customHeight="1">
      <c r="C2643" s="9" t="s">
        <v>499</v>
      </c>
      <c r="D2643" s="9" t="s">
        <v>3105</v>
      </c>
      <c r="E2643" s="9" t="s">
        <v>3103</v>
      </c>
      <c r="F2643" s="9" t="s">
        <v>264</v>
      </c>
      <c r="H2643" s="9"/>
    </row>
    <row r="2644" ht="14.25" customHeight="1">
      <c r="C2644" s="9" t="s">
        <v>499</v>
      </c>
      <c r="D2644" s="9" t="s">
        <v>3106</v>
      </c>
      <c r="E2644" s="9" t="s">
        <v>3103</v>
      </c>
      <c r="F2644" s="9" t="s">
        <v>474</v>
      </c>
      <c r="H2644" s="9"/>
    </row>
    <row r="2645" ht="14.25" customHeight="1">
      <c r="C2645" s="9" t="s">
        <v>499</v>
      </c>
      <c r="D2645" s="9" t="s">
        <v>3106</v>
      </c>
      <c r="E2645" s="9" t="s">
        <v>3103</v>
      </c>
      <c r="F2645" s="9" t="s">
        <v>284</v>
      </c>
      <c r="H2645" s="9"/>
    </row>
    <row r="2646" ht="14.25" customHeight="1">
      <c r="C2646" s="9" t="s">
        <v>499</v>
      </c>
      <c r="D2646" s="9" t="s">
        <v>3106</v>
      </c>
      <c r="E2646" s="9" t="s">
        <v>3103</v>
      </c>
      <c r="F2646" s="9" t="s">
        <v>493</v>
      </c>
      <c r="H2646" s="9"/>
    </row>
    <row r="2647" ht="14.25" customHeight="1">
      <c r="C2647" s="9" t="s">
        <v>499</v>
      </c>
      <c r="D2647" s="9" t="s">
        <v>3106</v>
      </c>
      <c r="E2647" s="9" t="s">
        <v>3103</v>
      </c>
      <c r="F2647" s="9" t="s">
        <v>450</v>
      </c>
      <c r="H2647" s="9"/>
    </row>
    <row r="2648" ht="14.25" customHeight="1">
      <c r="C2648" s="9" t="s">
        <v>499</v>
      </c>
      <c r="D2648" s="9" t="s">
        <v>3106</v>
      </c>
      <c r="E2648" s="9" t="s">
        <v>3103</v>
      </c>
      <c r="F2648" s="9" t="s">
        <v>2296</v>
      </c>
      <c r="H2648" s="9"/>
    </row>
    <row r="2649" ht="14.25" customHeight="1">
      <c r="C2649" s="9" t="s">
        <v>499</v>
      </c>
      <c r="D2649" s="9" t="s">
        <v>3106</v>
      </c>
      <c r="E2649" s="9" t="s">
        <v>3103</v>
      </c>
      <c r="F2649" s="9" t="s">
        <v>276</v>
      </c>
      <c r="H2649" s="9"/>
    </row>
    <row r="2650" ht="14.25" customHeight="1">
      <c r="C2650" s="9" t="s">
        <v>499</v>
      </c>
      <c r="D2650" s="9" t="s">
        <v>3106</v>
      </c>
      <c r="E2650" s="9" t="s">
        <v>3103</v>
      </c>
      <c r="F2650" s="9" t="s">
        <v>431</v>
      </c>
      <c r="H2650" s="9"/>
    </row>
    <row r="2651" ht="14.25" customHeight="1">
      <c r="C2651" s="9" t="s">
        <v>499</v>
      </c>
      <c r="D2651" s="9" t="s">
        <v>3106</v>
      </c>
      <c r="E2651" s="9" t="s">
        <v>3103</v>
      </c>
      <c r="F2651" s="9" t="s">
        <v>1272</v>
      </c>
      <c r="H2651" s="9"/>
    </row>
    <row r="2652" ht="14.25" customHeight="1">
      <c r="C2652" s="9" t="s">
        <v>499</v>
      </c>
      <c r="D2652" s="9" t="s">
        <v>3106</v>
      </c>
      <c r="E2652" s="9" t="s">
        <v>3103</v>
      </c>
      <c r="F2652" s="9" t="s">
        <v>420</v>
      </c>
      <c r="H2652" s="9"/>
    </row>
    <row r="2653" ht="14.25" customHeight="1">
      <c r="C2653" s="9" t="s">
        <v>499</v>
      </c>
      <c r="D2653" s="9" t="s">
        <v>3106</v>
      </c>
      <c r="E2653" s="9" t="s">
        <v>3103</v>
      </c>
      <c r="F2653" s="9" t="s">
        <v>482</v>
      </c>
      <c r="H2653" s="9"/>
    </row>
    <row r="2654" ht="14.25" customHeight="1">
      <c r="C2654" s="9" t="s">
        <v>499</v>
      </c>
      <c r="D2654" s="9" t="s">
        <v>3106</v>
      </c>
      <c r="E2654" s="9" t="s">
        <v>3103</v>
      </c>
      <c r="F2654" s="9" t="s">
        <v>136</v>
      </c>
      <c r="H2654" s="9"/>
    </row>
    <row r="2655" ht="14.25" customHeight="1">
      <c r="C2655" s="9" t="s">
        <v>499</v>
      </c>
      <c r="D2655" s="9" t="s">
        <v>3106</v>
      </c>
      <c r="E2655" s="9" t="s">
        <v>3103</v>
      </c>
      <c r="F2655" s="9" t="s">
        <v>408</v>
      </c>
      <c r="H2655" s="9"/>
    </row>
    <row r="2656" ht="14.25" customHeight="1">
      <c r="C2656" s="9" t="s">
        <v>499</v>
      </c>
      <c r="D2656" s="9" t="s">
        <v>3106</v>
      </c>
      <c r="E2656" s="9" t="s">
        <v>3103</v>
      </c>
      <c r="F2656" s="9" t="s">
        <v>2301</v>
      </c>
      <c r="H2656" s="9"/>
    </row>
    <row r="2657" ht="14.25" customHeight="1">
      <c r="C2657" s="9" t="s">
        <v>499</v>
      </c>
      <c r="D2657" s="9" t="s">
        <v>3106</v>
      </c>
      <c r="E2657" s="9" t="s">
        <v>3103</v>
      </c>
      <c r="F2657" s="9" t="s">
        <v>197</v>
      </c>
      <c r="H2657" s="9"/>
    </row>
    <row r="2658" ht="14.25" customHeight="1">
      <c r="C2658" s="9" t="s">
        <v>499</v>
      </c>
      <c r="D2658" s="9" t="s">
        <v>3106</v>
      </c>
      <c r="E2658" s="9" t="s">
        <v>3103</v>
      </c>
      <c r="F2658" s="9" t="s">
        <v>172</v>
      </c>
      <c r="H2658" s="9"/>
    </row>
    <row r="2659" ht="14.25" customHeight="1">
      <c r="C2659" s="9" t="s">
        <v>499</v>
      </c>
      <c r="D2659" s="9" t="s">
        <v>3106</v>
      </c>
      <c r="E2659" s="9" t="s">
        <v>3103</v>
      </c>
      <c r="F2659" s="9" t="s">
        <v>98</v>
      </c>
      <c r="H2659" s="9"/>
    </row>
    <row r="2660" ht="14.25" customHeight="1">
      <c r="C2660" s="9" t="s">
        <v>499</v>
      </c>
      <c r="D2660" s="9" t="s">
        <v>3106</v>
      </c>
      <c r="E2660" s="9" t="s">
        <v>3103</v>
      </c>
      <c r="F2660" s="9" t="s">
        <v>341</v>
      </c>
      <c r="H2660" s="9"/>
    </row>
    <row r="2661" ht="14.25" customHeight="1">
      <c r="C2661" s="9" t="s">
        <v>499</v>
      </c>
      <c r="D2661" s="9" t="s">
        <v>3106</v>
      </c>
      <c r="E2661" s="9" t="s">
        <v>3103</v>
      </c>
      <c r="F2661" s="9" t="s">
        <v>367</v>
      </c>
      <c r="H2661" s="9"/>
    </row>
    <row r="2662" ht="14.25" customHeight="1">
      <c r="C2662" s="9" t="s">
        <v>499</v>
      </c>
      <c r="D2662" s="9" t="s">
        <v>3106</v>
      </c>
      <c r="E2662" s="9" t="s">
        <v>3103</v>
      </c>
      <c r="F2662" s="9" t="s">
        <v>529</v>
      </c>
      <c r="H2662" s="9"/>
    </row>
    <row r="2663" ht="14.25" customHeight="1">
      <c r="C2663" s="9" t="s">
        <v>499</v>
      </c>
      <c r="D2663" s="9" t="s">
        <v>3106</v>
      </c>
      <c r="E2663" s="9" t="s">
        <v>3103</v>
      </c>
      <c r="F2663" s="9" t="s">
        <v>282</v>
      </c>
      <c r="H2663" s="9"/>
    </row>
    <row r="2664" ht="14.25" customHeight="1">
      <c r="C2664" s="9" t="s">
        <v>499</v>
      </c>
      <c r="D2664" s="9" t="s">
        <v>3106</v>
      </c>
      <c r="E2664" s="9" t="s">
        <v>3103</v>
      </c>
      <c r="F2664" s="9" t="s">
        <v>321</v>
      </c>
      <c r="H2664" s="9"/>
    </row>
    <row r="2665" ht="14.25" customHeight="1">
      <c r="C2665" s="9" t="s">
        <v>499</v>
      </c>
      <c r="D2665" s="9" t="s">
        <v>3106</v>
      </c>
      <c r="E2665" s="9" t="s">
        <v>3103</v>
      </c>
      <c r="F2665" s="9" t="s">
        <v>272</v>
      </c>
      <c r="H2665" s="9"/>
    </row>
    <row r="2666" ht="14.25" customHeight="1">
      <c r="C2666" s="9" t="s">
        <v>499</v>
      </c>
      <c r="D2666" s="9" t="s">
        <v>3106</v>
      </c>
      <c r="E2666" s="9" t="s">
        <v>3103</v>
      </c>
      <c r="F2666" s="9" t="s">
        <v>517</v>
      </c>
      <c r="H2666" s="9"/>
    </row>
    <row r="2667" ht="14.25" customHeight="1">
      <c r="C2667" s="9" t="s">
        <v>499</v>
      </c>
      <c r="D2667" s="9" t="s">
        <v>3106</v>
      </c>
      <c r="E2667" s="9" t="s">
        <v>3103</v>
      </c>
      <c r="F2667" s="9" t="s">
        <v>2309</v>
      </c>
      <c r="H2667" s="9"/>
    </row>
    <row r="2668" ht="14.25" customHeight="1">
      <c r="C2668" s="9" t="s">
        <v>499</v>
      </c>
      <c r="D2668" s="9" t="s">
        <v>3106</v>
      </c>
      <c r="E2668" s="9" t="s">
        <v>3103</v>
      </c>
      <c r="F2668" s="9" t="s">
        <v>507</v>
      </c>
      <c r="H2668" s="9"/>
    </row>
    <row r="2669" ht="14.25" customHeight="1">
      <c r="C2669" s="9" t="s">
        <v>499</v>
      </c>
      <c r="D2669" s="9" t="s">
        <v>3106</v>
      </c>
      <c r="E2669" s="9" t="s">
        <v>3103</v>
      </c>
      <c r="F2669" s="9" t="s">
        <v>336</v>
      </c>
      <c r="H2669" s="9"/>
    </row>
    <row r="2670" ht="14.25" customHeight="1">
      <c r="C2670" s="9" t="s">
        <v>499</v>
      </c>
      <c r="D2670" s="9" t="s">
        <v>3106</v>
      </c>
      <c r="E2670" s="9" t="s">
        <v>3103</v>
      </c>
      <c r="F2670" s="9" t="s">
        <v>235</v>
      </c>
      <c r="H2670" s="9"/>
    </row>
    <row r="2671" ht="14.25" customHeight="1">
      <c r="C2671" s="9" t="s">
        <v>499</v>
      </c>
      <c r="D2671" s="9" t="s">
        <v>3106</v>
      </c>
      <c r="E2671" s="9" t="s">
        <v>3103</v>
      </c>
      <c r="F2671" s="9" t="s">
        <v>327</v>
      </c>
      <c r="H2671" s="9"/>
    </row>
    <row r="2672" ht="14.25" customHeight="1">
      <c r="C2672" s="9" t="s">
        <v>499</v>
      </c>
      <c r="D2672" s="9" t="s">
        <v>3106</v>
      </c>
      <c r="E2672" s="9" t="s">
        <v>3103</v>
      </c>
      <c r="F2672" s="9" t="s">
        <v>264</v>
      </c>
      <c r="H2672" s="9"/>
    </row>
    <row r="2673" ht="14.25" customHeight="1">
      <c r="C2673" s="9" t="s">
        <v>665</v>
      </c>
      <c r="D2673" s="9" t="s">
        <v>665</v>
      </c>
      <c r="E2673" s="9" t="s">
        <v>3103</v>
      </c>
      <c r="F2673" s="9" t="s">
        <v>474</v>
      </c>
      <c r="H2673" s="9"/>
    </row>
    <row r="2674" ht="14.25" customHeight="1">
      <c r="C2674" s="9" t="s">
        <v>665</v>
      </c>
      <c r="D2674" s="9" t="s">
        <v>665</v>
      </c>
      <c r="E2674" s="9" t="s">
        <v>3103</v>
      </c>
      <c r="F2674" s="9" t="s">
        <v>284</v>
      </c>
      <c r="H2674" s="9"/>
    </row>
    <row r="2675" ht="14.25" customHeight="1">
      <c r="C2675" s="9" t="s">
        <v>665</v>
      </c>
      <c r="D2675" s="9" t="s">
        <v>665</v>
      </c>
      <c r="E2675" s="9" t="s">
        <v>3103</v>
      </c>
      <c r="F2675" s="9" t="s">
        <v>493</v>
      </c>
      <c r="H2675" s="9"/>
    </row>
    <row r="2676" ht="14.25" customHeight="1">
      <c r="C2676" s="9" t="s">
        <v>665</v>
      </c>
      <c r="D2676" s="9" t="s">
        <v>665</v>
      </c>
      <c r="E2676" s="9" t="s">
        <v>3103</v>
      </c>
      <c r="F2676" s="9" t="s">
        <v>450</v>
      </c>
      <c r="H2676" s="9"/>
    </row>
    <row r="2677" ht="14.25" customHeight="1">
      <c r="C2677" s="9" t="s">
        <v>665</v>
      </c>
      <c r="D2677" s="9" t="s">
        <v>665</v>
      </c>
      <c r="E2677" s="9" t="s">
        <v>3103</v>
      </c>
      <c r="F2677" s="9" t="s">
        <v>2296</v>
      </c>
      <c r="H2677" s="9"/>
    </row>
    <row r="2678" ht="14.25" customHeight="1">
      <c r="C2678" s="9" t="s">
        <v>665</v>
      </c>
      <c r="D2678" s="9" t="s">
        <v>665</v>
      </c>
      <c r="E2678" s="9" t="s">
        <v>3103</v>
      </c>
      <c r="F2678" s="9" t="s">
        <v>276</v>
      </c>
      <c r="H2678" s="9"/>
    </row>
    <row r="2679" ht="14.25" customHeight="1">
      <c r="C2679" s="9" t="s">
        <v>665</v>
      </c>
      <c r="D2679" s="9" t="s">
        <v>665</v>
      </c>
      <c r="E2679" s="9" t="s">
        <v>3103</v>
      </c>
      <c r="F2679" s="9" t="s">
        <v>431</v>
      </c>
      <c r="H2679" s="9"/>
    </row>
    <row r="2680" ht="14.25" customHeight="1">
      <c r="C2680" s="9" t="s">
        <v>665</v>
      </c>
      <c r="D2680" s="9" t="s">
        <v>665</v>
      </c>
      <c r="E2680" s="9" t="s">
        <v>3103</v>
      </c>
      <c r="F2680" s="9" t="s">
        <v>1272</v>
      </c>
      <c r="H2680" s="9"/>
    </row>
    <row r="2681" ht="14.25" customHeight="1">
      <c r="C2681" s="9" t="s">
        <v>665</v>
      </c>
      <c r="D2681" s="9" t="s">
        <v>665</v>
      </c>
      <c r="E2681" s="9" t="s">
        <v>3103</v>
      </c>
      <c r="F2681" s="9" t="s">
        <v>420</v>
      </c>
      <c r="H2681" s="9"/>
    </row>
    <row r="2682" ht="14.25" customHeight="1">
      <c r="C2682" s="9" t="s">
        <v>665</v>
      </c>
      <c r="D2682" s="9" t="s">
        <v>665</v>
      </c>
      <c r="E2682" s="9" t="s">
        <v>3103</v>
      </c>
      <c r="F2682" s="9" t="s">
        <v>482</v>
      </c>
      <c r="H2682" s="9"/>
    </row>
    <row r="2683" ht="14.25" customHeight="1">
      <c r="C2683" s="9" t="s">
        <v>665</v>
      </c>
      <c r="D2683" s="9" t="s">
        <v>665</v>
      </c>
      <c r="E2683" s="9" t="s">
        <v>3103</v>
      </c>
      <c r="F2683" s="9" t="s">
        <v>136</v>
      </c>
      <c r="H2683" s="9"/>
    </row>
    <row r="2684" ht="14.25" customHeight="1">
      <c r="C2684" s="9" t="s">
        <v>665</v>
      </c>
      <c r="D2684" s="9" t="s">
        <v>665</v>
      </c>
      <c r="E2684" s="9" t="s">
        <v>3103</v>
      </c>
      <c r="F2684" s="9" t="s">
        <v>408</v>
      </c>
      <c r="H2684" s="9"/>
    </row>
    <row r="2685" ht="14.25" customHeight="1">
      <c r="C2685" s="9" t="s">
        <v>665</v>
      </c>
      <c r="D2685" s="9" t="s">
        <v>665</v>
      </c>
      <c r="E2685" s="9" t="s">
        <v>3103</v>
      </c>
      <c r="F2685" s="9" t="s">
        <v>2301</v>
      </c>
      <c r="H2685" s="9"/>
    </row>
    <row r="2686" ht="14.25" customHeight="1">
      <c r="C2686" s="9" t="s">
        <v>665</v>
      </c>
      <c r="D2686" s="9" t="s">
        <v>665</v>
      </c>
      <c r="E2686" s="9" t="s">
        <v>3103</v>
      </c>
      <c r="F2686" s="9" t="s">
        <v>197</v>
      </c>
      <c r="H2686" s="9"/>
    </row>
    <row r="2687" ht="14.25" customHeight="1">
      <c r="C2687" s="9" t="s">
        <v>665</v>
      </c>
      <c r="D2687" s="9" t="s">
        <v>665</v>
      </c>
      <c r="E2687" s="9" t="s">
        <v>3103</v>
      </c>
      <c r="F2687" s="9" t="s">
        <v>172</v>
      </c>
      <c r="H2687" s="9"/>
    </row>
    <row r="2688" ht="14.25" customHeight="1">
      <c r="C2688" s="9" t="s">
        <v>665</v>
      </c>
      <c r="D2688" s="9" t="s">
        <v>665</v>
      </c>
      <c r="E2688" s="9" t="s">
        <v>3103</v>
      </c>
      <c r="F2688" s="9" t="s">
        <v>98</v>
      </c>
      <c r="H2688" s="9"/>
    </row>
    <row r="2689" ht="14.25" customHeight="1">
      <c r="C2689" s="9" t="s">
        <v>665</v>
      </c>
      <c r="D2689" s="9" t="s">
        <v>665</v>
      </c>
      <c r="E2689" s="9" t="s">
        <v>3103</v>
      </c>
      <c r="F2689" s="9" t="s">
        <v>341</v>
      </c>
      <c r="H2689" s="9"/>
    </row>
    <row r="2690" ht="14.25" customHeight="1">
      <c r="C2690" s="9" t="s">
        <v>665</v>
      </c>
      <c r="D2690" s="9" t="s">
        <v>665</v>
      </c>
      <c r="E2690" s="9" t="s">
        <v>3103</v>
      </c>
      <c r="F2690" s="9" t="s">
        <v>367</v>
      </c>
      <c r="H2690" s="9"/>
    </row>
    <row r="2691" ht="14.25" customHeight="1">
      <c r="C2691" s="9" t="s">
        <v>665</v>
      </c>
      <c r="D2691" s="9" t="s">
        <v>665</v>
      </c>
      <c r="E2691" s="9" t="s">
        <v>3103</v>
      </c>
      <c r="F2691" s="9" t="s">
        <v>529</v>
      </c>
      <c r="H2691" s="9"/>
    </row>
    <row r="2692" ht="14.25" customHeight="1">
      <c r="C2692" s="9" t="s">
        <v>665</v>
      </c>
      <c r="D2692" s="9" t="s">
        <v>665</v>
      </c>
      <c r="E2692" s="9" t="s">
        <v>3103</v>
      </c>
      <c r="F2692" s="9" t="s">
        <v>282</v>
      </c>
      <c r="H2692" s="9"/>
    </row>
    <row r="2693" ht="14.25" customHeight="1">
      <c r="C2693" s="9" t="s">
        <v>665</v>
      </c>
      <c r="D2693" s="9" t="s">
        <v>665</v>
      </c>
      <c r="E2693" s="9" t="s">
        <v>3103</v>
      </c>
      <c r="F2693" s="9" t="s">
        <v>321</v>
      </c>
      <c r="H2693" s="9"/>
    </row>
    <row r="2694" ht="14.25" customHeight="1">
      <c r="C2694" s="9" t="s">
        <v>665</v>
      </c>
      <c r="D2694" s="9" t="s">
        <v>665</v>
      </c>
      <c r="E2694" s="9" t="s">
        <v>3103</v>
      </c>
      <c r="F2694" s="9" t="s">
        <v>272</v>
      </c>
      <c r="H2694" s="9"/>
    </row>
    <row r="2695" ht="14.25" customHeight="1">
      <c r="C2695" s="9" t="s">
        <v>665</v>
      </c>
      <c r="D2695" s="9" t="s">
        <v>665</v>
      </c>
      <c r="E2695" s="9" t="s">
        <v>3103</v>
      </c>
      <c r="F2695" s="9" t="s">
        <v>517</v>
      </c>
      <c r="H2695" s="9"/>
    </row>
    <row r="2696" ht="14.25" customHeight="1">
      <c r="C2696" s="9" t="s">
        <v>665</v>
      </c>
      <c r="D2696" s="9" t="s">
        <v>665</v>
      </c>
      <c r="E2696" s="9" t="s">
        <v>3103</v>
      </c>
      <c r="F2696" s="9" t="s">
        <v>2309</v>
      </c>
      <c r="H2696" s="9"/>
    </row>
    <row r="2697" ht="14.25" customHeight="1">
      <c r="C2697" s="9" t="s">
        <v>665</v>
      </c>
      <c r="D2697" s="9" t="s">
        <v>665</v>
      </c>
      <c r="E2697" s="9" t="s">
        <v>3103</v>
      </c>
      <c r="F2697" s="9" t="s">
        <v>507</v>
      </c>
      <c r="H2697" s="9"/>
    </row>
    <row r="2698" ht="14.25" customHeight="1">
      <c r="C2698" s="9" t="s">
        <v>665</v>
      </c>
      <c r="D2698" s="9" t="s">
        <v>665</v>
      </c>
      <c r="E2698" s="9" t="s">
        <v>3103</v>
      </c>
      <c r="F2698" s="9" t="s">
        <v>336</v>
      </c>
      <c r="H2698" s="9"/>
    </row>
    <row r="2699" ht="14.25" customHeight="1">
      <c r="C2699" s="9" t="s">
        <v>665</v>
      </c>
      <c r="D2699" s="9" t="s">
        <v>665</v>
      </c>
      <c r="E2699" s="9" t="s">
        <v>3103</v>
      </c>
      <c r="F2699" s="9" t="s">
        <v>235</v>
      </c>
      <c r="H2699" s="9"/>
    </row>
    <row r="2700" ht="14.25" customHeight="1">
      <c r="C2700" s="9" t="s">
        <v>665</v>
      </c>
      <c r="D2700" s="9" t="s">
        <v>665</v>
      </c>
      <c r="E2700" s="9" t="s">
        <v>3103</v>
      </c>
      <c r="F2700" s="9" t="s">
        <v>327</v>
      </c>
      <c r="H2700" s="9"/>
    </row>
    <row r="2701" ht="14.25" customHeight="1">
      <c r="C2701" s="9" t="s">
        <v>665</v>
      </c>
      <c r="D2701" s="9" t="s">
        <v>665</v>
      </c>
      <c r="E2701" s="9" t="s">
        <v>3103</v>
      </c>
      <c r="F2701" s="9" t="s">
        <v>264</v>
      </c>
      <c r="H2701" s="9"/>
    </row>
    <row r="2702" ht="14.25" customHeight="1">
      <c r="C2702" s="9" t="s">
        <v>681</v>
      </c>
      <c r="D2702" s="9" t="s">
        <v>3107</v>
      </c>
      <c r="E2702" s="9" t="s">
        <v>3103</v>
      </c>
      <c r="F2702" s="9" t="s">
        <v>474</v>
      </c>
      <c r="H2702" s="9"/>
    </row>
    <row r="2703" ht="14.25" customHeight="1">
      <c r="C2703" s="9" t="s">
        <v>681</v>
      </c>
      <c r="D2703" s="9" t="s">
        <v>3107</v>
      </c>
      <c r="E2703" s="9" t="s">
        <v>3103</v>
      </c>
      <c r="F2703" s="9" t="s">
        <v>284</v>
      </c>
      <c r="H2703" s="9"/>
    </row>
    <row r="2704" ht="14.25" customHeight="1">
      <c r="C2704" s="9" t="s">
        <v>681</v>
      </c>
      <c r="D2704" s="9" t="s">
        <v>3107</v>
      </c>
      <c r="E2704" s="9" t="s">
        <v>3103</v>
      </c>
      <c r="F2704" s="9" t="s">
        <v>493</v>
      </c>
      <c r="H2704" s="9"/>
    </row>
    <row r="2705" ht="14.25" customHeight="1">
      <c r="C2705" s="9" t="s">
        <v>681</v>
      </c>
      <c r="D2705" s="9" t="s">
        <v>3107</v>
      </c>
      <c r="E2705" s="9" t="s">
        <v>3103</v>
      </c>
      <c r="F2705" s="9" t="s">
        <v>450</v>
      </c>
      <c r="H2705" s="9"/>
    </row>
    <row r="2706" ht="14.25" customHeight="1">
      <c r="C2706" s="9" t="s">
        <v>681</v>
      </c>
      <c r="D2706" s="9" t="s">
        <v>3107</v>
      </c>
      <c r="E2706" s="9" t="s">
        <v>3103</v>
      </c>
      <c r="F2706" s="9" t="s">
        <v>2296</v>
      </c>
      <c r="H2706" s="9"/>
    </row>
    <row r="2707" ht="14.25" customHeight="1">
      <c r="C2707" s="9" t="s">
        <v>681</v>
      </c>
      <c r="D2707" s="9" t="s">
        <v>3107</v>
      </c>
      <c r="E2707" s="9" t="s">
        <v>3103</v>
      </c>
      <c r="F2707" s="9" t="s">
        <v>276</v>
      </c>
      <c r="H2707" s="9"/>
    </row>
    <row r="2708" ht="14.25" customHeight="1">
      <c r="C2708" s="9" t="s">
        <v>681</v>
      </c>
      <c r="D2708" s="9" t="s">
        <v>3107</v>
      </c>
      <c r="E2708" s="9" t="s">
        <v>3103</v>
      </c>
      <c r="F2708" s="9" t="s">
        <v>431</v>
      </c>
      <c r="H2708" s="9"/>
    </row>
    <row r="2709" ht="14.25" customHeight="1">
      <c r="C2709" s="9" t="s">
        <v>681</v>
      </c>
      <c r="D2709" s="9" t="s">
        <v>3107</v>
      </c>
      <c r="E2709" s="9" t="s">
        <v>3103</v>
      </c>
      <c r="F2709" s="9" t="s">
        <v>1272</v>
      </c>
      <c r="H2709" s="9"/>
    </row>
    <row r="2710" ht="14.25" customHeight="1">
      <c r="C2710" s="9" t="s">
        <v>681</v>
      </c>
      <c r="D2710" s="9" t="s">
        <v>3107</v>
      </c>
      <c r="E2710" s="9" t="s">
        <v>3103</v>
      </c>
      <c r="F2710" s="9" t="s">
        <v>420</v>
      </c>
      <c r="H2710" s="9"/>
    </row>
    <row r="2711" ht="14.25" customHeight="1">
      <c r="C2711" s="9" t="s">
        <v>681</v>
      </c>
      <c r="D2711" s="9" t="s">
        <v>3107</v>
      </c>
      <c r="E2711" s="9" t="s">
        <v>3103</v>
      </c>
      <c r="F2711" s="9" t="s">
        <v>482</v>
      </c>
      <c r="H2711" s="9"/>
    </row>
    <row r="2712" ht="14.25" customHeight="1">
      <c r="C2712" s="9" t="s">
        <v>681</v>
      </c>
      <c r="D2712" s="9" t="s">
        <v>3107</v>
      </c>
      <c r="E2712" s="9" t="s">
        <v>3103</v>
      </c>
      <c r="F2712" s="9" t="s">
        <v>136</v>
      </c>
      <c r="H2712" s="9"/>
    </row>
    <row r="2713" ht="14.25" customHeight="1">
      <c r="C2713" s="9" t="s">
        <v>681</v>
      </c>
      <c r="D2713" s="9" t="s">
        <v>3107</v>
      </c>
      <c r="E2713" s="9" t="s">
        <v>3103</v>
      </c>
      <c r="F2713" s="9" t="s">
        <v>408</v>
      </c>
      <c r="H2713" s="9"/>
    </row>
    <row r="2714" ht="14.25" customHeight="1">
      <c r="C2714" s="9" t="s">
        <v>681</v>
      </c>
      <c r="D2714" s="9" t="s">
        <v>3107</v>
      </c>
      <c r="E2714" s="9" t="s">
        <v>3103</v>
      </c>
      <c r="F2714" s="9" t="s">
        <v>2301</v>
      </c>
      <c r="H2714" s="9"/>
    </row>
    <row r="2715" ht="14.25" customHeight="1">
      <c r="C2715" s="9" t="s">
        <v>681</v>
      </c>
      <c r="D2715" s="9" t="s">
        <v>3107</v>
      </c>
      <c r="E2715" s="9" t="s">
        <v>3103</v>
      </c>
      <c r="F2715" s="9" t="s">
        <v>197</v>
      </c>
      <c r="H2715" s="9"/>
    </row>
    <row r="2716" ht="14.25" customHeight="1">
      <c r="C2716" s="9" t="s">
        <v>681</v>
      </c>
      <c r="D2716" s="9" t="s">
        <v>3107</v>
      </c>
      <c r="E2716" s="9" t="s">
        <v>3103</v>
      </c>
      <c r="F2716" s="9" t="s">
        <v>172</v>
      </c>
      <c r="H2716" s="9"/>
    </row>
    <row r="2717" ht="14.25" customHeight="1">
      <c r="C2717" s="9" t="s">
        <v>681</v>
      </c>
      <c r="D2717" s="9" t="s">
        <v>3107</v>
      </c>
      <c r="E2717" s="9" t="s">
        <v>3103</v>
      </c>
      <c r="F2717" s="9" t="s">
        <v>98</v>
      </c>
      <c r="H2717" s="9"/>
    </row>
    <row r="2718" ht="14.25" customHeight="1">
      <c r="C2718" s="9" t="s">
        <v>681</v>
      </c>
      <c r="D2718" s="9" t="s">
        <v>3107</v>
      </c>
      <c r="E2718" s="9" t="s">
        <v>3103</v>
      </c>
      <c r="F2718" s="9" t="s">
        <v>341</v>
      </c>
      <c r="H2718" s="9"/>
    </row>
    <row r="2719" ht="14.25" customHeight="1">
      <c r="C2719" s="9" t="s">
        <v>681</v>
      </c>
      <c r="D2719" s="9" t="s">
        <v>3107</v>
      </c>
      <c r="E2719" s="9" t="s">
        <v>3103</v>
      </c>
      <c r="F2719" s="9" t="s">
        <v>367</v>
      </c>
      <c r="H2719" s="9"/>
    </row>
    <row r="2720" ht="14.25" customHeight="1">
      <c r="C2720" s="9" t="s">
        <v>681</v>
      </c>
      <c r="D2720" s="9" t="s">
        <v>3107</v>
      </c>
      <c r="E2720" s="9" t="s">
        <v>3103</v>
      </c>
      <c r="F2720" s="9" t="s">
        <v>529</v>
      </c>
      <c r="H2720" s="9"/>
    </row>
    <row r="2721" ht="14.25" customHeight="1">
      <c r="C2721" s="9" t="s">
        <v>681</v>
      </c>
      <c r="D2721" s="9" t="s">
        <v>3107</v>
      </c>
      <c r="E2721" s="9" t="s">
        <v>3103</v>
      </c>
      <c r="F2721" s="9" t="s">
        <v>282</v>
      </c>
      <c r="H2721" s="9"/>
    </row>
    <row r="2722" ht="14.25" customHeight="1">
      <c r="C2722" s="9" t="s">
        <v>681</v>
      </c>
      <c r="D2722" s="9" t="s">
        <v>3107</v>
      </c>
      <c r="E2722" s="9" t="s">
        <v>3103</v>
      </c>
      <c r="F2722" s="9" t="s">
        <v>321</v>
      </c>
      <c r="H2722" s="9"/>
    </row>
    <row r="2723" ht="14.25" customHeight="1">
      <c r="C2723" s="9" t="s">
        <v>681</v>
      </c>
      <c r="D2723" s="9" t="s">
        <v>3107</v>
      </c>
      <c r="E2723" s="9" t="s">
        <v>3103</v>
      </c>
      <c r="F2723" s="9" t="s">
        <v>272</v>
      </c>
      <c r="H2723" s="9"/>
    </row>
    <row r="2724" ht="14.25" customHeight="1">
      <c r="C2724" s="9" t="s">
        <v>681</v>
      </c>
      <c r="D2724" s="9" t="s">
        <v>3107</v>
      </c>
      <c r="E2724" s="9" t="s">
        <v>3103</v>
      </c>
      <c r="F2724" s="9" t="s">
        <v>517</v>
      </c>
      <c r="H2724" s="9"/>
    </row>
    <row r="2725" ht="14.25" customHeight="1">
      <c r="C2725" s="9" t="s">
        <v>681</v>
      </c>
      <c r="D2725" s="9" t="s">
        <v>3107</v>
      </c>
      <c r="E2725" s="9" t="s">
        <v>3103</v>
      </c>
      <c r="F2725" s="9" t="s">
        <v>2309</v>
      </c>
      <c r="H2725" s="9"/>
    </row>
    <row r="2726" ht="14.25" customHeight="1">
      <c r="C2726" s="9" t="s">
        <v>681</v>
      </c>
      <c r="D2726" s="9" t="s">
        <v>3107</v>
      </c>
      <c r="E2726" s="9" t="s">
        <v>3103</v>
      </c>
      <c r="F2726" s="9" t="s">
        <v>507</v>
      </c>
      <c r="H2726" s="9"/>
    </row>
    <row r="2727" ht="14.25" customHeight="1">
      <c r="C2727" s="9" t="s">
        <v>681</v>
      </c>
      <c r="D2727" s="9" t="s">
        <v>3107</v>
      </c>
      <c r="E2727" s="9" t="s">
        <v>3103</v>
      </c>
      <c r="F2727" s="9" t="s">
        <v>336</v>
      </c>
      <c r="H2727" s="9"/>
    </row>
    <row r="2728" ht="14.25" customHeight="1">
      <c r="C2728" s="9" t="s">
        <v>681</v>
      </c>
      <c r="D2728" s="9" t="s">
        <v>3107</v>
      </c>
      <c r="E2728" s="9" t="s">
        <v>3103</v>
      </c>
      <c r="F2728" s="9" t="s">
        <v>235</v>
      </c>
      <c r="H2728" s="9"/>
    </row>
    <row r="2729" ht="14.25" customHeight="1">
      <c r="C2729" s="9" t="s">
        <v>681</v>
      </c>
      <c r="D2729" s="9" t="s">
        <v>3107</v>
      </c>
      <c r="E2729" s="9" t="s">
        <v>3103</v>
      </c>
      <c r="F2729" s="9" t="s">
        <v>327</v>
      </c>
      <c r="H2729" s="9"/>
    </row>
    <row r="2730" ht="14.25" customHeight="1">
      <c r="C2730" s="9" t="s">
        <v>681</v>
      </c>
      <c r="D2730" s="9" t="s">
        <v>3107</v>
      </c>
      <c r="E2730" s="9" t="s">
        <v>3103</v>
      </c>
      <c r="F2730" s="9" t="s">
        <v>264</v>
      </c>
      <c r="H2730" s="9"/>
    </row>
    <row r="2731" ht="14.25" customHeight="1">
      <c r="C2731" s="9" t="s">
        <v>681</v>
      </c>
      <c r="D2731" s="9" t="s">
        <v>3108</v>
      </c>
      <c r="E2731" s="9" t="s">
        <v>3103</v>
      </c>
      <c r="F2731" s="9" t="s">
        <v>474</v>
      </c>
      <c r="H2731" s="9"/>
    </row>
    <row r="2732" ht="14.25" customHeight="1">
      <c r="C2732" s="9" t="s">
        <v>681</v>
      </c>
      <c r="D2732" s="9" t="s">
        <v>3108</v>
      </c>
      <c r="E2732" s="9" t="s">
        <v>3103</v>
      </c>
      <c r="F2732" s="9" t="s">
        <v>284</v>
      </c>
      <c r="H2732" s="9"/>
    </row>
    <row r="2733" ht="14.25" customHeight="1">
      <c r="C2733" s="9" t="s">
        <v>681</v>
      </c>
      <c r="D2733" s="9" t="s">
        <v>3108</v>
      </c>
      <c r="E2733" s="9" t="s">
        <v>3103</v>
      </c>
      <c r="F2733" s="9" t="s">
        <v>493</v>
      </c>
      <c r="H2733" s="9"/>
    </row>
    <row r="2734" ht="14.25" customHeight="1">
      <c r="C2734" s="9" t="s">
        <v>681</v>
      </c>
      <c r="D2734" s="9" t="s">
        <v>3108</v>
      </c>
      <c r="E2734" s="9" t="s">
        <v>3103</v>
      </c>
      <c r="F2734" s="9" t="s">
        <v>450</v>
      </c>
      <c r="H2734" s="9"/>
    </row>
    <row r="2735" ht="14.25" customHeight="1">
      <c r="C2735" s="9" t="s">
        <v>681</v>
      </c>
      <c r="D2735" s="9" t="s">
        <v>3108</v>
      </c>
      <c r="E2735" s="9" t="s">
        <v>3103</v>
      </c>
      <c r="F2735" s="9" t="s">
        <v>2296</v>
      </c>
      <c r="H2735" s="9"/>
    </row>
    <row r="2736" ht="14.25" customHeight="1">
      <c r="C2736" s="9" t="s">
        <v>681</v>
      </c>
      <c r="D2736" s="9" t="s">
        <v>3108</v>
      </c>
      <c r="E2736" s="9" t="s">
        <v>3103</v>
      </c>
      <c r="F2736" s="9" t="s">
        <v>276</v>
      </c>
      <c r="H2736" s="9"/>
    </row>
    <row r="2737" ht="14.25" customHeight="1">
      <c r="C2737" s="9" t="s">
        <v>681</v>
      </c>
      <c r="D2737" s="9" t="s">
        <v>3108</v>
      </c>
      <c r="E2737" s="9" t="s">
        <v>3103</v>
      </c>
      <c r="F2737" s="9" t="s">
        <v>431</v>
      </c>
      <c r="H2737" s="9"/>
    </row>
    <row r="2738" ht="14.25" customHeight="1">
      <c r="C2738" s="9" t="s">
        <v>681</v>
      </c>
      <c r="D2738" s="9" t="s">
        <v>3108</v>
      </c>
      <c r="E2738" s="9" t="s">
        <v>3103</v>
      </c>
      <c r="F2738" s="9" t="s">
        <v>1272</v>
      </c>
      <c r="H2738" s="9"/>
    </row>
    <row r="2739" ht="14.25" customHeight="1">
      <c r="C2739" s="9" t="s">
        <v>681</v>
      </c>
      <c r="D2739" s="9" t="s">
        <v>3108</v>
      </c>
      <c r="E2739" s="9" t="s">
        <v>3103</v>
      </c>
      <c r="F2739" s="9" t="s">
        <v>420</v>
      </c>
      <c r="H2739" s="9"/>
    </row>
    <row r="2740" ht="14.25" customHeight="1">
      <c r="C2740" s="9" t="s">
        <v>681</v>
      </c>
      <c r="D2740" s="9" t="s">
        <v>3108</v>
      </c>
      <c r="E2740" s="9" t="s">
        <v>3103</v>
      </c>
      <c r="F2740" s="9" t="s">
        <v>482</v>
      </c>
      <c r="H2740" s="9"/>
    </row>
    <row r="2741" ht="14.25" customHeight="1">
      <c r="C2741" s="9" t="s">
        <v>681</v>
      </c>
      <c r="D2741" s="9" t="s">
        <v>3108</v>
      </c>
      <c r="E2741" s="9" t="s">
        <v>3103</v>
      </c>
      <c r="F2741" s="9" t="s">
        <v>136</v>
      </c>
      <c r="H2741" s="9"/>
    </row>
    <row r="2742" ht="14.25" customHeight="1">
      <c r="C2742" s="9" t="s">
        <v>681</v>
      </c>
      <c r="D2742" s="9" t="s">
        <v>3108</v>
      </c>
      <c r="E2742" s="9" t="s">
        <v>3103</v>
      </c>
      <c r="F2742" s="9" t="s">
        <v>408</v>
      </c>
      <c r="H2742" s="9"/>
    </row>
    <row r="2743" ht="14.25" customHeight="1">
      <c r="C2743" s="9" t="s">
        <v>681</v>
      </c>
      <c r="D2743" s="9" t="s">
        <v>3108</v>
      </c>
      <c r="E2743" s="9" t="s">
        <v>3103</v>
      </c>
      <c r="F2743" s="9" t="s">
        <v>2301</v>
      </c>
      <c r="H2743" s="9"/>
    </row>
    <row r="2744" ht="14.25" customHeight="1">
      <c r="C2744" s="9" t="s">
        <v>681</v>
      </c>
      <c r="D2744" s="9" t="s">
        <v>3108</v>
      </c>
      <c r="E2744" s="9" t="s">
        <v>3103</v>
      </c>
      <c r="F2744" s="9" t="s">
        <v>197</v>
      </c>
      <c r="H2744" s="9"/>
    </row>
    <row r="2745" ht="14.25" customHeight="1">
      <c r="C2745" s="9" t="s">
        <v>681</v>
      </c>
      <c r="D2745" s="9" t="s">
        <v>3108</v>
      </c>
      <c r="E2745" s="9" t="s">
        <v>3103</v>
      </c>
      <c r="F2745" s="9" t="s">
        <v>172</v>
      </c>
      <c r="H2745" s="9"/>
    </row>
    <row r="2746" ht="14.25" customHeight="1">
      <c r="C2746" s="9" t="s">
        <v>681</v>
      </c>
      <c r="D2746" s="9" t="s">
        <v>3108</v>
      </c>
      <c r="E2746" s="9" t="s">
        <v>3103</v>
      </c>
      <c r="F2746" s="9" t="s">
        <v>98</v>
      </c>
      <c r="H2746" s="9"/>
    </row>
    <row r="2747" ht="14.25" customHeight="1">
      <c r="C2747" s="9" t="s">
        <v>681</v>
      </c>
      <c r="D2747" s="9" t="s">
        <v>3108</v>
      </c>
      <c r="E2747" s="9" t="s">
        <v>3103</v>
      </c>
      <c r="F2747" s="9" t="s">
        <v>341</v>
      </c>
      <c r="H2747" s="9"/>
    </row>
    <row r="2748" ht="14.25" customHeight="1">
      <c r="C2748" s="9" t="s">
        <v>681</v>
      </c>
      <c r="D2748" s="9" t="s">
        <v>3108</v>
      </c>
      <c r="E2748" s="9" t="s">
        <v>3103</v>
      </c>
      <c r="F2748" s="9" t="s">
        <v>367</v>
      </c>
      <c r="H2748" s="9"/>
    </row>
    <row r="2749" ht="14.25" customHeight="1">
      <c r="C2749" s="9" t="s">
        <v>681</v>
      </c>
      <c r="D2749" s="9" t="s">
        <v>3108</v>
      </c>
      <c r="E2749" s="9" t="s">
        <v>3103</v>
      </c>
      <c r="F2749" s="9" t="s">
        <v>529</v>
      </c>
      <c r="H2749" s="9"/>
    </row>
    <row r="2750" ht="14.25" customHeight="1">
      <c r="C2750" s="9" t="s">
        <v>681</v>
      </c>
      <c r="D2750" s="9" t="s">
        <v>3108</v>
      </c>
      <c r="E2750" s="9" t="s">
        <v>3103</v>
      </c>
      <c r="F2750" s="9" t="s">
        <v>282</v>
      </c>
      <c r="H2750" s="9"/>
    </row>
    <row r="2751" ht="14.25" customHeight="1">
      <c r="C2751" s="9" t="s">
        <v>681</v>
      </c>
      <c r="D2751" s="9" t="s">
        <v>3108</v>
      </c>
      <c r="E2751" s="9" t="s">
        <v>3103</v>
      </c>
      <c r="F2751" s="9" t="s">
        <v>321</v>
      </c>
      <c r="H2751" s="9"/>
    </row>
    <row r="2752" ht="14.25" customHeight="1">
      <c r="C2752" s="9" t="s">
        <v>681</v>
      </c>
      <c r="D2752" s="9" t="s">
        <v>3108</v>
      </c>
      <c r="E2752" s="9" t="s">
        <v>3103</v>
      </c>
      <c r="F2752" s="9" t="s">
        <v>272</v>
      </c>
      <c r="H2752" s="9"/>
    </row>
    <row r="2753" ht="14.25" customHeight="1">
      <c r="C2753" s="9" t="s">
        <v>681</v>
      </c>
      <c r="D2753" s="9" t="s">
        <v>3108</v>
      </c>
      <c r="E2753" s="9" t="s">
        <v>3103</v>
      </c>
      <c r="F2753" s="9" t="s">
        <v>517</v>
      </c>
      <c r="H2753" s="9"/>
    </row>
    <row r="2754" ht="14.25" customHeight="1">
      <c r="C2754" s="9" t="s">
        <v>681</v>
      </c>
      <c r="D2754" s="9" t="s">
        <v>3108</v>
      </c>
      <c r="E2754" s="9" t="s">
        <v>3103</v>
      </c>
      <c r="F2754" s="9" t="s">
        <v>2309</v>
      </c>
      <c r="H2754" s="9"/>
    </row>
    <row r="2755" ht="14.25" customHeight="1">
      <c r="C2755" s="9" t="s">
        <v>681</v>
      </c>
      <c r="D2755" s="9" t="s">
        <v>3108</v>
      </c>
      <c r="E2755" s="9" t="s">
        <v>3103</v>
      </c>
      <c r="F2755" s="9" t="s">
        <v>507</v>
      </c>
      <c r="H2755" s="9"/>
    </row>
    <row r="2756" ht="14.25" customHeight="1">
      <c r="C2756" s="9" t="s">
        <v>681</v>
      </c>
      <c r="D2756" s="9" t="s">
        <v>3108</v>
      </c>
      <c r="E2756" s="9" t="s">
        <v>3103</v>
      </c>
      <c r="F2756" s="9" t="s">
        <v>336</v>
      </c>
      <c r="H2756" s="9"/>
    </row>
    <row r="2757" ht="14.25" customHeight="1">
      <c r="C2757" s="9" t="s">
        <v>681</v>
      </c>
      <c r="D2757" s="9" t="s">
        <v>3108</v>
      </c>
      <c r="E2757" s="9" t="s">
        <v>3103</v>
      </c>
      <c r="F2757" s="9" t="s">
        <v>235</v>
      </c>
      <c r="H2757" s="9"/>
    </row>
    <row r="2758" ht="14.25" customHeight="1">
      <c r="C2758" s="9" t="s">
        <v>681</v>
      </c>
      <c r="D2758" s="9" t="s">
        <v>3108</v>
      </c>
      <c r="E2758" s="9" t="s">
        <v>3103</v>
      </c>
      <c r="F2758" s="9" t="s">
        <v>327</v>
      </c>
      <c r="H2758" s="9"/>
    </row>
    <row r="2759" ht="14.25" customHeight="1">
      <c r="C2759" s="9" t="s">
        <v>681</v>
      </c>
      <c r="D2759" s="9" t="s">
        <v>3108</v>
      </c>
      <c r="E2759" s="9" t="s">
        <v>3103</v>
      </c>
      <c r="F2759" s="9" t="s">
        <v>264</v>
      </c>
      <c r="H2759" s="9"/>
    </row>
    <row r="2760" ht="14.25" customHeight="1">
      <c r="C2760" s="9" t="s">
        <v>681</v>
      </c>
      <c r="D2760" s="9" t="s">
        <v>3109</v>
      </c>
      <c r="E2760" s="9" t="s">
        <v>3103</v>
      </c>
      <c r="F2760" s="9" t="s">
        <v>474</v>
      </c>
      <c r="H2760" s="9"/>
    </row>
    <row r="2761" ht="14.25" customHeight="1">
      <c r="C2761" s="9" t="s">
        <v>681</v>
      </c>
      <c r="D2761" s="9" t="s">
        <v>3109</v>
      </c>
      <c r="E2761" s="9" t="s">
        <v>3103</v>
      </c>
      <c r="F2761" s="9" t="s">
        <v>284</v>
      </c>
      <c r="H2761" s="9"/>
    </row>
    <row r="2762" ht="14.25" customHeight="1">
      <c r="C2762" s="9" t="s">
        <v>681</v>
      </c>
      <c r="D2762" s="9" t="s">
        <v>3109</v>
      </c>
      <c r="E2762" s="9" t="s">
        <v>3103</v>
      </c>
      <c r="F2762" s="9" t="s">
        <v>493</v>
      </c>
      <c r="H2762" s="9"/>
    </row>
    <row r="2763" ht="14.25" customHeight="1">
      <c r="C2763" s="9" t="s">
        <v>681</v>
      </c>
      <c r="D2763" s="9" t="s">
        <v>3109</v>
      </c>
      <c r="E2763" s="9" t="s">
        <v>3103</v>
      </c>
      <c r="F2763" s="9" t="s">
        <v>450</v>
      </c>
      <c r="H2763" s="9"/>
    </row>
    <row r="2764" ht="14.25" customHeight="1">
      <c r="C2764" s="9" t="s">
        <v>681</v>
      </c>
      <c r="D2764" s="9" t="s">
        <v>3109</v>
      </c>
      <c r="E2764" s="9" t="s">
        <v>3103</v>
      </c>
      <c r="F2764" s="9" t="s">
        <v>2296</v>
      </c>
      <c r="H2764" s="9"/>
    </row>
    <row r="2765" ht="14.25" customHeight="1">
      <c r="C2765" s="9" t="s">
        <v>681</v>
      </c>
      <c r="D2765" s="9" t="s">
        <v>3109</v>
      </c>
      <c r="E2765" s="9" t="s">
        <v>3103</v>
      </c>
      <c r="F2765" s="9" t="s">
        <v>276</v>
      </c>
      <c r="H2765" s="9"/>
    </row>
    <row r="2766" ht="14.25" customHeight="1">
      <c r="C2766" s="9" t="s">
        <v>681</v>
      </c>
      <c r="D2766" s="9" t="s">
        <v>3109</v>
      </c>
      <c r="E2766" s="9" t="s">
        <v>3103</v>
      </c>
      <c r="F2766" s="9" t="s">
        <v>431</v>
      </c>
      <c r="H2766" s="9"/>
    </row>
    <row r="2767" ht="14.25" customHeight="1">
      <c r="C2767" s="9" t="s">
        <v>681</v>
      </c>
      <c r="D2767" s="9" t="s">
        <v>3109</v>
      </c>
      <c r="E2767" s="9" t="s">
        <v>3103</v>
      </c>
      <c r="F2767" s="9" t="s">
        <v>1272</v>
      </c>
      <c r="H2767" s="9"/>
    </row>
    <row r="2768" ht="14.25" customHeight="1">
      <c r="C2768" s="9" t="s">
        <v>681</v>
      </c>
      <c r="D2768" s="9" t="s">
        <v>3109</v>
      </c>
      <c r="E2768" s="9" t="s">
        <v>3103</v>
      </c>
      <c r="F2768" s="9" t="s">
        <v>420</v>
      </c>
      <c r="H2768" s="9"/>
    </row>
    <row r="2769" ht="14.25" customHeight="1">
      <c r="C2769" s="9" t="s">
        <v>681</v>
      </c>
      <c r="D2769" s="9" t="s">
        <v>3109</v>
      </c>
      <c r="E2769" s="9" t="s">
        <v>3103</v>
      </c>
      <c r="F2769" s="9" t="s">
        <v>482</v>
      </c>
      <c r="H2769" s="9"/>
    </row>
    <row r="2770" ht="14.25" customHeight="1">
      <c r="C2770" s="9" t="s">
        <v>681</v>
      </c>
      <c r="D2770" s="9" t="s">
        <v>3109</v>
      </c>
      <c r="E2770" s="9" t="s">
        <v>3103</v>
      </c>
      <c r="F2770" s="9" t="s">
        <v>136</v>
      </c>
      <c r="H2770" s="9"/>
    </row>
    <row r="2771" ht="14.25" customHeight="1">
      <c r="C2771" s="9" t="s">
        <v>681</v>
      </c>
      <c r="D2771" s="9" t="s">
        <v>3109</v>
      </c>
      <c r="E2771" s="9" t="s">
        <v>3103</v>
      </c>
      <c r="F2771" s="9" t="s">
        <v>408</v>
      </c>
      <c r="H2771" s="9"/>
    </row>
    <row r="2772" ht="14.25" customHeight="1">
      <c r="C2772" s="9" t="s">
        <v>681</v>
      </c>
      <c r="D2772" s="9" t="s">
        <v>3109</v>
      </c>
      <c r="E2772" s="9" t="s">
        <v>3103</v>
      </c>
      <c r="F2772" s="9" t="s">
        <v>2301</v>
      </c>
      <c r="H2772" s="9"/>
    </row>
    <row r="2773" ht="14.25" customHeight="1">
      <c r="C2773" s="9" t="s">
        <v>681</v>
      </c>
      <c r="D2773" s="9" t="s">
        <v>3109</v>
      </c>
      <c r="E2773" s="9" t="s">
        <v>3103</v>
      </c>
      <c r="F2773" s="9" t="s">
        <v>197</v>
      </c>
      <c r="H2773" s="9"/>
    </row>
    <row r="2774" ht="14.25" customHeight="1">
      <c r="C2774" s="9" t="s">
        <v>681</v>
      </c>
      <c r="D2774" s="9" t="s">
        <v>3109</v>
      </c>
      <c r="E2774" s="9" t="s">
        <v>3103</v>
      </c>
      <c r="F2774" s="9" t="s">
        <v>172</v>
      </c>
      <c r="H2774" s="9"/>
    </row>
    <row r="2775" ht="14.25" customHeight="1">
      <c r="C2775" s="9" t="s">
        <v>681</v>
      </c>
      <c r="D2775" s="9" t="s">
        <v>3109</v>
      </c>
      <c r="E2775" s="9" t="s">
        <v>3103</v>
      </c>
      <c r="F2775" s="9" t="s">
        <v>98</v>
      </c>
      <c r="H2775" s="9"/>
    </row>
    <row r="2776" ht="14.25" customHeight="1">
      <c r="C2776" s="9" t="s">
        <v>681</v>
      </c>
      <c r="D2776" s="9" t="s">
        <v>3109</v>
      </c>
      <c r="E2776" s="9" t="s">
        <v>3103</v>
      </c>
      <c r="F2776" s="9" t="s">
        <v>341</v>
      </c>
      <c r="H2776" s="9"/>
    </row>
    <row r="2777" ht="14.25" customHeight="1">
      <c r="C2777" s="9" t="s">
        <v>681</v>
      </c>
      <c r="D2777" s="9" t="s">
        <v>3109</v>
      </c>
      <c r="E2777" s="9" t="s">
        <v>3103</v>
      </c>
      <c r="F2777" s="9" t="s">
        <v>367</v>
      </c>
      <c r="H2777" s="9"/>
    </row>
    <row r="2778" ht="14.25" customHeight="1">
      <c r="C2778" s="9" t="s">
        <v>681</v>
      </c>
      <c r="D2778" s="9" t="s">
        <v>3109</v>
      </c>
      <c r="E2778" s="9" t="s">
        <v>3103</v>
      </c>
      <c r="F2778" s="9" t="s">
        <v>529</v>
      </c>
      <c r="H2778" s="9"/>
    </row>
    <row r="2779" ht="14.25" customHeight="1">
      <c r="C2779" s="9" t="s">
        <v>681</v>
      </c>
      <c r="D2779" s="9" t="s">
        <v>3109</v>
      </c>
      <c r="E2779" s="9" t="s">
        <v>3103</v>
      </c>
      <c r="F2779" s="9" t="s">
        <v>282</v>
      </c>
      <c r="H2779" s="9"/>
    </row>
    <row r="2780" ht="14.25" customHeight="1">
      <c r="C2780" s="9" t="s">
        <v>681</v>
      </c>
      <c r="D2780" s="9" t="s">
        <v>3109</v>
      </c>
      <c r="E2780" s="9" t="s">
        <v>3103</v>
      </c>
      <c r="F2780" s="9" t="s">
        <v>321</v>
      </c>
      <c r="H2780" s="9"/>
    </row>
    <row r="2781" ht="14.25" customHeight="1">
      <c r="C2781" s="9" t="s">
        <v>681</v>
      </c>
      <c r="D2781" s="9" t="s">
        <v>3109</v>
      </c>
      <c r="E2781" s="9" t="s">
        <v>3103</v>
      </c>
      <c r="F2781" s="9" t="s">
        <v>272</v>
      </c>
      <c r="H2781" s="9"/>
    </row>
    <row r="2782" ht="14.25" customHeight="1">
      <c r="C2782" s="9" t="s">
        <v>681</v>
      </c>
      <c r="D2782" s="9" t="s">
        <v>3109</v>
      </c>
      <c r="E2782" s="9" t="s">
        <v>3103</v>
      </c>
      <c r="F2782" s="9" t="s">
        <v>517</v>
      </c>
      <c r="H2782" s="9"/>
    </row>
    <row r="2783" ht="14.25" customHeight="1">
      <c r="C2783" s="9" t="s">
        <v>681</v>
      </c>
      <c r="D2783" s="9" t="s">
        <v>3109</v>
      </c>
      <c r="E2783" s="9" t="s">
        <v>3103</v>
      </c>
      <c r="F2783" s="9" t="s">
        <v>2309</v>
      </c>
      <c r="H2783" s="9"/>
    </row>
    <row r="2784" ht="14.25" customHeight="1">
      <c r="C2784" s="9" t="s">
        <v>681</v>
      </c>
      <c r="D2784" s="9" t="s">
        <v>3109</v>
      </c>
      <c r="E2784" s="9" t="s">
        <v>3103</v>
      </c>
      <c r="F2784" s="9" t="s">
        <v>507</v>
      </c>
      <c r="H2784" s="9"/>
    </row>
    <row r="2785" ht="14.25" customHeight="1">
      <c r="C2785" s="9" t="s">
        <v>681</v>
      </c>
      <c r="D2785" s="9" t="s">
        <v>3109</v>
      </c>
      <c r="E2785" s="9" t="s">
        <v>3103</v>
      </c>
      <c r="F2785" s="9" t="s">
        <v>336</v>
      </c>
      <c r="H2785" s="9"/>
    </row>
    <row r="2786" ht="14.25" customHeight="1">
      <c r="C2786" s="9" t="s">
        <v>681</v>
      </c>
      <c r="D2786" s="9" t="s">
        <v>3109</v>
      </c>
      <c r="E2786" s="9" t="s">
        <v>3103</v>
      </c>
      <c r="F2786" s="9" t="s">
        <v>235</v>
      </c>
      <c r="H2786" s="9"/>
    </row>
    <row r="2787" ht="14.25" customHeight="1">
      <c r="C2787" s="9" t="s">
        <v>681</v>
      </c>
      <c r="D2787" s="9" t="s">
        <v>3109</v>
      </c>
      <c r="E2787" s="9" t="s">
        <v>3103</v>
      </c>
      <c r="F2787" s="9" t="s">
        <v>327</v>
      </c>
      <c r="H2787" s="9"/>
    </row>
    <row r="2788" ht="14.25" customHeight="1">
      <c r="C2788" s="9" t="s">
        <v>681</v>
      </c>
      <c r="D2788" s="9" t="s">
        <v>3109</v>
      </c>
      <c r="E2788" s="9" t="s">
        <v>3103</v>
      </c>
      <c r="F2788" s="9" t="s">
        <v>264</v>
      </c>
      <c r="H2788" s="9"/>
    </row>
    <row r="2789" ht="14.25" customHeight="1">
      <c r="C2789" s="9" t="s">
        <v>681</v>
      </c>
      <c r="D2789" s="9" t="s">
        <v>3110</v>
      </c>
      <c r="E2789" s="9" t="s">
        <v>3103</v>
      </c>
      <c r="F2789" s="9" t="s">
        <v>474</v>
      </c>
      <c r="H2789" s="9"/>
    </row>
    <row r="2790" ht="14.25" customHeight="1">
      <c r="C2790" s="9" t="s">
        <v>681</v>
      </c>
      <c r="D2790" s="9" t="s">
        <v>3110</v>
      </c>
      <c r="E2790" s="9" t="s">
        <v>3103</v>
      </c>
      <c r="F2790" s="9" t="s">
        <v>284</v>
      </c>
      <c r="H2790" s="9"/>
    </row>
    <row r="2791" ht="14.25" customHeight="1">
      <c r="C2791" s="9" t="s">
        <v>681</v>
      </c>
      <c r="D2791" s="9" t="s">
        <v>3110</v>
      </c>
      <c r="E2791" s="9" t="s">
        <v>3103</v>
      </c>
      <c r="F2791" s="9" t="s">
        <v>493</v>
      </c>
      <c r="H2791" s="9"/>
    </row>
    <row r="2792" ht="14.25" customHeight="1">
      <c r="C2792" s="9" t="s">
        <v>681</v>
      </c>
      <c r="D2792" s="9" t="s">
        <v>3110</v>
      </c>
      <c r="E2792" s="9" t="s">
        <v>3103</v>
      </c>
      <c r="F2792" s="9" t="s">
        <v>450</v>
      </c>
      <c r="H2792" s="9"/>
    </row>
    <row r="2793" ht="14.25" customHeight="1">
      <c r="C2793" s="9" t="s">
        <v>681</v>
      </c>
      <c r="D2793" s="9" t="s">
        <v>3110</v>
      </c>
      <c r="E2793" s="9" t="s">
        <v>3103</v>
      </c>
      <c r="F2793" s="9" t="s">
        <v>2296</v>
      </c>
      <c r="H2793" s="9"/>
    </row>
    <row r="2794" ht="14.25" customHeight="1">
      <c r="C2794" s="9" t="s">
        <v>681</v>
      </c>
      <c r="D2794" s="9" t="s">
        <v>3110</v>
      </c>
      <c r="E2794" s="9" t="s">
        <v>3103</v>
      </c>
      <c r="F2794" s="9" t="s">
        <v>276</v>
      </c>
      <c r="H2794" s="9"/>
    </row>
    <row r="2795" ht="14.25" customHeight="1">
      <c r="C2795" s="9" t="s">
        <v>681</v>
      </c>
      <c r="D2795" s="9" t="s">
        <v>3110</v>
      </c>
      <c r="E2795" s="9" t="s">
        <v>3103</v>
      </c>
      <c r="F2795" s="9" t="s">
        <v>431</v>
      </c>
      <c r="H2795" s="9"/>
    </row>
    <row r="2796" ht="14.25" customHeight="1">
      <c r="C2796" s="9" t="s">
        <v>681</v>
      </c>
      <c r="D2796" s="9" t="s">
        <v>3110</v>
      </c>
      <c r="E2796" s="9" t="s">
        <v>3103</v>
      </c>
      <c r="F2796" s="9" t="s">
        <v>1272</v>
      </c>
      <c r="H2796" s="9"/>
    </row>
    <row r="2797" ht="14.25" customHeight="1">
      <c r="C2797" s="9" t="s">
        <v>681</v>
      </c>
      <c r="D2797" s="9" t="s">
        <v>3110</v>
      </c>
      <c r="E2797" s="9" t="s">
        <v>3103</v>
      </c>
      <c r="F2797" s="9" t="s">
        <v>420</v>
      </c>
      <c r="H2797" s="9"/>
    </row>
    <row r="2798" ht="14.25" customHeight="1">
      <c r="C2798" s="9" t="s">
        <v>681</v>
      </c>
      <c r="D2798" s="9" t="s">
        <v>3110</v>
      </c>
      <c r="E2798" s="9" t="s">
        <v>3103</v>
      </c>
      <c r="F2798" s="9" t="s">
        <v>482</v>
      </c>
      <c r="H2798" s="9"/>
    </row>
    <row r="2799" ht="14.25" customHeight="1">
      <c r="C2799" s="9" t="s">
        <v>681</v>
      </c>
      <c r="D2799" s="9" t="s">
        <v>3110</v>
      </c>
      <c r="E2799" s="9" t="s">
        <v>3103</v>
      </c>
      <c r="F2799" s="9" t="s">
        <v>136</v>
      </c>
      <c r="H2799" s="9"/>
    </row>
    <row r="2800" ht="14.25" customHeight="1">
      <c r="C2800" s="9" t="s">
        <v>681</v>
      </c>
      <c r="D2800" s="9" t="s">
        <v>3110</v>
      </c>
      <c r="E2800" s="9" t="s">
        <v>3103</v>
      </c>
      <c r="F2800" s="9" t="s">
        <v>408</v>
      </c>
      <c r="H2800" s="9"/>
    </row>
    <row r="2801" ht="14.25" customHeight="1">
      <c r="C2801" s="9" t="s">
        <v>681</v>
      </c>
      <c r="D2801" s="9" t="s">
        <v>3110</v>
      </c>
      <c r="E2801" s="9" t="s">
        <v>3103</v>
      </c>
      <c r="F2801" s="9" t="s">
        <v>2301</v>
      </c>
      <c r="H2801" s="9"/>
    </row>
    <row r="2802" ht="14.25" customHeight="1">
      <c r="C2802" s="9" t="s">
        <v>681</v>
      </c>
      <c r="D2802" s="9" t="s">
        <v>3110</v>
      </c>
      <c r="E2802" s="9" t="s">
        <v>3103</v>
      </c>
      <c r="F2802" s="9" t="s">
        <v>197</v>
      </c>
      <c r="H2802" s="9"/>
    </row>
    <row r="2803" ht="14.25" customHeight="1">
      <c r="C2803" s="9" t="s">
        <v>681</v>
      </c>
      <c r="D2803" s="9" t="s">
        <v>3110</v>
      </c>
      <c r="E2803" s="9" t="s">
        <v>3103</v>
      </c>
      <c r="F2803" s="9" t="s">
        <v>172</v>
      </c>
      <c r="H2803" s="9"/>
    </row>
    <row r="2804" ht="14.25" customHeight="1">
      <c r="C2804" s="9" t="s">
        <v>681</v>
      </c>
      <c r="D2804" s="9" t="s">
        <v>3110</v>
      </c>
      <c r="E2804" s="9" t="s">
        <v>3103</v>
      </c>
      <c r="F2804" s="9" t="s">
        <v>98</v>
      </c>
      <c r="H2804" s="9"/>
    </row>
    <row r="2805" ht="14.25" customHeight="1">
      <c r="C2805" s="9" t="s">
        <v>681</v>
      </c>
      <c r="D2805" s="9" t="s">
        <v>3110</v>
      </c>
      <c r="E2805" s="9" t="s">
        <v>3103</v>
      </c>
      <c r="F2805" s="9" t="s">
        <v>341</v>
      </c>
      <c r="H2805" s="9"/>
    </row>
    <row r="2806" ht="14.25" customHeight="1">
      <c r="C2806" s="9" t="s">
        <v>681</v>
      </c>
      <c r="D2806" s="9" t="s">
        <v>3110</v>
      </c>
      <c r="E2806" s="9" t="s">
        <v>3103</v>
      </c>
      <c r="F2806" s="9" t="s">
        <v>367</v>
      </c>
      <c r="H2806" s="9"/>
    </row>
    <row r="2807" ht="14.25" customHeight="1">
      <c r="C2807" s="9" t="s">
        <v>681</v>
      </c>
      <c r="D2807" s="9" t="s">
        <v>3110</v>
      </c>
      <c r="E2807" s="9" t="s">
        <v>3103</v>
      </c>
      <c r="F2807" s="9" t="s">
        <v>529</v>
      </c>
      <c r="H2807" s="9"/>
    </row>
    <row r="2808" ht="14.25" customHeight="1">
      <c r="C2808" s="9" t="s">
        <v>681</v>
      </c>
      <c r="D2808" s="9" t="s">
        <v>3110</v>
      </c>
      <c r="E2808" s="9" t="s">
        <v>3103</v>
      </c>
      <c r="F2808" s="9" t="s">
        <v>282</v>
      </c>
      <c r="H2808" s="9"/>
    </row>
    <row r="2809" ht="14.25" customHeight="1">
      <c r="C2809" s="9" t="s">
        <v>681</v>
      </c>
      <c r="D2809" s="9" t="s">
        <v>3110</v>
      </c>
      <c r="E2809" s="9" t="s">
        <v>3103</v>
      </c>
      <c r="F2809" s="9" t="s">
        <v>321</v>
      </c>
      <c r="H2809" s="9"/>
    </row>
    <row r="2810" ht="14.25" customHeight="1">
      <c r="C2810" s="9" t="s">
        <v>681</v>
      </c>
      <c r="D2810" s="9" t="s">
        <v>3110</v>
      </c>
      <c r="E2810" s="9" t="s">
        <v>3103</v>
      </c>
      <c r="F2810" s="9" t="s">
        <v>272</v>
      </c>
      <c r="H2810" s="9"/>
    </row>
    <row r="2811" ht="14.25" customHeight="1">
      <c r="C2811" s="9" t="s">
        <v>681</v>
      </c>
      <c r="D2811" s="9" t="s">
        <v>3110</v>
      </c>
      <c r="E2811" s="9" t="s">
        <v>3103</v>
      </c>
      <c r="F2811" s="9" t="s">
        <v>517</v>
      </c>
      <c r="H2811" s="9"/>
    </row>
    <row r="2812" ht="14.25" customHeight="1">
      <c r="C2812" s="9" t="s">
        <v>681</v>
      </c>
      <c r="D2812" s="9" t="s">
        <v>3110</v>
      </c>
      <c r="E2812" s="9" t="s">
        <v>3103</v>
      </c>
      <c r="F2812" s="9" t="s">
        <v>2309</v>
      </c>
      <c r="H2812" s="9"/>
    </row>
    <row r="2813" ht="14.25" customHeight="1">
      <c r="C2813" s="9" t="s">
        <v>681</v>
      </c>
      <c r="D2813" s="9" t="s">
        <v>3110</v>
      </c>
      <c r="E2813" s="9" t="s">
        <v>3103</v>
      </c>
      <c r="F2813" s="9" t="s">
        <v>507</v>
      </c>
      <c r="H2813" s="9"/>
    </row>
    <row r="2814" ht="14.25" customHeight="1">
      <c r="C2814" s="9" t="s">
        <v>681</v>
      </c>
      <c r="D2814" s="9" t="s">
        <v>3110</v>
      </c>
      <c r="E2814" s="9" t="s">
        <v>3103</v>
      </c>
      <c r="F2814" s="9" t="s">
        <v>336</v>
      </c>
      <c r="H2814" s="9"/>
    </row>
    <row r="2815" ht="14.25" customHeight="1">
      <c r="C2815" s="9" t="s">
        <v>681</v>
      </c>
      <c r="D2815" s="9" t="s">
        <v>3110</v>
      </c>
      <c r="E2815" s="9" t="s">
        <v>3103</v>
      </c>
      <c r="F2815" s="9" t="s">
        <v>235</v>
      </c>
      <c r="H2815" s="9"/>
    </row>
    <row r="2816" ht="14.25" customHeight="1">
      <c r="C2816" s="9" t="s">
        <v>681</v>
      </c>
      <c r="D2816" s="9" t="s">
        <v>3110</v>
      </c>
      <c r="E2816" s="9" t="s">
        <v>3103</v>
      </c>
      <c r="F2816" s="9" t="s">
        <v>327</v>
      </c>
      <c r="H2816" s="9"/>
    </row>
    <row r="2817" ht="14.25" customHeight="1">
      <c r="C2817" s="9" t="s">
        <v>681</v>
      </c>
      <c r="D2817" s="9" t="s">
        <v>3110</v>
      </c>
      <c r="E2817" s="9" t="s">
        <v>3103</v>
      </c>
      <c r="F2817" s="9" t="s">
        <v>264</v>
      </c>
      <c r="H2817" s="9"/>
    </row>
    <row r="2818" ht="14.25" customHeight="1">
      <c r="C2818" s="9" t="s">
        <v>1384</v>
      </c>
      <c r="D2818" s="9" t="s">
        <v>3111</v>
      </c>
      <c r="E2818" s="9" t="s">
        <v>3103</v>
      </c>
      <c r="F2818" s="9" t="s">
        <v>474</v>
      </c>
      <c r="H2818" s="9"/>
    </row>
    <row r="2819" ht="14.25" customHeight="1">
      <c r="C2819" s="9" t="s">
        <v>1384</v>
      </c>
      <c r="D2819" s="9" t="s">
        <v>3111</v>
      </c>
      <c r="E2819" s="9" t="s">
        <v>3103</v>
      </c>
      <c r="F2819" s="9" t="s">
        <v>284</v>
      </c>
      <c r="H2819" s="9"/>
    </row>
    <row r="2820" ht="14.25" customHeight="1">
      <c r="C2820" s="9" t="s">
        <v>1384</v>
      </c>
      <c r="D2820" s="9" t="s">
        <v>3111</v>
      </c>
      <c r="E2820" s="9" t="s">
        <v>3103</v>
      </c>
      <c r="F2820" s="9" t="s">
        <v>493</v>
      </c>
      <c r="H2820" s="9"/>
    </row>
    <row r="2821" ht="14.25" customHeight="1">
      <c r="C2821" s="9" t="s">
        <v>1384</v>
      </c>
      <c r="D2821" s="9" t="s">
        <v>3111</v>
      </c>
      <c r="E2821" s="9" t="s">
        <v>3103</v>
      </c>
      <c r="F2821" s="9" t="s">
        <v>450</v>
      </c>
      <c r="H2821" s="9"/>
    </row>
    <row r="2822" ht="14.25" customHeight="1">
      <c r="C2822" s="9" t="s">
        <v>1384</v>
      </c>
      <c r="D2822" s="9" t="s">
        <v>3111</v>
      </c>
      <c r="E2822" s="9" t="s">
        <v>3103</v>
      </c>
      <c r="F2822" s="9" t="s">
        <v>395</v>
      </c>
      <c r="H2822" s="9"/>
    </row>
    <row r="2823" ht="14.25" customHeight="1">
      <c r="C2823" s="9" t="s">
        <v>1384</v>
      </c>
      <c r="D2823" s="9" t="s">
        <v>3111</v>
      </c>
      <c r="E2823" s="9" t="s">
        <v>3103</v>
      </c>
      <c r="F2823" s="9" t="s">
        <v>276</v>
      </c>
      <c r="H2823" s="9"/>
    </row>
    <row r="2824" ht="14.25" customHeight="1">
      <c r="C2824" s="9" t="s">
        <v>1384</v>
      </c>
      <c r="D2824" s="9" t="s">
        <v>3111</v>
      </c>
      <c r="E2824" s="9" t="s">
        <v>3103</v>
      </c>
      <c r="F2824" s="9" t="s">
        <v>431</v>
      </c>
      <c r="H2824" s="9"/>
    </row>
    <row r="2825" ht="14.25" customHeight="1">
      <c r="C2825" s="9" t="s">
        <v>1384</v>
      </c>
      <c r="D2825" s="9" t="s">
        <v>3111</v>
      </c>
      <c r="E2825" s="9" t="s">
        <v>3103</v>
      </c>
      <c r="F2825" s="9" t="s">
        <v>1272</v>
      </c>
      <c r="H2825" s="9"/>
    </row>
    <row r="2826" ht="14.25" customHeight="1">
      <c r="C2826" s="9" t="s">
        <v>1384</v>
      </c>
      <c r="D2826" s="9" t="s">
        <v>3111</v>
      </c>
      <c r="E2826" s="9" t="s">
        <v>3103</v>
      </c>
      <c r="F2826" s="9" t="s">
        <v>420</v>
      </c>
      <c r="H2826" s="9"/>
    </row>
    <row r="2827" ht="14.25" customHeight="1">
      <c r="C2827" s="9" t="s">
        <v>1384</v>
      </c>
      <c r="D2827" s="9" t="s">
        <v>3111</v>
      </c>
      <c r="E2827" s="9" t="s">
        <v>3103</v>
      </c>
      <c r="F2827" s="9" t="s">
        <v>482</v>
      </c>
      <c r="H2827" s="9"/>
    </row>
    <row r="2828" ht="14.25" customHeight="1">
      <c r="C2828" s="9" t="s">
        <v>1384</v>
      </c>
      <c r="D2828" s="9" t="s">
        <v>3111</v>
      </c>
      <c r="E2828" s="9" t="s">
        <v>3103</v>
      </c>
      <c r="F2828" s="9" t="s">
        <v>136</v>
      </c>
      <c r="H2828" s="9"/>
    </row>
    <row r="2829" ht="14.25" customHeight="1">
      <c r="C2829" s="9" t="s">
        <v>1384</v>
      </c>
      <c r="D2829" s="9" t="s">
        <v>3111</v>
      </c>
      <c r="E2829" s="9" t="s">
        <v>3103</v>
      </c>
      <c r="F2829" s="9" t="s">
        <v>408</v>
      </c>
      <c r="H2829" s="9"/>
    </row>
    <row r="2830" ht="14.25" customHeight="1">
      <c r="C2830" s="9" t="s">
        <v>1384</v>
      </c>
      <c r="D2830" s="9" t="s">
        <v>3111</v>
      </c>
      <c r="E2830" s="9" t="s">
        <v>3103</v>
      </c>
      <c r="F2830" s="9" t="s">
        <v>2589</v>
      </c>
      <c r="H2830" s="9"/>
    </row>
    <row r="2831" ht="14.25" customHeight="1">
      <c r="C2831" s="9" t="s">
        <v>1384</v>
      </c>
      <c r="D2831" s="9" t="s">
        <v>3111</v>
      </c>
      <c r="E2831" s="9" t="s">
        <v>3103</v>
      </c>
      <c r="F2831" s="9" t="s">
        <v>197</v>
      </c>
      <c r="H2831" s="9"/>
    </row>
    <row r="2832" ht="14.25" customHeight="1">
      <c r="C2832" s="9" t="s">
        <v>1384</v>
      </c>
      <c r="D2832" s="9" t="s">
        <v>3111</v>
      </c>
      <c r="E2832" s="9" t="s">
        <v>3103</v>
      </c>
      <c r="F2832" s="9" t="s">
        <v>172</v>
      </c>
      <c r="H2832" s="9"/>
    </row>
    <row r="2833" ht="14.25" customHeight="1">
      <c r="C2833" s="9" t="s">
        <v>1384</v>
      </c>
      <c r="D2833" s="9" t="s">
        <v>3111</v>
      </c>
      <c r="E2833" s="9" t="s">
        <v>3103</v>
      </c>
      <c r="F2833" s="9" t="s">
        <v>98</v>
      </c>
      <c r="H2833" s="9"/>
    </row>
    <row r="2834" ht="14.25" customHeight="1">
      <c r="C2834" s="9" t="s">
        <v>1384</v>
      </c>
      <c r="D2834" s="9" t="s">
        <v>3111</v>
      </c>
      <c r="E2834" s="9" t="s">
        <v>3103</v>
      </c>
      <c r="F2834" s="9" t="s">
        <v>341</v>
      </c>
      <c r="H2834" s="9"/>
    </row>
    <row r="2835" ht="14.25" customHeight="1">
      <c r="C2835" s="9" t="s">
        <v>1384</v>
      </c>
      <c r="D2835" s="9" t="s">
        <v>3111</v>
      </c>
      <c r="E2835" s="9" t="s">
        <v>3103</v>
      </c>
      <c r="F2835" s="9" t="s">
        <v>367</v>
      </c>
      <c r="H2835" s="9"/>
    </row>
    <row r="2836" ht="14.25" customHeight="1">
      <c r="C2836" s="9" t="s">
        <v>1384</v>
      </c>
      <c r="D2836" s="9" t="s">
        <v>3111</v>
      </c>
      <c r="E2836" s="9" t="s">
        <v>3103</v>
      </c>
      <c r="F2836" s="9" t="s">
        <v>529</v>
      </c>
      <c r="H2836" s="9"/>
    </row>
    <row r="2837" ht="14.25" customHeight="1">
      <c r="C2837" s="9" t="s">
        <v>1384</v>
      </c>
      <c r="D2837" s="9" t="s">
        <v>3111</v>
      </c>
      <c r="E2837" s="9" t="s">
        <v>3103</v>
      </c>
      <c r="F2837" s="9" t="s">
        <v>282</v>
      </c>
      <c r="H2837" s="9"/>
    </row>
    <row r="2838" ht="14.25" customHeight="1">
      <c r="C2838" s="9" t="s">
        <v>1384</v>
      </c>
      <c r="D2838" s="9" t="s">
        <v>3111</v>
      </c>
      <c r="E2838" s="9" t="s">
        <v>3103</v>
      </c>
      <c r="F2838" s="9" t="s">
        <v>321</v>
      </c>
      <c r="H2838" s="9"/>
    </row>
    <row r="2839" ht="14.25" customHeight="1">
      <c r="C2839" s="9" t="s">
        <v>1384</v>
      </c>
      <c r="D2839" s="9" t="s">
        <v>3111</v>
      </c>
      <c r="E2839" s="9" t="s">
        <v>3103</v>
      </c>
      <c r="F2839" s="9" t="s">
        <v>272</v>
      </c>
      <c r="H2839" s="9"/>
    </row>
    <row r="2840" ht="14.25" customHeight="1">
      <c r="C2840" s="9" t="s">
        <v>1384</v>
      </c>
      <c r="D2840" s="9" t="s">
        <v>3111</v>
      </c>
      <c r="E2840" s="9" t="s">
        <v>3103</v>
      </c>
      <c r="F2840" s="9" t="s">
        <v>517</v>
      </c>
      <c r="H2840" s="9"/>
    </row>
    <row r="2841" ht="14.25" customHeight="1">
      <c r="C2841" s="9" t="s">
        <v>1384</v>
      </c>
      <c r="D2841" s="9" t="s">
        <v>3111</v>
      </c>
      <c r="E2841" s="9" t="s">
        <v>3103</v>
      </c>
      <c r="F2841" s="9" t="s">
        <v>2593</v>
      </c>
      <c r="H2841" s="9"/>
    </row>
    <row r="2842" ht="14.25" customHeight="1">
      <c r="C2842" s="9" t="s">
        <v>1384</v>
      </c>
      <c r="D2842" s="9" t="s">
        <v>3111</v>
      </c>
      <c r="E2842" s="9" t="s">
        <v>3103</v>
      </c>
      <c r="F2842" s="9" t="s">
        <v>507</v>
      </c>
      <c r="H2842" s="9"/>
    </row>
    <row r="2843" ht="14.25" customHeight="1">
      <c r="C2843" s="9" t="s">
        <v>1384</v>
      </c>
      <c r="D2843" s="9" t="s">
        <v>3111</v>
      </c>
      <c r="E2843" s="9" t="s">
        <v>3103</v>
      </c>
      <c r="F2843" s="9" t="s">
        <v>336</v>
      </c>
      <c r="H2843" s="9"/>
    </row>
    <row r="2844" ht="14.25" customHeight="1">
      <c r="C2844" s="9" t="s">
        <v>1384</v>
      </c>
      <c r="D2844" s="9" t="s">
        <v>3111</v>
      </c>
      <c r="E2844" s="9" t="s">
        <v>3103</v>
      </c>
      <c r="F2844" s="9" t="s">
        <v>235</v>
      </c>
      <c r="H2844" s="9"/>
    </row>
    <row r="2845" ht="14.25" customHeight="1">
      <c r="C2845" s="9" t="s">
        <v>1384</v>
      </c>
      <c r="D2845" s="9" t="s">
        <v>3111</v>
      </c>
      <c r="E2845" s="9" t="s">
        <v>3103</v>
      </c>
      <c r="F2845" s="9" t="s">
        <v>327</v>
      </c>
      <c r="H2845" s="9"/>
    </row>
    <row r="2846" ht="14.25" customHeight="1">
      <c r="C2846" s="9" t="s">
        <v>1384</v>
      </c>
      <c r="D2846" s="9" t="s">
        <v>3111</v>
      </c>
      <c r="E2846" s="9" t="s">
        <v>3103</v>
      </c>
      <c r="F2846" s="9" t="s">
        <v>264</v>
      </c>
      <c r="H2846" s="9"/>
    </row>
    <row r="2847" ht="14.25" customHeight="1">
      <c r="C2847" s="9" t="s">
        <v>1384</v>
      </c>
      <c r="D2847" s="9" t="s">
        <v>3112</v>
      </c>
      <c r="E2847" s="9" t="s">
        <v>3103</v>
      </c>
      <c r="F2847" s="9" t="s">
        <v>474</v>
      </c>
      <c r="H2847" s="9"/>
    </row>
    <row r="2848" ht="14.25" customHeight="1">
      <c r="C2848" s="9" t="s">
        <v>1384</v>
      </c>
      <c r="D2848" s="9" t="s">
        <v>3112</v>
      </c>
      <c r="E2848" s="9" t="s">
        <v>3103</v>
      </c>
      <c r="F2848" s="9" t="s">
        <v>284</v>
      </c>
      <c r="H2848" s="9"/>
    </row>
    <row r="2849" ht="14.25" customHeight="1">
      <c r="C2849" s="9" t="s">
        <v>1384</v>
      </c>
      <c r="D2849" s="9" t="s">
        <v>3112</v>
      </c>
      <c r="E2849" s="9" t="s">
        <v>3103</v>
      </c>
      <c r="F2849" s="9" t="s">
        <v>493</v>
      </c>
      <c r="H2849" s="9"/>
    </row>
    <row r="2850" ht="14.25" customHeight="1">
      <c r="C2850" s="9" t="s">
        <v>1384</v>
      </c>
      <c r="D2850" s="9" t="s">
        <v>3112</v>
      </c>
      <c r="E2850" s="9" t="s">
        <v>3103</v>
      </c>
      <c r="F2850" s="9" t="s">
        <v>450</v>
      </c>
      <c r="H2850" s="9"/>
    </row>
    <row r="2851" ht="14.25" customHeight="1">
      <c r="C2851" s="9" t="s">
        <v>1384</v>
      </c>
      <c r="D2851" s="9" t="s">
        <v>3112</v>
      </c>
      <c r="E2851" s="9" t="s">
        <v>3103</v>
      </c>
      <c r="F2851" s="9" t="s">
        <v>395</v>
      </c>
      <c r="H2851" s="9"/>
    </row>
    <row r="2852" ht="14.25" customHeight="1">
      <c r="C2852" s="9" t="s">
        <v>1384</v>
      </c>
      <c r="D2852" s="9" t="s">
        <v>3112</v>
      </c>
      <c r="E2852" s="9" t="s">
        <v>3103</v>
      </c>
      <c r="F2852" s="9" t="s">
        <v>276</v>
      </c>
      <c r="H2852" s="9"/>
    </row>
    <row r="2853" ht="14.25" customHeight="1">
      <c r="C2853" s="9" t="s">
        <v>1384</v>
      </c>
      <c r="D2853" s="9" t="s">
        <v>3112</v>
      </c>
      <c r="E2853" s="9" t="s">
        <v>3103</v>
      </c>
      <c r="F2853" s="9" t="s">
        <v>431</v>
      </c>
      <c r="H2853" s="9"/>
    </row>
    <row r="2854" ht="14.25" customHeight="1">
      <c r="C2854" s="9" t="s">
        <v>1384</v>
      </c>
      <c r="D2854" s="9" t="s">
        <v>3112</v>
      </c>
      <c r="E2854" s="9" t="s">
        <v>3103</v>
      </c>
      <c r="F2854" s="9" t="s">
        <v>1272</v>
      </c>
      <c r="H2854" s="9"/>
    </row>
    <row r="2855" ht="14.25" customHeight="1">
      <c r="C2855" s="9" t="s">
        <v>1384</v>
      </c>
      <c r="D2855" s="9" t="s">
        <v>3112</v>
      </c>
      <c r="E2855" s="9" t="s">
        <v>3103</v>
      </c>
      <c r="F2855" s="9" t="s">
        <v>420</v>
      </c>
      <c r="H2855" s="9"/>
    </row>
    <row r="2856" ht="14.25" customHeight="1">
      <c r="C2856" s="9" t="s">
        <v>1384</v>
      </c>
      <c r="D2856" s="9" t="s">
        <v>3112</v>
      </c>
      <c r="E2856" s="9" t="s">
        <v>3103</v>
      </c>
      <c r="F2856" s="9" t="s">
        <v>482</v>
      </c>
      <c r="H2856" s="9"/>
    </row>
    <row r="2857" ht="14.25" customHeight="1">
      <c r="C2857" s="9" t="s">
        <v>1384</v>
      </c>
      <c r="D2857" s="9" t="s">
        <v>3112</v>
      </c>
      <c r="E2857" s="9" t="s">
        <v>3103</v>
      </c>
      <c r="F2857" s="9" t="s">
        <v>136</v>
      </c>
      <c r="H2857" s="9"/>
    </row>
    <row r="2858" ht="14.25" customHeight="1">
      <c r="C2858" s="9" t="s">
        <v>1384</v>
      </c>
      <c r="D2858" s="9" t="s">
        <v>3112</v>
      </c>
      <c r="E2858" s="9" t="s">
        <v>3103</v>
      </c>
      <c r="F2858" s="9" t="s">
        <v>408</v>
      </c>
      <c r="H2858" s="9"/>
    </row>
    <row r="2859" ht="14.25" customHeight="1">
      <c r="C2859" s="9" t="s">
        <v>1384</v>
      </c>
      <c r="D2859" s="9" t="s">
        <v>3112</v>
      </c>
      <c r="E2859" s="9" t="s">
        <v>3103</v>
      </c>
      <c r="F2859" s="9" t="s">
        <v>2589</v>
      </c>
      <c r="H2859" s="9"/>
    </row>
    <row r="2860" ht="14.25" customHeight="1">
      <c r="C2860" s="9" t="s">
        <v>1384</v>
      </c>
      <c r="D2860" s="9" t="s">
        <v>3112</v>
      </c>
      <c r="E2860" s="9" t="s">
        <v>3103</v>
      </c>
      <c r="F2860" s="9" t="s">
        <v>197</v>
      </c>
      <c r="H2860" s="9"/>
    </row>
    <row r="2861" ht="14.25" customHeight="1">
      <c r="C2861" s="9" t="s">
        <v>1384</v>
      </c>
      <c r="D2861" s="9" t="s">
        <v>3112</v>
      </c>
      <c r="E2861" s="9" t="s">
        <v>3103</v>
      </c>
      <c r="F2861" s="9" t="s">
        <v>172</v>
      </c>
      <c r="H2861" s="9"/>
    </row>
    <row r="2862" ht="14.25" customHeight="1">
      <c r="C2862" s="9" t="s">
        <v>1384</v>
      </c>
      <c r="D2862" s="9" t="s">
        <v>3112</v>
      </c>
      <c r="E2862" s="9" t="s">
        <v>3103</v>
      </c>
      <c r="F2862" s="9" t="s">
        <v>98</v>
      </c>
      <c r="H2862" s="9"/>
    </row>
    <row r="2863" ht="14.25" customHeight="1">
      <c r="C2863" s="9" t="s">
        <v>1384</v>
      </c>
      <c r="D2863" s="9" t="s">
        <v>3112</v>
      </c>
      <c r="E2863" s="9" t="s">
        <v>3103</v>
      </c>
      <c r="F2863" s="9" t="s">
        <v>341</v>
      </c>
      <c r="H2863" s="9"/>
    </row>
    <row r="2864" ht="14.25" customHeight="1">
      <c r="C2864" s="9" t="s">
        <v>1384</v>
      </c>
      <c r="D2864" s="9" t="s">
        <v>3112</v>
      </c>
      <c r="E2864" s="9" t="s">
        <v>3103</v>
      </c>
      <c r="F2864" s="9" t="s">
        <v>367</v>
      </c>
      <c r="H2864" s="9"/>
    </row>
    <row r="2865" ht="14.25" customHeight="1">
      <c r="C2865" s="9" t="s">
        <v>1384</v>
      </c>
      <c r="D2865" s="9" t="s">
        <v>3112</v>
      </c>
      <c r="E2865" s="9" t="s">
        <v>3103</v>
      </c>
      <c r="F2865" s="9" t="s">
        <v>529</v>
      </c>
      <c r="H2865" s="9"/>
    </row>
    <row r="2866" ht="14.25" customHeight="1">
      <c r="C2866" s="9" t="s">
        <v>1384</v>
      </c>
      <c r="D2866" s="9" t="s">
        <v>3112</v>
      </c>
      <c r="E2866" s="9" t="s">
        <v>3103</v>
      </c>
      <c r="F2866" s="9" t="s">
        <v>282</v>
      </c>
      <c r="H2866" s="9"/>
    </row>
    <row r="2867" ht="14.25" customHeight="1">
      <c r="C2867" s="9" t="s">
        <v>1384</v>
      </c>
      <c r="D2867" s="9" t="s">
        <v>3112</v>
      </c>
      <c r="E2867" s="9" t="s">
        <v>3103</v>
      </c>
      <c r="F2867" s="9" t="s">
        <v>321</v>
      </c>
      <c r="H2867" s="9"/>
    </row>
    <row r="2868" ht="14.25" customHeight="1">
      <c r="C2868" s="9" t="s">
        <v>1384</v>
      </c>
      <c r="D2868" s="9" t="s">
        <v>3112</v>
      </c>
      <c r="E2868" s="9" t="s">
        <v>3103</v>
      </c>
      <c r="F2868" s="9" t="s">
        <v>272</v>
      </c>
      <c r="H2868" s="9"/>
    </row>
    <row r="2869" ht="14.25" customHeight="1">
      <c r="C2869" s="9" t="s">
        <v>1384</v>
      </c>
      <c r="D2869" s="9" t="s">
        <v>3112</v>
      </c>
      <c r="E2869" s="9" t="s">
        <v>3103</v>
      </c>
      <c r="F2869" s="9" t="s">
        <v>517</v>
      </c>
      <c r="H2869" s="9"/>
    </row>
    <row r="2870" ht="14.25" customHeight="1">
      <c r="C2870" s="9" t="s">
        <v>1384</v>
      </c>
      <c r="D2870" s="9" t="s">
        <v>3112</v>
      </c>
      <c r="E2870" s="9" t="s">
        <v>3103</v>
      </c>
      <c r="F2870" s="9" t="s">
        <v>2593</v>
      </c>
      <c r="H2870" s="9"/>
    </row>
    <row r="2871" ht="14.25" customHeight="1">
      <c r="C2871" s="9" t="s">
        <v>1384</v>
      </c>
      <c r="D2871" s="9" t="s">
        <v>3112</v>
      </c>
      <c r="E2871" s="9" t="s">
        <v>3103</v>
      </c>
      <c r="F2871" s="9" t="s">
        <v>507</v>
      </c>
      <c r="H2871" s="9"/>
    </row>
    <row r="2872" ht="14.25" customHeight="1">
      <c r="C2872" s="9" t="s">
        <v>1384</v>
      </c>
      <c r="D2872" s="9" t="s">
        <v>3112</v>
      </c>
      <c r="E2872" s="9" t="s">
        <v>3103</v>
      </c>
      <c r="F2872" s="9" t="s">
        <v>336</v>
      </c>
      <c r="H2872" s="9"/>
    </row>
    <row r="2873" ht="14.25" customHeight="1">
      <c r="C2873" s="9" t="s">
        <v>1384</v>
      </c>
      <c r="D2873" s="9" t="s">
        <v>3112</v>
      </c>
      <c r="E2873" s="9" t="s">
        <v>3103</v>
      </c>
      <c r="F2873" s="9" t="s">
        <v>235</v>
      </c>
      <c r="H2873" s="9"/>
    </row>
    <row r="2874" ht="14.25" customHeight="1">
      <c r="C2874" s="9" t="s">
        <v>1384</v>
      </c>
      <c r="D2874" s="9" t="s">
        <v>3112</v>
      </c>
      <c r="E2874" s="9" t="s">
        <v>3103</v>
      </c>
      <c r="F2874" s="9" t="s">
        <v>327</v>
      </c>
      <c r="H2874" s="9"/>
    </row>
    <row r="2875" ht="14.25" customHeight="1">
      <c r="C2875" s="9" t="s">
        <v>1384</v>
      </c>
      <c r="D2875" s="9" t="s">
        <v>3112</v>
      </c>
      <c r="E2875" s="9" t="s">
        <v>3103</v>
      </c>
      <c r="F2875" s="9" t="s">
        <v>264</v>
      </c>
      <c r="H2875" s="9"/>
    </row>
    <row r="2876" ht="14.25" customHeight="1">
      <c r="C2876" s="9" t="s">
        <v>1384</v>
      </c>
      <c r="D2876" s="9" t="s">
        <v>3113</v>
      </c>
      <c r="E2876" s="9" t="s">
        <v>3103</v>
      </c>
      <c r="F2876" s="9" t="s">
        <v>474</v>
      </c>
      <c r="H2876" s="9"/>
    </row>
    <row r="2877" ht="14.25" customHeight="1">
      <c r="C2877" s="9" t="s">
        <v>1384</v>
      </c>
      <c r="D2877" s="9" t="s">
        <v>3113</v>
      </c>
      <c r="E2877" s="9" t="s">
        <v>3103</v>
      </c>
      <c r="F2877" s="9" t="s">
        <v>284</v>
      </c>
      <c r="H2877" s="9"/>
    </row>
    <row r="2878" ht="14.25" customHeight="1">
      <c r="C2878" s="9" t="s">
        <v>1384</v>
      </c>
      <c r="D2878" s="9" t="s">
        <v>3113</v>
      </c>
      <c r="E2878" s="9" t="s">
        <v>3103</v>
      </c>
      <c r="F2878" s="9" t="s">
        <v>493</v>
      </c>
      <c r="H2878" s="9"/>
    </row>
    <row r="2879" ht="14.25" customHeight="1">
      <c r="C2879" s="9" t="s">
        <v>1384</v>
      </c>
      <c r="D2879" s="9" t="s">
        <v>3113</v>
      </c>
      <c r="E2879" s="9" t="s">
        <v>3103</v>
      </c>
      <c r="F2879" s="9" t="s">
        <v>450</v>
      </c>
      <c r="H2879" s="9"/>
    </row>
    <row r="2880" ht="14.25" customHeight="1">
      <c r="C2880" s="9" t="s">
        <v>1384</v>
      </c>
      <c r="D2880" s="9" t="s">
        <v>3113</v>
      </c>
      <c r="E2880" s="9" t="s">
        <v>3103</v>
      </c>
      <c r="F2880" s="9" t="s">
        <v>395</v>
      </c>
      <c r="H2880" s="9"/>
    </row>
    <row r="2881" ht="14.25" customHeight="1">
      <c r="C2881" s="9" t="s">
        <v>1384</v>
      </c>
      <c r="D2881" s="9" t="s">
        <v>3113</v>
      </c>
      <c r="E2881" s="9" t="s">
        <v>3103</v>
      </c>
      <c r="F2881" s="9" t="s">
        <v>276</v>
      </c>
      <c r="H2881" s="9"/>
    </row>
    <row r="2882" ht="14.25" customHeight="1">
      <c r="C2882" s="9" t="s">
        <v>1384</v>
      </c>
      <c r="D2882" s="9" t="s">
        <v>3113</v>
      </c>
      <c r="E2882" s="9" t="s">
        <v>3103</v>
      </c>
      <c r="F2882" s="9" t="s">
        <v>431</v>
      </c>
      <c r="H2882" s="9"/>
    </row>
    <row r="2883" ht="14.25" customHeight="1">
      <c r="C2883" s="9" t="s">
        <v>1384</v>
      </c>
      <c r="D2883" s="9" t="s">
        <v>3113</v>
      </c>
      <c r="E2883" s="9" t="s">
        <v>3103</v>
      </c>
      <c r="F2883" s="9" t="s">
        <v>1272</v>
      </c>
      <c r="H2883" s="9"/>
    </row>
    <row r="2884" ht="14.25" customHeight="1">
      <c r="C2884" s="9" t="s">
        <v>1384</v>
      </c>
      <c r="D2884" s="9" t="s">
        <v>3113</v>
      </c>
      <c r="E2884" s="9" t="s">
        <v>3103</v>
      </c>
      <c r="F2884" s="9" t="s">
        <v>420</v>
      </c>
      <c r="H2884" s="9"/>
    </row>
    <row r="2885" ht="14.25" customHeight="1">
      <c r="C2885" s="9" t="s">
        <v>1384</v>
      </c>
      <c r="D2885" s="9" t="s">
        <v>3113</v>
      </c>
      <c r="E2885" s="9" t="s">
        <v>3103</v>
      </c>
      <c r="F2885" s="9" t="s">
        <v>482</v>
      </c>
      <c r="H2885" s="9"/>
    </row>
    <row r="2886" ht="14.25" customHeight="1">
      <c r="C2886" s="9" t="s">
        <v>1384</v>
      </c>
      <c r="D2886" s="9" t="s">
        <v>3113</v>
      </c>
      <c r="E2886" s="9" t="s">
        <v>3103</v>
      </c>
      <c r="F2886" s="9" t="s">
        <v>136</v>
      </c>
      <c r="H2886" s="9"/>
    </row>
    <row r="2887" ht="14.25" customHeight="1">
      <c r="C2887" s="9" t="s">
        <v>1384</v>
      </c>
      <c r="D2887" s="9" t="s">
        <v>3113</v>
      </c>
      <c r="E2887" s="9" t="s">
        <v>3103</v>
      </c>
      <c r="F2887" s="9" t="s">
        <v>408</v>
      </c>
      <c r="H2887" s="9"/>
    </row>
    <row r="2888" ht="14.25" customHeight="1">
      <c r="C2888" s="9" t="s">
        <v>1384</v>
      </c>
      <c r="D2888" s="9" t="s">
        <v>3113</v>
      </c>
      <c r="E2888" s="9" t="s">
        <v>3103</v>
      </c>
      <c r="F2888" s="9" t="s">
        <v>2589</v>
      </c>
      <c r="H2888" s="9"/>
    </row>
    <row r="2889" ht="14.25" customHeight="1">
      <c r="C2889" s="9" t="s">
        <v>1384</v>
      </c>
      <c r="D2889" s="9" t="s">
        <v>3113</v>
      </c>
      <c r="E2889" s="9" t="s">
        <v>3103</v>
      </c>
      <c r="F2889" s="9" t="s">
        <v>197</v>
      </c>
      <c r="H2889" s="9"/>
    </row>
    <row r="2890" ht="14.25" customHeight="1">
      <c r="C2890" s="9" t="s">
        <v>1384</v>
      </c>
      <c r="D2890" s="9" t="s">
        <v>3113</v>
      </c>
      <c r="E2890" s="9" t="s">
        <v>3103</v>
      </c>
      <c r="F2890" s="9" t="s">
        <v>172</v>
      </c>
      <c r="H2890" s="9"/>
    </row>
    <row r="2891" ht="14.25" customHeight="1">
      <c r="C2891" s="9" t="s">
        <v>1384</v>
      </c>
      <c r="D2891" s="9" t="s">
        <v>3113</v>
      </c>
      <c r="E2891" s="9" t="s">
        <v>3103</v>
      </c>
      <c r="F2891" s="9" t="s">
        <v>98</v>
      </c>
      <c r="H2891" s="9"/>
    </row>
    <row r="2892" ht="14.25" customHeight="1">
      <c r="C2892" s="9" t="s">
        <v>1384</v>
      </c>
      <c r="D2892" s="9" t="s">
        <v>3113</v>
      </c>
      <c r="E2892" s="9" t="s">
        <v>3103</v>
      </c>
      <c r="F2892" s="9" t="s">
        <v>341</v>
      </c>
      <c r="H2892" s="9"/>
    </row>
    <row r="2893" ht="14.25" customHeight="1">
      <c r="C2893" s="9" t="s">
        <v>1384</v>
      </c>
      <c r="D2893" s="9" t="s">
        <v>3113</v>
      </c>
      <c r="E2893" s="9" t="s">
        <v>3103</v>
      </c>
      <c r="F2893" s="9" t="s">
        <v>367</v>
      </c>
      <c r="H2893" s="9"/>
    </row>
    <row r="2894" ht="14.25" customHeight="1">
      <c r="C2894" s="9" t="s">
        <v>1384</v>
      </c>
      <c r="D2894" s="9" t="s">
        <v>3113</v>
      </c>
      <c r="E2894" s="9" t="s">
        <v>3103</v>
      </c>
      <c r="F2894" s="9" t="s">
        <v>529</v>
      </c>
      <c r="H2894" s="9"/>
    </row>
    <row r="2895" ht="14.25" customHeight="1">
      <c r="C2895" s="9" t="s">
        <v>1384</v>
      </c>
      <c r="D2895" s="9" t="s">
        <v>3113</v>
      </c>
      <c r="E2895" s="9" t="s">
        <v>3103</v>
      </c>
      <c r="F2895" s="9" t="s">
        <v>282</v>
      </c>
      <c r="H2895" s="9"/>
    </row>
    <row r="2896" ht="14.25" customHeight="1">
      <c r="C2896" s="9" t="s">
        <v>1384</v>
      </c>
      <c r="D2896" s="9" t="s">
        <v>3113</v>
      </c>
      <c r="E2896" s="9" t="s">
        <v>3103</v>
      </c>
      <c r="F2896" s="9" t="s">
        <v>321</v>
      </c>
      <c r="H2896" s="9"/>
    </row>
    <row r="2897" ht="14.25" customHeight="1">
      <c r="C2897" s="9" t="s">
        <v>1384</v>
      </c>
      <c r="D2897" s="9" t="s">
        <v>3113</v>
      </c>
      <c r="E2897" s="9" t="s">
        <v>3103</v>
      </c>
      <c r="F2897" s="9" t="s">
        <v>272</v>
      </c>
      <c r="H2897" s="9"/>
    </row>
    <row r="2898" ht="14.25" customHeight="1">
      <c r="C2898" s="9" t="s">
        <v>1384</v>
      </c>
      <c r="D2898" s="9" t="s">
        <v>3113</v>
      </c>
      <c r="E2898" s="9" t="s">
        <v>3103</v>
      </c>
      <c r="F2898" s="9" t="s">
        <v>517</v>
      </c>
      <c r="H2898" s="9"/>
    </row>
    <row r="2899" ht="14.25" customHeight="1">
      <c r="C2899" s="9" t="s">
        <v>1384</v>
      </c>
      <c r="D2899" s="9" t="s">
        <v>3113</v>
      </c>
      <c r="E2899" s="9" t="s">
        <v>3103</v>
      </c>
      <c r="F2899" s="9" t="s">
        <v>2593</v>
      </c>
      <c r="H2899" s="9"/>
    </row>
    <row r="2900" ht="14.25" customHeight="1">
      <c r="C2900" s="9" t="s">
        <v>1384</v>
      </c>
      <c r="D2900" s="9" t="s">
        <v>3113</v>
      </c>
      <c r="E2900" s="9" t="s">
        <v>3103</v>
      </c>
      <c r="F2900" s="9" t="s">
        <v>507</v>
      </c>
      <c r="H2900" s="9"/>
    </row>
    <row r="2901" ht="14.25" customHeight="1">
      <c r="C2901" s="9" t="s">
        <v>1384</v>
      </c>
      <c r="D2901" s="9" t="s">
        <v>3113</v>
      </c>
      <c r="E2901" s="9" t="s">
        <v>3103</v>
      </c>
      <c r="F2901" s="9" t="s">
        <v>336</v>
      </c>
      <c r="H2901" s="9"/>
    </row>
    <row r="2902" ht="14.25" customHeight="1">
      <c r="C2902" s="9" t="s">
        <v>1384</v>
      </c>
      <c r="D2902" s="9" t="s">
        <v>3113</v>
      </c>
      <c r="E2902" s="9" t="s">
        <v>3103</v>
      </c>
      <c r="F2902" s="9" t="s">
        <v>235</v>
      </c>
      <c r="H2902" s="9"/>
    </row>
    <row r="2903" ht="14.25" customHeight="1">
      <c r="C2903" s="9" t="s">
        <v>1384</v>
      </c>
      <c r="D2903" s="9" t="s">
        <v>3113</v>
      </c>
      <c r="E2903" s="9" t="s">
        <v>3103</v>
      </c>
      <c r="F2903" s="9" t="s">
        <v>327</v>
      </c>
      <c r="H2903" s="9"/>
    </row>
    <row r="2904" ht="14.25" customHeight="1">
      <c r="C2904" s="9" t="s">
        <v>1384</v>
      </c>
      <c r="D2904" s="9" t="s">
        <v>3113</v>
      </c>
      <c r="E2904" s="9" t="s">
        <v>3103</v>
      </c>
      <c r="F2904" s="9" t="s">
        <v>264</v>
      </c>
      <c r="H2904" s="9"/>
    </row>
    <row r="2905" ht="14.25" customHeight="1">
      <c r="C2905" s="9" t="s">
        <v>1384</v>
      </c>
      <c r="D2905" s="9" t="s">
        <v>3114</v>
      </c>
      <c r="E2905" s="9" t="s">
        <v>3103</v>
      </c>
      <c r="F2905" s="9" t="s">
        <v>474</v>
      </c>
      <c r="H2905" s="9"/>
    </row>
    <row r="2906" ht="14.25" customHeight="1">
      <c r="C2906" s="9" t="s">
        <v>1384</v>
      </c>
      <c r="D2906" s="9" t="s">
        <v>3114</v>
      </c>
      <c r="E2906" s="9" t="s">
        <v>3103</v>
      </c>
      <c r="F2906" s="9" t="s">
        <v>284</v>
      </c>
      <c r="H2906" s="9"/>
    </row>
    <row r="2907" ht="14.25" customHeight="1">
      <c r="C2907" s="9" t="s">
        <v>1384</v>
      </c>
      <c r="D2907" s="9" t="s">
        <v>3114</v>
      </c>
      <c r="E2907" s="9" t="s">
        <v>3103</v>
      </c>
      <c r="F2907" s="9" t="s">
        <v>493</v>
      </c>
      <c r="H2907" s="9"/>
    </row>
    <row r="2908" ht="14.25" customHeight="1">
      <c r="C2908" s="9" t="s">
        <v>1384</v>
      </c>
      <c r="D2908" s="9" t="s">
        <v>3114</v>
      </c>
      <c r="E2908" s="9" t="s">
        <v>3103</v>
      </c>
      <c r="F2908" s="9" t="s">
        <v>450</v>
      </c>
      <c r="H2908" s="9"/>
    </row>
    <row r="2909" ht="14.25" customHeight="1">
      <c r="C2909" s="9" t="s">
        <v>1384</v>
      </c>
      <c r="D2909" s="9" t="s">
        <v>3114</v>
      </c>
      <c r="E2909" s="9" t="s">
        <v>3103</v>
      </c>
      <c r="F2909" s="9" t="s">
        <v>395</v>
      </c>
      <c r="H2909" s="9"/>
    </row>
    <row r="2910" ht="14.25" customHeight="1">
      <c r="C2910" s="9" t="s">
        <v>1384</v>
      </c>
      <c r="D2910" s="9" t="s">
        <v>3114</v>
      </c>
      <c r="E2910" s="9" t="s">
        <v>3103</v>
      </c>
      <c r="F2910" s="9" t="s">
        <v>276</v>
      </c>
      <c r="H2910" s="9"/>
    </row>
    <row r="2911" ht="14.25" customHeight="1">
      <c r="C2911" s="9" t="s">
        <v>1384</v>
      </c>
      <c r="D2911" s="9" t="s">
        <v>3114</v>
      </c>
      <c r="E2911" s="9" t="s">
        <v>3103</v>
      </c>
      <c r="F2911" s="9" t="s">
        <v>431</v>
      </c>
      <c r="H2911" s="9"/>
    </row>
    <row r="2912" ht="14.25" customHeight="1">
      <c r="C2912" s="9" t="s">
        <v>1384</v>
      </c>
      <c r="D2912" s="9" t="s">
        <v>3114</v>
      </c>
      <c r="E2912" s="9" t="s">
        <v>3103</v>
      </c>
      <c r="F2912" s="9" t="s">
        <v>1272</v>
      </c>
      <c r="H2912" s="9"/>
    </row>
    <row r="2913" ht="14.25" customHeight="1">
      <c r="C2913" s="9" t="s">
        <v>1384</v>
      </c>
      <c r="D2913" s="9" t="s">
        <v>3114</v>
      </c>
      <c r="E2913" s="9" t="s">
        <v>3103</v>
      </c>
      <c r="F2913" s="9" t="s">
        <v>420</v>
      </c>
      <c r="H2913" s="9"/>
    </row>
    <row r="2914" ht="14.25" customHeight="1">
      <c r="C2914" s="9" t="s">
        <v>1384</v>
      </c>
      <c r="D2914" s="9" t="s">
        <v>3114</v>
      </c>
      <c r="E2914" s="9" t="s">
        <v>3103</v>
      </c>
      <c r="F2914" s="9" t="s">
        <v>482</v>
      </c>
      <c r="H2914" s="9"/>
    </row>
    <row r="2915" ht="14.25" customHeight="1">
      <c r="C2915" s="9" t="s">
        <v>1384</v>
      </c>
      <c r="D2915" s="9" t="s">
        <v>3114</v>
      </c>
      <c r="E2915" s="9" t="s">
        <v>3103</v>
      </c>
      <c r="F2915" s="9" t="s">
        <v>136</v>
      </c>
      <c r="H2915" s="9"/>
    </row>
    <row r="2916" ht="14.25" customHeight="1">
      <c r="C2916" s="9" t="s">
        <v>1384</v>
      </c>
      <c r="D2916" s="9" t="s">
        <v>3114</v>
      </c>
      <c r="E2916" s="9" t="s">
        <v>3103</v>
      </c>
      <c r="F2916" s="9" t="s">
        <v>408</v>
      </c>
      <c r="H2916" s="9"/>
    </row>
    <row r="2917" ht="14.25" customHeight="1">
      <c r="C2917" s="9" t="s">
        <v>1384</v>
      </c>
      <c r="D2917" s="9" t="s">
        <v>3114</v>
      </c>
      <c r="E2917" s="9" t="s">
        <v>3103</v>
      </c>
      <c r="F2917" s="9" t="s">
        <v>2589</v>
      </c>
      <c r="H2917" s="9"/>
    </row>
    <row r="2918" ht="14.25" customHeight="1">
      <c r="C2918" s="9" t="s">
        <v>1384</v>
      </c>
      <c r="D2918" s="9" t="s">
        <v>3114</v>
      </c>
      <c r="E2918" s="9" t="s">
        <v>3103</v>
      </c>
      <c r="F2918" s="9" t="s">
        <v>197</v>
      </c>
      <c r="H2918" s="9"/>
    </row>
    <row r="2919" ht="14.25" customHeight="1">
      <c r="C2919" s="9" t="s">
        <v>1384</v>
      </c>
      <c r="D2919" s="9" t="s">
        <v>3114</v>
      </c>
      <c r="E2919" s="9" t="s">
        <v>3103</v>
      </c>
      <c r="F2919" s="9" t="s">
        <v>172</v>
      </c>
      <c r="H2919" s="9"/>
    </row>
    <row r="2920" ht="14.25" customHeight="1">
      <c r="C2920" s="9" t="s">
        <v>1384</v>
      </c>
      <c r="D2920" s="9" t="s">
        <v>3114</v>
      </c>
      <c r="E2920" s="9" t="s">
        <v>3103</v>
      </c>
      <c r="F2920" s="9" t="s">
        <v>98</v>
      </c>
      <c r="H2920" s="9"/>
    </row>
    <row r="2921" ht="14.25" customHeight="1">
      <c r="C2921" s="9" t="s">
        <v>1384</v>
      </c>
      <c r="D2921" s="9" t="s">
        <v>3114</v>
      </c>
      <c r="E2921" s="9" t="s">
        <v>3103</v>
      </c>
      <c r="F2921" s="9" t="s">
        <v>341</v>
      </c>
      <c r="H2921" s="9"/>
    </row>
    <row r="2922" ht="14.25" customHeight="1">
      <c r="C2922" s="9" t="s">
        <v>1384</v>
      </c>
      <c r="D2922" s="9" t="s">
        <v>3114</v>
      </c>
      <c r="E2922" s="9" t="s">
        <v>3103</v>
      </c>
      <c r="F2922" s="9" t="s">
        <v>367</v>
      </c>
      <c r="H2922" s="9"/>
    </row>
    <row r="2923" ht="14.25" customHeight="1">
      <c r="C2923" s="9" t="s">
        <v>1384</v>
      </c>
      <c r="D2923" s="9" t="s">
        <v>3114</v>
      </c>
      <c r="E2923" s="9" t="s">
        <v>3103</v>
      </c>
      <c r="F2923" s="9" t="s">
        <v>529</v>
      </c>
      <c r="H2923" s="9"/>
    </row>
    <row r="2924" ht="14.25" customHeight="1">
      <c r="C2924" s="9" t="s">
        <v>1384</v>
      </c>
      <c r="D2924" s="9" t="s">
        <v>3114</v>
      </c>
      <c r="E2924" s="9" t="s">
        <v>3103</v>
      </c>
      <c r="F2924" s="9" t="s">
        <v>282</v>
      </c>
      <c r="H2924" s="9"/>
    </row>
    <row r="2925" ht="14.25" customHeight="1">
      <c r="C2925" s="9" t="s">
        <v>1384</v>
      </c>
      <c r="D2925" s="9" t="s">
        <v>3114</v>
      </c>
      <c r="E2925" s="9" t="s">
        <v>3103</v>
      </c>
      <c r="F2925" s="9" t="s">
        <v>321</v>
      </c>
      <c r="H2925" s="9"/>
    </row>
    <row r="2926" ht="14.25" customHeight="1">
      <c r="C2926" s="9" t="s">
        <v>1384</v>
      </c>
      <c r="D2926" s="9" t="s">
        <v>3114</v>
      </c>
      <c r="E2926" s="9" t="s">
        <v>3103</v>
      </c>
      <c r="F2926" s="9" t="s">
        <v>272</v>
      </c>
      <c r="H2926" s="9"/>
    </row>
    <row r="2927" ht="14.25" customHeight="1">
      <c r="C2927" s="9" t="s">
        <v>1384</v>
      </c>
      <c r="D2927" s="9" t="s">
        <v>3114</v>
      </c>
      <c r="E2927" s="9" t="s">
        <v>3103</v>
      </c>
      <c r="F2927" s="9" t="s">
        <v>517</v>
      </c>
      <c r="H2927" s="9"/>
    </row>
    <row r="2928" ht="14.25" customHeight="1">
      <c r="C2928" s="9" t="s">
        <v>1384</v>
      </c>
      <c r="D2928" s="9" t="s">
        <v>3114</v>
      </c>
      <c r="E2928" s="9" t="s">
        <v>3103</v>
      </c>
      <c r="F2928" s="9" t="s">
        <v>2593</v>
      </c>
      <c r="H2928" s="9"/>
    </row>
    <row r="2929" ht="14.25" customHeight="1">
      <c r="C2929" s="9" t="s">
        <v>1384</v>
      </c>
      <c r="D2929" s="9" t="s">
        <v>3114</v>
      </c>
      <c r="E2929" s="9" t="s">
        <v>3103</v>
      </c>
      <c r="F2929" s="9" t="s">
        <v>507</v>
      </c>
      <c r="H2929" s="9"/>
    </row>
    <row r="2930" ht="14.25" customHeight="1">
      <c r="C2930" s="9" t="s">
        <v>1384</v>
      </c>
      <c r="D2930" s="9" t="s">
        <v>3114</v>
      </c>
      <c r="E2930" s="9" t="s">
        <v>3103</v>
      </c>
      <c r="F2930" s="9" t="s">
        <v>336</v>
      </c>
      <c r="H2930" s="9"/>
    </row>
    <row r="2931" ht="14.25" customHeight="1">
      <c r="C2931" s="9" t="s">
        <v>1384</v>
      </c>
      <c r="D2931" s="9" t="s">
        <v>3114</v>
      </c>
      <c r="E2931" s="9" t="s">
        <v>3103</v>
      </c>
      <c r="F2931" s="9" t="s">
        <v>235</v>
      </c>
      <c r="H2931" s="9"/>
    </row>
    <row r="2932" ht="14.25" customHeight="1">
      <c r="C2932" s="9" t="s">
        <v>1384</v>
      </c>
      <c r="D2932" s="9" t="s">
        <v>3114</v>
      </c>
      <c r="E2932" s="9" t="s">
        <v>3103</v>
      </c>
      <c r="F2932" s="9" t="s">
        <v>327</v>
      </c>
      <c r="H2932" s="9"/>
    </row>
    <row r="2933" ht="14.25" customHeight="1">
      <c r="C2933" s="9" t="s">
        <v>1384</v>
      </c>
      <c r="D2933" s="9" t="s">
        <v>3114</v>
      </c>
      <c r="E2933" s="9" t="s">
        <v>3103</v>
      </c>
      <c r="F2933" s="9" t="s">
        <v>264</v>
      </c>
      <c r="H2933" s="9"/>
    </row>
    <row r="2934" ht="14.25" customHeight="1">
      <c r="C2934" s="9" t="s">
        <v>1384</v>
      </c>
      <c r="D2934" s="9" t="s">
        <v>3115</v>
      </c>
      <c r="E2934" s="9" t="s">
        <v>3103</v>
      </c>
      <c r="F2934" s="9" t="s">
        <v>474</v>
      </c>
      <c r="H2934" s="9"/>
    </row>
    <row r="2935" ht="14.25" customHeight="1">
      <c r="C2935" s="9" t="s">
        <v>1384</v>
      </c>
      <c r="D2935" s="9" t="s">
        <v>3115</v>
      </c>
      <c r="E2935" s="9" t="s">
        <v>3103</v>
      </c>
      <c r="F2935" s="9" t="s">
        <v>284</v>
      </c>
      <c r="H2935" s="9"/>
    </row>
    <row r="2936" ht="14.25" customHeight="1">
      <c r="C2936" s="9" t="s">
        <v>1384</v>
      </c>
      <c r="D2936" s="9" t="s">
        <v>3115</v>
      </c>
      <c r="E2936" s="9" t="s">
        <v>3103</v>
      </c>
      <c r="F2936" s="9" t="s">
        <v>493</v>
      </c>
      <c r="H2936" s="9"/>
    </row>
    <row r="2937" ht="14.25" customHeight="1">
      <c r="C2937" s="9" t="s">
        <v>1384</v>
      </c>
      <c r="D2937" s="9" t="s">
        <v>3115</v>
      </c>
      <c r="E2937" s="9" t="s">
        <v>3103</v>
      </c>
      <c r="F2937" s="9" t="s">
        <v>450</v>
      </c>
      <c r="H2937" s="9"/>
    </row>
    <row r="2938" ht="14.25" customHeight="1">
      <c r="C2938" s="9" t="s">
        <v>1384</v>
      </c>
      <c r="D2938" s="9" t="s">
        <v>3115</v>
      </c>
      <c r="E2938" s="9" t="s">
        <v>3103</v>
      </c>
      <c r="F2938" s="9" t="s">
        <v>395</v>
      </c>
      <c r="H2938" s="9"/>
    </row>
    <row r="2939" ht="14.25" customHeight="1">
      <c r="C2939" s="9" t="s">
        <v>1384</v>
      </c>
      <c r="D2939" s="9" t="s">
        <v>3115</v>
      </c>
      <c r="E2939" s="9" t="s">
        <v>3103</v>
      </c>
      <c r="F2939" s="9" t="s">
        <v>276</v>
      </c>
      <c r="H2939" s="9"/>
    </row>
    <row r="2940" ht="14.25" customHeight="1">
      <c r="C2940" s="9" t="s">
        <v>1384</v>
      </c>
      <c r="D2940" s="9" t="s">
        <v>3115</v>
      </c>
      <c r="E2940" s="9" t="s">
        <v>3103</v>
      </c>
      <c r="F2940" s="9" t="s">
        <v>431</v>
      </c>
      <c r="H2940" s="9"/>
    </row>
    <row r="2941" ht="14.25" customHeight="1">
      <c r="C2941" s="9" t="s">
        <v>1384</v>
      </c>
      <c r="D2941" s="9" t="s">
        <v>3115</v>
      </c>
      <c r="E2941" s="9" t="s">
        <v>3103</v>
      </c>
      <c r="F2941" s="9" t="s">
        <v>1272</v>
      </c>
      <c r="H2941" s="9"/>
    </row>
    <row r="2942" ht="14.25" customHeight="1">
      <c r="C2942" s="9" t="s">
        <v>1384</v>
      </c>
      <c r="D2942" s="9" t="s">
        <v>3115</v>
      </c>
      <c r="E2942" s="9" t="s">
        <v>3103</v>
      </c>
      <c r="F2942" s="9" t="s">
        <v>420</v>
      </c>
      <c r="H2942" s="9"/>
    </row>
    <row r="2943" ht="14.25" customHeight="1">
      <c r="C2943" s="9" t="s">
        <v>1384</v>
      </c>
      <c r="D2943" s="9" t="s">
        <v>3115</v>
      </c>
      <c r="E2943" s="9" t="s">
        <v>3103</v>
      </c>
      <c r="F2943" s="9" t="s">
        <v>482</v>
      </c>
      <c r="H2943" s="9"/>
    </row>
    <row r="2944" ht="14.25" customHeight="1">
      <c r="C2944" s="9" t="s">
        <v>1384</v>
      </c>
      <c r="D2944" s="9" t="s">
        <v>3115</v>
      </c>
      <c r="E2944" s="9" t="s">
        <v>3103</v>
      </c>
      <c r="F2944" s="9" t="s">
        <v>136</v>
      </c>
      <c r="H2944" s="9"/>
    </row>
    <row r="2945" ht="14.25" customHeight="1">
      <c r="C2945" s="9" t="s">
        <v>1384</v>
      </c>
      <c r="D2945" s="9" t="s">
        <v>3115</v>
      </c>
      <c r="E2945" s="9" t="s">
        <v>3103</v>
      </c>
      <c r="F2945" s="9" t="s">
        <v>408</v>
      </c>
      <c r="H2945" s="9"/>
    </row>
    <row r="2946" ht="14.25" customHeight="1">
      <c r="C2946" s="9" t="s">
        <v>1384</v>
      </c>
      <c r="D2946" s="9" t="s">
        <v>3115</v>
      </c>
      <c r="E2946" s="9" t="s">
        <v>3103</v>
      </c>
      <c r="F2946" s="9" t="s">
        <v>2589</v>
      </c>
      <c r="H2946" s="9"/>
    </row>
    <row r="2947" ht="14.25" customHeight="1">
      <c r="C2947" s="9" t="s">
        <v>1384</v>
      </c>
      <c r="D2947" s="9" t="s">
        <v>3115</v>
      </c>
      <c r="E2947" s="9" t="s">
        <v>3103</v>
      </c>
      <c r="F2947" s="9" t="s">
        <v>197</v>
      </c>
      <c r="H2947" s="9"/>
    </row>
    <row r="2948" ht="14.25" customHeight="1">
      <c r="C2948" s="9" t="s">
        <v>1384</v>
      </c>
      <c r="D2948" s="9" t="s">
        <v>3115</v>
      </c>
      <c r="E2948" s="9" t="s">
        <v>3103</v>
      </c>
      <c r="F2948" s="9" t="s">
        <v>172</v>
      </c>
      <c r="H2948" s="9"/>
    </row>
    <row r="2949" ht="14.25" customHeight="1">
      <c r="C2949" s="9" t="s">
        <v>1384</v>
      </c>
      <c r="D2949" s="9" t="s">
        <v>3115</v>
      </c>
      <c r="E2949" s="9" t="s">
        <v>3103</v>
      </c>
      <c r="F2949" s="9" t="s">
        <v>98</v>
      </c>
      <c r="H2949" s="9"/>
    </row>
    <row r="2950" ht="14.25" customHeight="1">
      <c r="C2950" s="9" t="s">
        <v>1384</v>
      </c>
      <c r="D2950" s="9" t="s">
        <v>3115</v>
      </c>
      <c r="E2950" s="9" t="s">
        <v>3103</v>
      </c>
      <c r="F2950" s="9" t="s">
        <v>341</v>
      </c>
      <c r="H2950" s="9"/>
    </row>
    <row r="2951" ht="14.25" customHeight="1">
      <c r="C2951" s="9" t="s">
        <v>1384</v>
      </c>
      <c r="D2951" s="9" t="s">
        <v>3115</v>
      </c>
      <c r="E2951" s="9" t="s">
        <v>3103</v>
      </c>
      <c r="F2951" s="9" t="s">
        <v>367</v>
      </c>
      <c r="H2951" s="9"/>
    </row>
    <row r="2952" ht="14.25" customHeight="1">
      <c r="C2952" s="9" t="s">
        <v>1384</v>
      </c>
      <c r="D2952" s="9" t="s">
        <v>3115</v>
      </c>
      <c r="E2952" s="9" t="s">
        <v>3103</v>
      </c>
      <c r="F2952" s="9" t="s">
        <v>529</v>
      </c>
      <c r="H2952" s="9"/>
    </row>
    <row r="2953" ht="14.25" customHeight="1">
      <c r="C2953" s="9" t="s">
        <v>1384</v>
      </c>
      <c r="D2953" s="9" t="s">
        <v>3115</v>
      </c>
      <c r="E2953" s="9" t="s">
        <v>3103</v>
      </c>
      <c r="F2953" s="9" t="s">
        <v>282</v>
      </c>
      <c r="H2953" s="9"/>
    </row>
    <row r="2954" ht="14.25" customHeight="1">
      <c r="C2954" s="9" t="s">
        <v>1384</v>
      </c>
      <c r="D2954" s="9" t="s">
        <v>3115</v>
      </c>
      <c r="E2954" s="9" t="s">
        <v>3103</v>
      </c>
      <c r="F2954" s="9" t="s">
        <v>321</v>
      </c>
      <c r="H2954" s="9"/>
    </row>
    <row r="2955" ht="14.25" customHeight="1">
      <c r="C2955" s="9" t="s">
        <v>1384</v>
      </c>
      <c r="D2955" s="9" t="s">
        <v>3115</v>
      </c>
      <c r="E2955" s="9" t="s">
        <v>3103</v>
      </c>
      <c r="F2955" s="9" t="s">
        <v>272</v>
      </c>
      <c r="H2955" s="9"/>
    </row>
    <row r="2956" ht="14.25" customHeight="1">
      <c r="C2956" s="9" t="s">
        <v>1384</v>
      </c>
      <c r="D2956" s="9" t="s">
        <v>3115</v>
      </c>
      <c r="E2956" s="9" t="s">
        <v>3103</v>
      </c>
      <c r="F2956" s="9" t="s">
        <v>517</v>
      </c>
      <c r="H2956" s="9"/>
    </row>
    <row r="2957" ht="14.25" customHeight="1">
      <c r="C2957" s="9" t="s">
        <v>1384</v>
      </c>
      <c r="D2957" s="9" t="s">
        <v>3115</v>
      </c>
      <c r="E2957" s="9" t="s">
        <v>3103</v>
      </c>
      <c r="F2957" s="9" t="s">
        <v>2593</v>
      </c>
      <c r="H2957" s="9"/>
    </row>
    <row r="2958" ht="14.25" customHeight="1">
      <c r="C2958" s="9" t="s">
        <v>1384</v>
      </c>
      <c r="D2958" s="9" t="s">
        <v>3115</v>
      </c>
      <c r="E2958" s="9" t="s">
        <v>3103</v>
      </c>
      <c r="F2958" s="9" t="s">
        <v>507</v>
      </c>
      <c r="H2958" s="9"/>
    </row>
    <row r="2959" ht="14.25" customHeight="1">
      <c r="C2959" s="9" t="s">
        <v>1384</v>
      </c>
      <c r="D2959" s="9" t="s">
        <v>3115</v>
      </c>
      <c r="E2959" s="9" t="s">
        <v>3103</v>
      </c>
      <c r="F2959" s="9" t="s">
        <v>336</v>
      </c>
      <c r="H2959" s="9"/>
    </row>
    <row r="2960" ht="14.25" customHeight="1">
      <c r="C2960" s="9" t="s">
        <v>1384</v>
      </c>
      <c r="D2960" s="9" t="s">
        <v>3115</v>
      </c>
      <c r="E2960" s="9" t="s">
        <v>3103</v>
      </c>
      <c r="F2960" s="9" t="s">
        <v>235</v>
      </c>
      <c r="H2960" s="9"/>
    </row>
    <row r="2961" ht="14.25" customHeight="1">
      <c r="C2961" s="9" t="s">
        <v>1384</v>
      </c>
      <c r="D2961" s="9" t="s">
        <v>3115</v>
      </c>
      <c r="E2961" s="9" t="s">
        <v>3103</v>
      </c>
      <c r="F2961" s="9" t="s">
        <v>327</v>
      </c>
      <c r="H2961" s="9"/>
    </row>
    <row r="2962" ht="14.25" customHeight="1">
      <c r="C2962" s="9" t="s">
        <v>1384</v>
      </c>
      <c r="D2962" s="9" t="s">
        <v>3115</v>
      </c>
      <c r="E2962" s="9" t="s">
        <v>3103</v>
      </c>
      <c r="F2962" s="9" t="s">
        <v>264</v>
      </c>
      <c r="H2962" s="9"/>
    </row>
    <row r="2963" ht="14.25" customHeight="1">
      <c r="C2963" s="9" t="s">
        <v>1384</v>
      </c>
      <c r="D2963" s="9" t="s">
        <v>3116</v>
      </c>
      <c r="E2963" s="9" t="s">
        <v>3103</v>
      </c>
      <c r="F2963" s="9" t="s">
        <v>474</v>
      </c>
      <c r="H2963" s="9"/>
    </row>
    <row r="2964" ht="14.25" customHeight="1">
      <c r="C2964" s="9" t="s">
        <v>1384</v>
      </c>
      <c r="D2964" s="9" t="s">
        <v>3116</v>
      </c>
      <c r="E2964" s="9" t="s">
        <v>3103</v>
      </c>
      <c r="F2964" s="9" t="s">
        <v>284</v>
      </c>
      <c r="H2964" s="9"/>
    </row>
    <row r="2965" ht="14.25" customHeight="1">
      <c r="C2965" s="9" t="s">
        <v>1384</v>
      </c>
      <c r="D2965" s="9" t="s">
        <v>3116</v>
      </c>
      <c r="E2965" s="9" t="s">
        <v>3103</v>
      </c>
      <c r="F2965" s="9" t="s">
        <v>493</v>
      </c>
      <c r="H2965" s="9"/>
    </row>
    <row r="2966" ht="14.25" customHeight="1">
      <c r="C2966" s="9" t="s">
        <v>1384</v>
      </c>
      <c r="D2966" s="9" t="s">
        <v>3116</v>
      </c>
      <c r="E2966" s="9" t="s">
        <v>3103</v>
      </c>
      <c r="F2966" s="9" t="s">
        <v>450</v>
      </c>
      <c r="H2966" s="9"/>
    </row>
    <row r="2967" ht="14.25" customHeight="1">
      <c r="C2967" s="9" t="s">
        <v>1384</v>
      </c>
      <c r="D2967" s="9" t="s">
        <v>3116</v>
      </c>
      <c r="E2967" s="9" t="s">
        <v>3103</v>
      </c>
      <c r="F2967" s="9" t="s">
        <v>395</v>
      </c>
      <c r="H2967" s="9"/>
    </row>
    <row r="2968" ht="14.25" customHeight="1">
      <c r="C2968" s="9" t="s">
        <v>1384</v>
      </c>
      <c r="D2968" s="9" t="s">
        <v>3116</v>
      </c>
      <c r="E2968" s="9" t="s">
        <v>3103</v>
      </c>
      <c r="F2968" s="9" t="s">
        <v>276</v>
      </c>
      <c r="H2968" s="9"/>
    </row>
    <row r="2969" ht="14.25" customHeight="1">
      <c r="C2969" s="9" t="s">
        <v>1384</v>
      </c>
      <c r="D2969" s="9" t="s">
        <v>3116</v>
      </c>
      <c r="E2969" s="9" t="s">
        <v>3103</v>
      </c>
      <c r="F2969" s="9" t="s">
        <v>431</v>
      </c>
      <c r="H2969" s="9"/>
    </row>
    <row r="2970" ht="14.25" customHeight="1">
      <c r="C2970" s="9" t="s">
        <v>1384</v>
      </c>
      <c r="D2970" s="9" t="s">
        <v>3116</v>
      </c>
      <c r="E2970" s="9" t="s">
        <v>3103</v>
      </c>
      <c r="F2970" s="9" t="s">
        <v>1272</v>
      </c>
      <c r="H2970" s="9"/>
    </row>
    <row r="2971" ht="14.25" customHeight="1">
      <c r="C2971" s="9" t="s">
        <v>1384</v>
      </c>
      <c r="D2971" s="9" t="s">
        <v>3116</v>
      </c>
      <c r="E2971" s="9" t="s">
        <v>3103</v>
      </c>
      <c r="F2971" s="9" t="s">
        <v>420</v>
      </c>
      <c r="H2971" s="9"/>
    </row>
    <row r="2972" ht="14.25" customHeight="1">
      <c r="C2972" s="9" t="s">
        <v>1384</v>
      </c>
      <c r="D2972" s="9" t="s">
        <v>3116</v>
      </c>
      <c r="E2972" s="9" t="s">
        <v>3103</v>
      </c>
      <c r="F2972" s="9" t="s">
        <v>482</v>
      </c>
      <c r="H2972" s="9"/>
    </row>
    <row r="2973" ht="14.25" customHeight="1">
      <c r="C2973" s="9" t="s">
        <v>1384</v>
      </c>
      <c r="D2973" s="9" t="s">
        <v>3116</v>
      </c>
      <c r="E2973" s="9" t="s">
        <v>3103</v>
      </c>
      <c r="F2973" s="9" t="s">
        <v>136</v>
      </c>
      <c r="H2973" s="9"/>
    </row>
    <row r="2974" ht="14.25" customHeight="1">
      <c r="C2974" s="9" t="s">
        <v>1384</v>
      </c>
      <c r="D2974" s="9" t="s">
        <v>3116</v>
      </c>
      <c r="E2974" s="9" t="s">
        <v>3103</v>
      </c>
      <c r="F2974" s="9" t="s">
        <v>408</v>
      </c>
      <c r="H2974" s="9"/>
    </row>
    <row r="2975" ht="14.25" customHeight="1">
      <c r="C2975" s="9" t="s">
        <v>1384</v>
      </c>
      <c r="D2975" s="9" t="s">
        <v>3116</v>
      </c>
      <c r="E2975" s="9" t="s">
        <v>3103</v>
      </c>
      <c r="F2975" s="9" t="s">
        <v>2589</v>
      </c>
      <c r="H2975" s="9"/>
    </row>
    <row r="2976" ht="14.25" customHeight="1">
      <c r="C2976" s="9" t="s">
        <v>1384</v>
      </c>
      <c r="D2976" s="9" t="s">
        <v>3116</v>
      </c>
      <c r="E2976" s="9" t="s">
        <v>3103</v>
      </c>
      <c r="F2976" s="9" t="s">
        <v>197</v>
      </c>
      <c r="H2976" s="9"/>
    </row>
    <row r="2977" ht="14.25" customHeight="1">
      <c r="C2977" s="9" t="s">
        <v>1384</v>
      </c>
      <c r="D2977" s="9" t="s">
        <v>3116</v>
      </c>
      <c r="E2977" s="9" t="s">
        <v>3103</v>
      </c>
      <c r="F2977" s="9" t="s">
        <v>172</v>
      </c>
      <c r="H2977" s="9"/>
    </row>
    <row r="2978" ht="14.25" customHeight="1">
      <c r="C2978" s="9" t="s">
        <v>1384</v>
      </c>
      <c r="D2978" s="9" t="s">
        <v>3116</v>
      </c>
      <c r="E2978" s="9" t="s">
        <v>3103</v>
      </c>
      <c r="F2978" s="9" t="s">
        <v>98</v>
      </c>
      <c r="H2978" s="9"/>
    </row>
    <row r="2979" ht="14.25" customHeight="1">
      <c r="C2979" s="9" t="s">
        <v>1384</v>
      </c>
      <c r="D2979" s="9" t="s">
        <v>3116</v>
      </c>
      <c r="E2979" s="9" t="s">
        <v>3103</v>
      </c>
      <c r="F2979" s="9" t="s">
        <v>341</v>
      </c>
      <c r="H2979" s="9"/>
    </row>
    <row r="2980" ht="14.25" customHeight="1">
      <c r="C2980" s="9" t="s">
        <v>1384</v>
      </c>
      <c r="D2980" s="9" t="s">
        <v>3116</v>
      </c>
      <c r="E2980" s="9" t="s">
        <v>3103</v>
      </c>
      <c r="F2980" s="9" t="s">
        <v>367</v>
      </c>
      <c r="H2980" s="9"/>
    </row>
    <row r="2981" ht="14.25" customHeight="1">
      <c r="C2981" s="9" t="s">
        <v>1384</v>
      </c>
      <c r="D2981" s="9" t="s">
        <v>3116</v>
      </c>
      <c r="E2981" s="9" t="s">
        <v>3103</v>
      </c>
      <c r="F2981" s="9" t="s">
        <v>529</v>
      </c>
      <c r="H2981" s="9"/>
    </row>
    <row r="2982" ht="14.25" customHeight="1">
      <c r="C2982" s="9" t="s">
        <v>1384</v>
      </c>
      <c r="D2982" s="9" t="s">
        <v>3116</v>
      </c>
      <c r="E2982" s="9" t="s">
        <v>3103</v>
      </c>
      <c r="F2982" s="9" t="s">
        <v>282</v>
      </c>
      <c r="H2982" s="9"/>
    </row>
    <row r="2983" ht="14.25" customHeight="1">
      <c r="C2983" s="9" t="s">
        <v>1384</v>
      </c>
      <c r="D2983" s="9" t="s">
        <v>3116</v>
      </c>
      <c r="E2983" s="9" t="s">
        <v>3103</v>
      </c>
      <c r="F2983" s="9" t="s">
        <v>321</v>
      </c>
      <c r="H2983" s="9"/>
    </row>
    <row r="2984" ht="14.25" customHeight="1">
      <c r="C2984" s="9" t="s">
        <v>1384</v>
      </c>
      <c r="D2984" s="9" t="s">
        <v>3116</v>
      </c>
      <c r="E2984" s="9" t="s">
        <v>3103</v>
      </c>
      <c r="F2984" s="9" t="s">
        <v>272</v>
      </c>
      <c r="H2984" s="9"/>
    </row>
    <row r="2985" ht="14.25" customHeight="1">
      <c r="C2985" s="9" t="s">
        <v>1384</v>
      </c>
      <c r="D2985" s="9" t="s">
        <v>3116</v>
      </c>
      <c r="E2985" s="9" t="s">
        <v>3103</v>
      </c>
      <c r="F2985" s="9" t="s">
        <v>517</v>
      </c>
      <c r="H2985" s="9"/>
    </row>
    <row r="2986" ht="14.25" customHeight="1">
      <c r="C2986" s="9" t="s">
        <v>1384</v>
      </c>
      <c r="D2986" s="9" t="s">
        <v>3116</v>
      </c>
      <c r="E2986" s="9" t="s">
        <v>3103</v>
      </c>
      <c r="F2986" s="9" t="s">
        <v>2593</v>
      </c>
      <c r="H2986" s="9"/>
    </row>
    <row r="2987" ht="14.25" customHeight="1">
      <c r="C2987" s="9" t="s">
        <v>1384</v>
      </c>
      <c r="D2987" s="9" t="s">
        <v>3116</v>
      </c>
      <c r="E2987" s="9" t="s">
        <v>3103</v>
      </c>
      <c r="F2987" s="9" t="s">
        <v>507</v>
      </c>
      <c r="H2987" s="9"/>
    </row>
    <row r="2988" ht="14.25" customHeight="1">
      <c r="C2988" s="9" t="s">
        <v>1384</v>
      </c>
      <c r="D2988" s="9" t="s">
        <v>3116</v>
      </c>
      <c r="E2988" s="9" t="s">
        <v>3103</v>
      </c>
      <c r="F2988" s="9" t="s">
        <v>336</v>
      </c>
      <c r="H2988" s="9"/>
    </row>
    <row r="2989" ht="14.25" customHeight="1">
      <c r="C2989" s="9" t="s">
        <v>1384</v>
      </c>
      <c r="D2989" s="9" t="s">
        <v>3116</v>
      </c>
      <c r="E2989" s="9" t="s">
        <v>3103</v>
      </c>
      <c r="F2989" s="9" t="s">
        <v>235</v>
      </c>
      <c r="H2989" s="9"/>
    </row>
    <row r="2990" ht="14.25" customHeight="1">
      <c r="C2990" s="9" t="s">
        <v>1384</v>
      </c>
      <c r="D2990" s="9" t="s">
        <v>3116</v>
      </c>
      <c r="E2990" s="9" t="s">
        <v>3103</v>
      </c>
      <c r="F2990" s="9" t="s">
        <v>327</v>
      </c>
      <c r="H2990" s="9"/>
    </row>
    <row r="2991" ht="14.25" customHeight="1">
      <c r="C2991" s="9" t="s">
        <v>1384</v>
      </c>
      <c r="D2991" s="9" t="s">
        <v>3116</v>
      </c>
      <c r="E2991" s="9" t="s">
        <v>3103</v>
      </c>
      <c r="F2991" s="9" t="s">
        <v>264</v>
      </c>
      <c r="H2991" s="9"/>
    </row>
    <row r="2992" ht="14.25" customHeight="1">
      <c r="C2992" s="9" t="s">
        <v>3117</v>
      </c>
      <c r="D2992" s="9" t="s">
        <v>3118</v>
      </c>
      <c r="E2992" s="9" t="s">
        <v>3103</v>
      </c>
      <c r="F2992" s="9" t="s">
        <v>474</v>
      </c>
      <c r="H2992" s="9"/>
    </row>
    <row r="2993" ht="14.25" customHeight="1">
      <c r="C2993" s="9" t="s">
        <v>3117</v>
      </c>
      <c r="D2993" s="9" t="s">
        <v>3118</v>
      </c>
      <c r="E2993" s="9" t="s">
        <v>3103</v>
      </c>
      <c r="F2993" s="9" t="s">
        <v>284</v>
      </c>
      <c r="H2993" s="9"/>
    </row>
    <row r="2994" ht="14.25" customHeight="1">
      <c r="C2994" s="9" t="s">
        <v>3117</v>
      </c>
      <c r="D2994" s="9" t="s">
        <v>3118</v>
      </c>
      <c r="E2994" s="9" t="s">
        <v>3103</v>
      </c>
      <c r="F2994" s="9" t="s">
        <v>493</v>
      </c>
      <c r="H2994" s="9"/>
    </row>
    <row r="2995" ht="14.25" customHeight="1">
      <c r="C2995" s="9" t="s">
        <v>3117</v>
      </c>
      <c r="D2995" s="9" t="s">
        <v>3118</v>
      </c>
      <c r="E2995" s="9" t="s">
        <v>3103</v>
      </c>
      <c r="F2995" s="9" t="s">
        <v>450</v>
      </c>
      <c r="H2995" s="9"/>
    </row>
    <row r="2996" ht="14.25" customHeight="1">
      <c r="C2996" s="9" t="s">
        <v>3117</v>
      </c>
      <c r="D2996" s="9" t="s">
        <v>3118</v>
      </c>
      <c r="E2996" s="9" t="s">
        <v>3103</v>
      </c>
      <c r="F2996" s="9" t="s">
        <v>2296</v>
      </c>
      <c r="H2996" s="9"/>
    </row>
    <row r="2997" ht="14.25" customHeight="1">
      <c r="C2997" s="9" t="s">
        <v>3117</v>
      </c>
      <c r="D2997" s="9" t="s">
        <v>3118</v>
      </c>
      <c r="E2997" s="9" t="s">
        <v>3103</v>
      </c>
      <c r="F2997" s="9" t="s">
        <v>276</v>
      </c>
      <c r="H2997" s="9"/>
    </row>
    <row r="2998" ht="14.25" customHeight="1">
      <c r="C2998" s="9" t="s">
        <v>3117</v>
      </c>
      <c r="D2998" s="9" t="s">
        <v>3118</v>
      </c>
      <c r="E2998" s="9" t="s">
        <v>3103</v>
      </c>
      <c r="F2998" s="9" t="s">
        <v>431</v>
      </c>
      <c r="H2998" s="9"/>
    </row>
    <row r="2999" ht="14.25" customHeight="1">
      <c r="C2999" s="9" t="s">
        <v>3117</v>
      </c>
      <c r="D2999" s="9" t="s">
        <v>3118</v>
      </c>
      <c r="E2999" s="9" t="s">
        <v>3103</v>
      </c>
      <c r="F2999" s="9" t="s">
        <v>1272</v>
      </c>
      <c r="H2999" s="9"/>
    </row>
    <row r="3000" ht="14.25" customHeight="1">
      <c r="C3000" s="9" t="s">
        <v>3117</v>
      </c>
      <c r="D3000" s="9" t="s">
        <v>3118</v>
      </c>
      <c r="E3000" s="9" t="s">
        <v>3103</v>
      </c>
      <c r="F3000" s="9" t="s">
        <v>420</v>
      </c>
      <c r="H3000" s="9"/>
    </row>
    <row r="3001" ht="14.25" customHeight="1">
      <c r="C3001" s="9" t="s">
        <v>3117</v>
      </c>
      <c r="D3001" s="9" t="s">
        <v>3118</v>
      </c>
      <c r="E3001" s="9" t="s">
        <v>3103</v>
      </c>
      <c r="F3001" s="9" t="s">
        <v>482</v>
      </c>
      <c r="H3001" s="9"/>
    </row>
    <row r="3002" ht="14.25" customHeight="1">
      <c r="C3002" s="9" t="s">
        <v>3117</v>
      </c>
      <c r="D3002" s="9" t="s">
        <v>3118</v>
      </c>
      <c r="E3002" s="9" t="s">
        <v>3103</v>
      </c>
      <c r="F3002" s="9" t="s">
        <v>136</v>
      </c>
      <c r="H3002" s="9"/>
    </row>
    <row r="3003" ht="14.25" customHeight="1">
      <c r="C3003" s="9" t="s">
        <v>3117</v>
      </c>
      <c r="D3003" s="9" t="s">
        <v>3118</v>
      </c>
      <c r="E3003" s="9" t="s">
        <v>3103</v>
      </c>
      <c r="F3003" s="9" t="s">
        <v>408</v>
      </c>
      <c r="H3003" s="9"/>
    </row>
    <row r="3004" ht="14.25" customHeight="1">
      <c r="C3004" s="9" t="s">
        <v>3117</v>
      </c>
      <c r="D3004" s="9" t="s">
        <v>3118</v>
      </c>
      <c r="E3004" s="9" t="s">
        <v>3103</v>
      </c>
      <c r="F3004" s="9" t="s">
        <v>2301</v>
      </c>
      <c r="H3004" s="9"/>
    </row>
    <row r="3005" ht="14.25" customHeight="1">
      <c r="C3005" s="9" t="s">
        <v>3117</v>
      </c>
      <c r="D3005" s="9" t="s">
        <v>3118</v>
      </c>
      <c r="E3005" s="9" t="s">
        <v>3103</v>
      </c>
      <c r="F3005" s="9" t="s">
        <v>197</v>
      </c>
      <c r="H3005" s="9"/>
    </row>
    <row r="3006" ht="14.25" customHeight="1">
      <c r="C3006" s="9" t="s">
        <v>3117</v>
      </c>
      <c r="D3006" s="9" t="s">
        <v>3118</v>
      </c>
      <c r="E3006" s="9" t="s">
        <v>3103</v>
      </c>
      <c r="F3006" s="9" t="s">
        <v>172</v>
      </c>
      <c r="H3006" s="9"/>
    </row>
    <row r="3007" ht="14.25" customHeight="1">
      <c r="C3007" s="9" t="s">
        <v>3117</v>
      </c>
      <c r="D3007" s="9" t="s">
        <v>3118</v>
      </c>
      <c r="E3007" s="9" t="s">
        <v>3103</v>
      </c>
      <c r="F3007" s="9" t="s">
        <v>98</v>
      </c>
      <c r="H3007" s="9"/>
    </row>
    <row r="3008" ht="14.25" customHeight="1">
      <c r="C3008" s="9" t="s">
        <v>3117</v>
      </c>
      <c r="D3008" s="9" t="s">
        <v>3118</v>
      </c>
      <c r="E3008" s="9" t="s">
        <v>3103</v>
      </c>
      <c r="F3008" s="9" t="s">
        <v>341</v>
      </c>
      <c r="H3008" s="9"/>
    </row>
    <row r="3009" ht="14.25" customHeight="1">
      <c r="C3009" s="9" t="s">
        <v>3117</v>
      </c>
      <c r="D3009" s="9" t="s">
        <v>3118</v>
      </c>
      <c r="E3009" s="9" t="s">
        <v>3103</v>
      </c>
      <c r="F3009" s="9" t="s">
        <v>367</v>
      </c>
      <c r="H3009" s="9"/>
    </row>
    <row r="3010" ht="14.25" customHeight="1">
      <c r="C3010" s="9" t="s">
        <v>3117</v>
      </c>
      <c r="D3010" s="9" t="s">
        <v>3118</v>
      </c>
      <c r="E3010" s="9" t="s">
        <v>3103</v>
      </c>
      <c r="F3010" s="9" t="s">
        <v>529</v>
      </c>
      <c r="H3010" s="9"/>
    </row>
    <row r="3011" ht="14.25" customHeight="1">
      <c r="C3011" s="9" t="s">
        <v>3117</v>
      </c>
      <c r="D3011" s="9" t="s">
        <v>3118</v>
      </c>
      <c r="E3011" s="9" t="s">
        <v>3103</v>
      </c>
      <c r="F3011" s="9" t="s">
        <v>282</v>
      </c>
      <c r="H3011" s="9"/>
    </row>
    <row r="3012" ht="14.25" customHeight="1">
      <c r="C3012" s="9" t="s">
        <v>3117</v>
      </c>
      <c r="D3012" s="9" t="s">
        <v>3118</v>
      </c>
      <c r="E3012" s="9" t="s">
        <v>3103</v>
      </c>
      <c r="F3012" s="9" t="s">
        <v>321</v>
      </c>
      <c r="H3012" s="9"/>
    </row>
    <row r="3013" ht="14.25" customHeight="1">
      <c r="C3013" s="9" t="s">
        <v>3117</v>
      </c>
      <c r="D3013" s="9" t="s">
        <v>3118</v>
      </c>
      <c r="E3013" s="9" t="s">
        <v>3103</v>
      </c>
      <c r="F3013" s="9" t="s">
        <v>272</v>
      </c>
      <c r="H3013" s="9"/>
    </row>
    <row r="3014" ht="14.25" customHeight="1">
      <c r="C3014" s="9" t="s">
        <v>3117</v>
      </c>
      <c r="D3014" s="9" t="s">
        <v>3118</v>
      </c>
      <c r="E3014" s="9" t="s">
        <v>3103</v>
      </c>
      <c r="F3014" s="9" t="s">
        <v>517</v>
      </c>
      <c r="H3014" s="9"/>
    </row>
    <row r="3015" ht="14.25" customHeight="1">
      <c r="C3015" s="9" t="s">
        <v>3117</v>
      </c>
      <c r="D3015" s="9" t="s">
        <v>3118</v>
      </c>
      <c r="E3015" s="9" t="s">
        <v>3103</v>
      </c>
      <c r="F3015" s="9" t="s">
        <v>2309</v>
      </c>
      <c r="H3015" s="9"/>
    </row>
    <row r="3016" ht="14.25" customHeight="1">
      <c r="C3016" s="9" t="s">
        <v>3117</v>
      </c>
      <c r="D3016" s="9" t="s">
        <v>3118</v>
      </c>
      <c r="E3016" s="9" t="s">
        <v>3103</v>
      </c>
      <c r="F3016" s="9" t="s">
        <v>507</v>
      </c>
      <c r="H3016" s="9"/>
    </row>
    <row r="3017" ht="14.25" customHeight="1">
      <c r="C3017" s="9" t="s">
        <v>3117</v>
      </c>
      <c r="D3017" s="9" t="s">
        <v>3118</v>
      </c>
      <c r="E3017" s="9" t="s">
        <v>3103</v>
      </c>
      <c r="F3017" s="9" t="s">
        <v>336</v>
      </c>
      <c r="H3017" s="9"/>
    </row>
    <row r="3018" ht="14.25" customHeight="1">
      <c r="C3018" s="9" t="s">
        <v>3117</v>
      </c>
      <c r="D3018" s="9" t="s">
        <v>3118</v>
      </c>
      <c r="E3018" s="9" t="s">
        <v>3103</v>
      </c>
      <c r="F3018" s="9" t="s">
        <v>235</v>
      </c>
      <c r="H3018" s="9"/>
    </row>
    <row r="3019" ht="14.25" customHeight="1">
      <c r="C3019" s="9" t="s">
        <v>3117</v>
      </c>
      <c r="D3019" s="9" t="s">
        <v>3118</v>
      </c>
      <c r="E3019" s="9" t="s">
        <v>3103</v>
      </c>
      <c r="F3019" s="9" t="s">
        <v>327</v>
      </c>
      <c r="H3019" s="9"/>
    </row>
    <row r="3020" ht="14.25" customHeight="1">
      <c r="C3020" s="9" t="s">
        <v>3117</v>
      </c>
      <c r="D3020" s="9" t="s">
        <v>3118</v>
      </c>
      <c r="E3020" s="9" t="s">
        <v>3103</v>
      </c>
      <c r="F3020" s="9" t="s">
        <v>264</v>
      </c>
      <c r="H3020" s="9"/>
    </row>
    <row r="3021" ht="14.25" customHeight="1">
      <c r="C3021" s="9" t="s">
        <v>3117</v>
      </c>
      <c r="D3021" s="9" t="s">
        <v>3119</v>
      </c>
      <c r="E3021" s="9" t="s">
        <v>3103</v>
      </c>
      <c r="F3021" s="9" t="s">
        <v>474</v>
      </c>
      <c r="H3021" s="9"/>
    </row>
    <row r="3022" ht="14.25" customHeight="1">
      <c r="C3022" s="9" t="s">
        <v>3117</v>
      </c>
      <c r="D3022" s="9" t="s">
        <v>3119</v>
      </c>
      <c r="E3022" s="9" t="s">
        <v>3103</v>
      </c>
      <c r="F3022" s="9" t="s">
        <v>284</v>
      </c>
      <c r="H3022" s="9"/>
    </row>
    <row r="3023" ht="14.25" customHeight="1">
      <c r="C3023" s="9" t="s">
        <v>3117</v>
      </c>
      <c r="D3023" s="9" t="s">
        <v>3119</v>
      </c>
      <c r="E3023" s="9" t="s">
        <v>3103</v>
      </c>
      <c r="F3023" s="9" t="s">
        <v>493</v>
      </c>
      <c r="H3023" s="9"/>
    </row>
    <row r="3024" ht="14.25" customHeight="1">
      <c r="C3024" s="9" t="s">
        <v>3117</v>
      </c>
      <c r="D3024" s="9" t="s">
        <v>3119</v>
      </c>
      <c r="E3024" s="9" t="s">
        <v>3103</v>
      </c>
      <c r="F3024" s="9" t="s">
        <v>450</v>
      </c>
      <c r="H3024" s="9"/>
    </row>
    <row r="3025" ht="14.25" customHeight="1">
      <c r="C3025" s="9" t="s">
        <v>3117</v>
      </c>
      <c r="D3025" s="9" t="s">
        <v>3119</v>
      </c>
      <c r="E3025" s="9" t="s">
        <v>3103</v>
      </c>
      <c r="F3025" s="9" t="s">
        <v>2296</v>
      </c>
      <c r="H3025" s="9"/>
    </row>
    <row r="3026" ht="14.25" customHeight="1">
      <c r="C3026" s="9" t="s">
        <v>3117</v>
      </c>
      <c r="D3026" s="9" t="s">
        <v>3119</v>
      </c>
      <c r="E3026" s="9" t="s">
        <v>3103</v>
      </c>
      <c r="F3026" s="9" t="s">
        <v>276</v>
      </c>
      <c r="H3026" s="9"/>
    </row>
    <row r="3027" ht="14.25" customHeight="1">
      <c r="C3027" s="9" t="s">
        <v>3117</v>
      </c>
      <c r="D3027" s="9" t="s">
        <v>3119</v>
      </c>
      <c r="E3027" s="9" t="s">
        <v>3103</v>
      </c>
      <c r="F3027" s="9" t="s">
        <v>431</v>
      </c>
      <c r="H3027" s="9"/>
    </row>
    <row r="3028" ht="14.25" customHeight="1">
      <c r="C3028" s="9" t="s">
        <v>3117</v>
      </c>
      <c r="D3028" s="9" t="s">
        <v>3119</v>
      </c>
      <c r="E3028" s="9" t="s">
        <v>3103</v>
      </c>
      <c r="F3028" s="9" t="s">
        <v>1272</v>
      </c>
      <c r="H3028" s="9"/>
    </row>
    <row r="3029" ht="14.25" customHeight="1">
      <c r="C3029" s="9" t="s">
        <v>3117</v>
      </c>
      <c r="D3029" s="9" t="s">
        <v>3119</v>
      </c>
      <c r="E3029" s="9" t="s">
        <v>3103</v>
      </c>
      <c r="F3029" s="9" t="s">
        <v>420</v>
      </c>
      <c r="H3029" s="9"/>
    </row>
    <row r="3030" ht="14.25" customHeight="1">
      <c r="C3030" s="9" t="s">
        <v>3117</v>
      </c>
      <c r="D3030" s="9" t="s">
        <v>3119</v>
      </c>
      <c r="E3030" s="9" t="s">
        <v>3103</v>
      </c>
      <c r="F3030" s="9" t="s">
        <v>482</v>
      </c>
      <c r="H3030" s="9"/>
    </row>
    <row r="3031" ht="14.25" customHeight="1">
      <c r="C3031" s="9" t="s">
        <v>3117</v>
      </c>
      <c r="D3031" s="9" t="s">
        <v>3119</v>
      </c>
      <c r="E3031" s="9" t="s">
        <v>3103</v>
      </c>
      <c r="F3031" s="9" t="s">
        <v>136</v>
      </c>
      <c r="H3031" s="9"/>
    </row>
    <row r="3032" ht="14.25" customHeight="1">
      <c r="C3032" s="9" t="s">
        <v>3117</v>
      </c>
      <c r="D3032" s="9" t="s">
        <v>3119</v>
      </c>
      <c r="E3032" s="9" t="s">
        <v>3103</v>
      </c>
      <c r="F3032" s="9" t="s">
        <v>408</v>
      </c>
      <c r="H3032" s="9"/>
    </row>
    <row r="3033" ht="14.25" customHeight="1">
      <c r="C3033" s="9" t="s">
        <v>3117</v>
      </c>
      <c r="D3033" s="9" t="s">
        <v>3119</v>
      </c>
      <c r="E3033" s="9" t="s">
        <v>3103</v>
      </c>
      <c r="F3033" s="9" t="s">
        <v>2301</v>
      </c>
      <c r="H3033" s="9"/>
    </row>
    <row r="3034" ht="14.25" customHeight="1">
      <c r="C3034" s="9" t="s">
        <v>3117</v>
      </c>
      <c r="D3034" s="9" t="s">
        <v>3119</v>
      </c>
      <c r="E3034" s="9" t="s">
        <v>3103</v>
      </c>
      <c r="F3034" s="9" t="s">
        <v>197</v>
      </c>
      <c r="H3034" s="9"/>
    </row>
    <row r="3035" ht="14.25" customHeight="1">
      <c r="C3035" s="9" t="s">
        <v>3117</v>
      </c>
      <c r="D3035" s="9" t="s">
        <v>3119</v>
      </c>
      <c r="E3035" s="9" t="s">
        <v>3103</v>
      </c>
      <c r="F3035" s="9" t="s">
        <v>172</v>
      </c>
      <c r="H3035" s="9"/>
    </row>
    <row r="3036" ht="14.25" customHeight="1">
      <c r="C3036" s="9" t="s">
        <v>3117</v>
      </c>
      <c r="D3036" s="9" t="s">
        <v>3119</v>
      </c>
      <c r="E3036" s="9" t="s">
        <v>3103</v>
      </c>
      <c r="F3036" s="9" t="s">
        <v>98</v>
      </c>
      <c r="H3036" s="9"/>
    </row>
    <row r="3037" ht="14.25" customHeight="1">
      <c r="C3037" s="9" t="s">
        <v>3117</v>
      </c>
      <c r="D3037" s="9" t="s">
        <v>3119</v>
      </c>
      <c r="E3037" s="9" t="s">
        <v>3103</v>
      </c>
      <c r="F3037" s="9" t="s">
        <v>341</v>
      </c>
      <c r="H3037" s="9"/>
    </row>
    <row r="3038" ht="14.25" customHeight="1">
      <c r="C3038" s="9" t="s">
        <v>3117</v>
      </c>
      <c r="D3038" s="9" t="s">
        <v>3119</v>
      </c>
      <c r="E3038" s="9" t="s">
        <v>3103</v>
      </c>
      <c r="F3038" s="9" t="s">
        <v>367</v>
      </c>
      <c r="H3038" s="9"/>
    </row>
    <row r="3039" ht="14.25" customHeight="1">
      <c r="C3039" s="9" t="s">
        <v>3117</v>
      </c>
      <c r="D3039" s="9" t="s">
        <v>3119</v>
      </c>
      <c r="E3039" s="9" t="s">
        <v>3103</v>
      </c>
      <c r="F3039" s="9" t="s">
        <v>529</v>
      </c>
      <c r="H3039" s="9"/>
    </row>
    <row r="3040" ht="14.25" customHeight="1">
      <c r="C3040" s="9" t="s">
        <v>3117</v>
      </c>
      <c r="D3040" s="9" t="s">
        <v>3119</v>
      </c>
      <c r="E3040" s="9" t="s">
        <v>3103</v>
      </c>
      <c r="F3040" s="9" t="s">
        <v>282</v>
      </c>
      <c r="H3040" s="9"/>
    </row>
    <row r="3041" ht="14.25" customHeight="1">
      <c r="C3041" s="9" t="s">
        <v>3117</v>
      </c>
      <c r="D3041" s="9" t="s">
        <v>3119</v>
      </c>
      <c r="E3041" s="9" t="s">
        <v>3103</v>
      </c>
      <c r="F3041" s="9" t="s">
        <v>321</v>
      </c>
      <c r="H3041" s="9"/>
    </row>
    <row r="3042" ht="14.25" customHeight="1">
      <c r="C3042" s="9" t="s">
        <v>3117</v>
      </c>
      <c r="D3042" s="9" t="s">
        <v>3119</v>
      </c>
      <c r="E3042" s="9" t="s">
        <v>3103</v>
      </c>
      <c r="F3042" s="9" t="s">
        <v>272</v>
      </c>
      <c r="H3042" s="9"/>
    </row>
    <row r="3043" ht="14.25" customHeight="1">
      <c r="C3043" s="9" t="s">
        <v>3117</v>
      </c>
      <c r="D3043" s="9" t="s">
        <v>3119</v>
      </c>
      <c r="E3043" s="9" t="s">
        <v>3103</v>
      </c>
      <c r="F3043" s="9" t="s">
        <v>517</v>
      </c>
      <c r="H3043" s="9"/>
    </row>
    <row r="3044" ht="14.25" customHeight="1">
      <c r="C3044" s="9" t="s">
        <v>3117</v>
      </c>
      <c r="D3044" s="9" t="s">
        <v>3119</v>
      </c>
      <c r="E3044" s="9" t="s">
        <v>3103</v>
      </c>
      <c r="F3044" s="9" t="s">
        <v>2309</v>
      </c>
      <c r="H3044" s="9"/>
    </row>
    <row r="3045" ht="14.25" customHeight="1">
      <c r="C3045" s="9" t="s">
        <v>3117</v>
      </c>
      <c r="D3045" s="9" t="s">
        <v>3119</v>
      </c>
      <c r="E3045" s="9" t="s">
        <v>3103</v>
      </c>
      <c r="F3045" s="9" t="s">
        <v>507</v>
      </c>
      <c r="H3045" s="9"/>
    </row>
    <row r="3046" ht="14.25" customHeight="1">
      <c r="C3046" s="9" t="s">
        <v>3117</v>
      </c>
      <c r="D3046" s="9" t="s">
        <v>3119</v>
      </c>
      <c r="E3046" s="9" t="s">
        <v>3103</v>
      </c>
      <c r="F3046" s="9" t="s">
        <v>336</v>
      </c>
      <c r="H3046" s="9"/>
    </row>
    <row r="3047" ht="14.25" customHeight="1">
      <c r="C3047" s="9" t="s">
        <v>3117</v>
      </c>
      <c r="D3047" s="9" t="s">
        <v>3119</v>
      </c>
      <c r="E3047" s="9" t="s">
        <v>3103</v>
      </c>
      <c r="F3047" s="9" t="s">
        <v>235</v>
      </c>
      <c r="H3047" s="9"/>
    </row>
    <row r="3048" ht="14.25" customHeight="1">
      <c r="C3048" s="9" t="s">
        <v>3117</v>
      </c>
      <c r="D3048" s="9" t="s">
        <v>3119</v>
      </c>
      <c r="E3048" s="9" t="s">
        <v>3103</v>
      </c>
      <c r="F3048" s="9" t="s">
        <v>327</v>
      </c>
      <c r="H3048" s="9"/>
    </row>
    <row r="3049" ht="14.25" customHeight="1">
      <c r="C3049" s="9" t="s">
        <v>3117</v>
      </c>
      <c r="D3049" s="9" t="s">
        <v>3119</v>
      </c>
      <c r="E3049" s="9" t="s">
        <v>3103</v>
      </c>
      <c r="F3049" s="9" t="s">
        <v>264</v>
      </c>
      <c r="H3049" s="9"/>
    </row>
    <row r="3050" ht="14.25" customHeight="1">
      <c r="C3050" s="9" t="s">
        <v>3117</v>
      </c>
      <c r="D3050" s="9" t="s">
        <v>3120</v>
      </c>
      <c r="E3050" s="9" t="s">
        <v>3103</v>
      </c>
      <c r="F3050" s="9" t="s">
        <v>474</v>
      </c>
      <c r="H3050" s="9"/>
    </row>
    <row r="3051" ht="14.25" customHeight="1">
      <c r="C3051" s="9" t="s">
        <v>3117</v>
      </c>
      <c r="D3051" s="9" t="s">
        <v>3120</v>
      </c>
      <c r="E3051" s="9" t="s">
        <v>3103</v>
      </c>
      <c r="F3051" s="9" t="s">
        <v>284</v>
      </c>
      <c r="H3051" s="9"/>
    </row>
    <row r="3052" ht="14.25" customHeight="1">
      <c r="C3052" s="9" t="s">
        <v>3117</v>
      </c>
      <c r="D3052" s="9" t="s">
        <v>3120</v>
      </c>
      <c r="E3052" s="9" t="s">
        <v>3103</v>
      </c>
      <c r="F3052" s="9" t="s">
        <v>493</v>
      </c>
      <c r="H3052" s="9"/>
    </row>
    <row r="3053" ht="14.25" customHeight="1">
      <c r="C3053" s="9" t="s">
        <v>3117</v>
      </c>
      <c r="D3053" s="9" t="s">
        <v>3120</v>
      </c>
      <c r="E3053" s="9" t="s">
        <v>3103</v>
      </c>
      <c r="F3053" s="9" t="s">
        <v>450</v>
      </c>
      <c r="H3053" s="9"/>
    </row>
    <row r="3054" ht="14.25" customHeight="1">
      <c r="C3054" s="9" t="s">
        <v>3117</v>
      </c>
      <c r="D3054" s="9" t="s">
        <v>3120</v>
      </c>
      <c r="E3054" s="9" t="s">
        <v>3103</v>
      </c>
      <c r="F3054" s="9" t="s">
        <v>2296</v>
      </c>
      <c r="H3054" s="9"/>
    </row>
    <row r="3055" ht="14.25" customHeight="1">
      <c r="C3055" s="9" t="s">
        <v>3117</v>
      </c>
      <c r="D3055" s="9" t="s">
        <v>3120</v>
      </c>
      <c r="E3055" s="9" t="s">
        <v>3103</v>
      </c>
      <c r="F3055" s="9" t="s">
        <v>276</v>
      </c>
      <c r="H3055" s="9"/>
    </row>
    <row r="3056" ht="14.25" customHeight="1">
      <c r="C3056" s="9" t="s">
        <v>3117</v>
      </c>
      <c r="D3056" s="9" t="s">
        <v>3120</v>
      </c>
      <c r="E3056" s="9" t="s">
        <v>3103</v>
      </c>
      <c r="F3056" s="9" t="s">
        <v>431</v>
      </c>
      <c r="H3056" s="9"/>
    </row>
    <row r="3057" ht="14.25" customHeight="1">
      <c r="C3057" s="9" t="s">
        <v>3117</v>
      </c>
      <c r="D3057" s="9" t="s">
        <v>3120</v>
      </c>
      <c r="E3057" s="9" t="s">
        <v>3103</v>
      </c>
      <c r="F3057" s="9" t="s">
        <v>1272</v>
      </c>
      <c r="H3057" s="9"/>
    </row>
    <row r="3058" ht="14.25" customHeight="1">
      <c r="C3058" s="9" t="s">
        <v>3117</v>
      </c>
      <c r="D3058" s="9" t="s">
        <v>3120</v>
      </c>
      <c r="E3058" s="9" t="s">
        <v>3103</v>
      </c>
      <c r="F3058" s="9" t="s">
        <v>420</v>
      </c>
      <c r="H3058" s="9"/>
    </row>
    <row r="3059" ht="14.25" customHeight="1">
      <c r="C3059" s="9" t="s">
        <v>3117</v>
      </c>
      <c r="D3059" s="9" t="s">
        <v>3120</v>
      </c>
      <c r="E3059" s="9" t="s">
        <v>3103</v>
      </c>
      <c r="F3059" s="9" t="s">
        <v>482</v>
      </c>
      <c r="H3059" s="9"/>
    </row>
    <row r="3060" ht="14.25" customHeight="1">
      <c r="C3060" s="9" t="s">
        <v>3117</v>
      </c>
      <c r="D3060" s="9" t="s">
        <v>3120</v>
      </c>
      <c r="E3060" s="9" t="s">
        <v>3103</v>
      </c>
      <c r="F3060" s="9" t="s">
        <v>136</v>
      </c>
      <c r="H3060" s="9"/>
    </row>
    <row r="3061" ht="14.25" customHeight="1">
      <c r="C3061" s="9" t="s">
        <v>3117</v>
      </c>
      <c r="D3061" s="9" t="s">
        <v>3120</v>
      </c>
      <c r="E3061" s="9" t="s">
        <v>3103</v>
      </c>
      <c r="F3061" s="9" t="s">
        <v>408</v>
      </c>
      <c r="H3061" s="9"/>
    </row>
    <row r="3062" ht="14.25" customHeight="1">
      <c r="C3062" s="9" t="s">
        <v>3117</v>
      </c>
      <c r="D3062" s="9" t="s">
        <v>3120</v>
      </c>
      <c r="E3062" s="9" t="s">
        <v>3103</v>
      </c>
      <c r="F3062" s="9" t="s">
        <v>2301</v>
      </c>
      <c r="H3062" s="9"/>
    </row>
    <row r="3063" ht="14.25" customHeight="1">
      <c r="C3063" s="9" t="s">
        <v>3117</v>
      </c>
      <c r="D3063" s="9" t="s">
        <v>3120</v>
      </c>
      <c r="E3063" s="9" t="s">
        <v>3103</v>
      </c>
      <c r="F3063" s="9" t="s">
        <v>197</v>
      </c>
      <c r="H3063" s="9"/>
    </row>
    <row r="3064" ht="14.25" customHeight="1">
      <c r="C3064" s="9" t="s">
        <v>3117</v>
      </c>
      <c r="D3064" s="9" t="s">
        <v>3120</v>
      </c>
      <c r="E3064" s="9" t="s">
        <v>3103</v>
      </c>
      <c r="F3064" s="9" t="s">
        <v>172</v>
      </c>
      <c r="H3064" s="9"/>
    </row>
    <row r="3065" ht="14.25" customHeight="1">
      <c r="C3065" s="9" t="s">
        <v>3117</v>
      </c>
      <c r="D3065" s="9" t="s">
        <v>3120</v>
      </c>
      <c r="E3065" s="9" t="s">
        <v>3103</v>
      </c>
      <c r="F3065" s="9" t="s">
        <v>98</v>
      </c>
      <c r="H3065" s="9"/>
    </row>
    <row r="3066" ht="14.25" customHeight="1">
      <c r="C3066" s="9" t="s">
        <v>3117</v>
      </c>
      <c r="D3066" s="9" t="s">
        <v>3120</v>
      </c>
      <c r="E3066" s="9" t="s">
        <v>3103</v>
      </c>
      <c r="F3066" s="9" t="s">
        <v>341</v>
      </c>
      <c r="H3066" s="9"/>
    </row>
    <row r="3067" ht="14.25" customHeight="1">
      <c r="C3067" s="9" t="s">
        <v>3117</v>
      </c>
      <c r="D3067" s="9" t="s">
        <v>3120</v>
      </c>
      <c r="E3067" s="9" t="s">
        <v>3103</v>
      </c>
      <c r="F3067" s="9" t="s">
        <v>367</v>
      </c>
      <c r="H3067" s="9"/>
    </row>
    <row r="3068" ht="14.25" customHeight="1">
      <c r="C3068" s="9" t="s">
        <v>3117</v>
      </c>
      <c r="D3068" s="9" t="s">
        <v>3120</v>
      </c>
      <c r="E3068" s="9" t="s">
        <v>3103</v>
      </c>
      <c r="F3068" s="9" t="s">
        <v>529</v>
      </c>
      <c r="H3068" s="9"/>
    </row>
    <row r="3069" ht="14.25" customHeight="1">
      <c r="C3069" s="9" t="s">
        <v>3117</v>
      </c>
      <c r="D3069" s="9" t="s">
        <v>3120</v>
      </c>
      <c r="E3069" s="9" t="s">
        <v>3103</v>
      </c>
      <c r="F3069" s="9" t="s">
        <v>282</v>
      </c>
      <c r="H3069" s="9"/>
    </row>
    <row r="3070" ht="14.25" customHeight="1">
      <c r="C3070" s="9" t="s">
        <v>3117</v>
      </c>
      <c r="D3070" s="9" t="s">
        <v>3120</v>
      </c>
      <c r="E3070" s="9" t="s">
        <v>3103</v>
      </c>
      <c r="F3070" s="9" t="s">
        <v>321</v>
      </c>
      <c r="H3070" s="9"/>
    </row>
    <row r="3071" ht="14.25" customHeight="1">
      <c r="C3071" s="9" t="s">
        <v>3117</v>
      </c>
      <c r="D3071" s="9" t="s">
        <v>3120</v>
      </c>
      <c r="E3071" s="9" t="s">
        <v>3103</v>
      </c>
      <c r="F3071" s="9" t="s">
        <v>272</v>
      </c>
      <c r="H3071" s="9"/>
    </row>
    <row r="3072" ht="14.25" customHeight="1">
      <c r="C3072" s="9" t="s">
        <v>3117</v>
      </c>
      <c r="D3072" s="9" t="s">
        <v>3120</v>
      </c>
      <c r="E3072" s="9" t="s">
        <v>3103</v>
      </c>
      <c r="F3072" s="9" t="s">
        <v>517</v>
      </c>
      <c r="H3072" s="9"/>
    </row>
    <row r="3073" ht="14.25" customHeight="1">
      <c r="C3073" s="9" t="s">
        <v>3117</v>
      </c>
      <c r="D3073" s="9" t="s">
        <v>3120</v>
      </c>
      <c r="E3073" s="9" t="s">
        <v>3103</v>
      </c>
      <c r="F3073" s="9" t="s">
        <v>2309</v>
      </c>
      <c r="H3073" s="9"/>
    </row>
    <row r="3074" ht="14.25" customHeight="1">
      <c r="C3074" s="9" t="s">
        <v>3117</v>
      </c>
      <c r="D3074" s="9" t="s">
        <v>3120</v>
      </c>
      <c r="E3074" s="9" t="s">
        <v>3103</v>
      </c>
      <c r="F3074" s="9" t="s">
        <v>507</v>
      </c>
      <c r="H3074" s="9"/>
    </row>
    <row r="3075" ht="14.25" customHeight="1">
      <c r="C3075" s="9" t="s">
        <v>3117</v>
      </c>
      <c r="D3075" s="9" t="s">
        <v>3120</v>
      </c>
      <c r="E3075" s="9" t="s">
        <v>3103</v>
      </c>
      <c r="F3075" s="9" t="s">
        <v>336</v>
      </c>
      <c r="H3075" s="9"/>
    </row>
    <row r="3076" ht="14.25" customHeight="1">
      <c r="C3076" s="9" t="s">
        <v>3117</v>
      </c>
      <c r="D3076" s="9" t="s">
        <v>3120</v>
      </c>
      <c r="E3076" s="9" t="s">
        <v>3103</v>
      </c>
      <c r="F3076" s="9" t="s">
        <v>235</v>
      </c>
      <c r="H3076" s="9"/>
    </row>
    <row r="3077" ht="14.25" customHeight="1">
      <c r="C3077" s="9" t="s">
        <v>3117</v>
      </c>
      <c r="D3077" s="9" t="s">
        <v>3120</v>
      </c>
      <c r="E3077" s="9" t="s">
        <v>3103</v>
      </c>
      <c r="F3077" s="9" t="s">
        <v>327</v>
      </c>
      <c r="H3077" s="9"/>
    </row>
    <row r="3078" ht="14.25" customHeight="1">
      <c r="C3078" s="9" t="s">
        <v>3117</v>
      </c>
      <c r="D3078" s="9" t="s">
        <v>3120</v>
      </c>
      <c r="E3078" s="9" t="s">
        <v>3103</v>
      </c>
      <c r="F3078" s="9" t="s">
        <v>264</v>
      </c>
      <c r="H3078" s="9"/>
    </row>
    <row r="3079" ht="14.25" customHeight="1">
      <c r="C3079" s="9" t="s">
        <v>3117</v>
      </c>
      <c r="D3079" s="9" t="s">
        <v>3121</v>
      </c>
      <c r="E3079" s="9" t="s">
        <v>3103</v>
      </c>
      <c r="F3079" s="9" t="s">
        <v>474</v>
      </c>
      <c r="H3079" s="9"/>
    </row>
    <row r="3080" ht="14.25" customHeight="1">
      <c r="C3080" s="9" t="s">
        <v>3117</v>
      </c>
      <c r="D3080" s="9" t="s">
        <v>3121</v>
      </c>
      <c r="E3080" s="9" t="s">
        <v>3103</v>
      </c>
      <c r="F3080" s="9" t="s">
        <v>284</v>
      </c>
      <c r="H3080" s="9"/>
    </row>
    <row r="3081" ht="14.25" customHeight="1">
      <c r="C3081" s="9" t="s">
        <v>3117</v>
      </c>
      <c r="D3081" s="9" t="s">
        <v>3121</v>
      </c>
      <c r="E3081" s="9" t="s">
        <v>3103</v>
      </c>
      <c r="F3081" s="9" t="s">
        <v>493</v>
      </c>
      <c r="H3081" s="9"/>
    </row>
    <row r="3082" ht="14.25" customHeight="1">
      <c r="C3082" s="9" t="s">
        <v>3117</v>
      </c>
      <c r="D3082" s="9" t="s">
        <v>3121</v>
      </c>
      <c r="E3082" s="9" t="s">
        <v>3103</v>
      </c>
      <c r="F3082" s="9" t="s">
        <v>450</v>
      </c>
      <c r="H3082" s="9"/>
    </row>
    <row r="3083" ht="14.25" customHeight="1">
      <c r="C3083" s="9" t="s">
        <v>3117</v>
      </c>
      <c r="D3083" s="9" t="s">
        <v>3121</v>
      </c>
      <c r="E3083" s="9" t="s">
        <v>3103</v>
      </c>
      <c r="F3083" s="9" t="s">
        <v>395</v>
      </c>
      <c r="H3083" s="9"/>
    </row>
    <row r="3084" ht="14.25" customHeight="1">
      <c r="C3084" s="9" t="s">
        <v>3117</v>
      </c>
      <c r="D3084" s="9" t="s">
        <v>3121</v>
      </c>
      <c r="E3084" s="9" t="s">
        <v>3103</v>
      </c>
      <c r="F3084" s="9" t="s">
        <v>276</v>
      </c>
      <c r="H3084" s="9"/>
    </row>
    <row r="3085" ht="14.25" customHeight="1">
      <c r="C3085" s="9" t="s">
        <v>3117</v>
      </c>
      <c r="D3085" s="9" t="s">
        <v>3121</v>
      </c>
      <c r="E3085" s="9" t="s">
        <v>3103</v>
      </c>
      <c r="F3085" s="9" t="s">
        <v>431</v>
      </c>
      <c r="H3085" s="9"/>
    </row>
    <row r="3086" ht="14.25" customHeight="1">
      <c r="C3086" s="9" t="s">
        <v>3117</v>
      </c>
      <c r="D3086" s="9" t="s">
        <v>3121</v>
      </c>
      <c r="E3086" s="9" t="s">
        <v>3103</v>
      </c>
      <c r="F3086" s="9" t="s">
        <v>1272</v>
      </c>
      <c r="H3086" s="9"/>
    </row>
    <row r="3087" ht="14.25" customHeight="1">
      <c r="C3087" s="9" t="s">
        <v>3117</v>
      </c>
      <c r="D3087" s="9" t="s">
        <v>3121</v>
      </c>
      <c r="E3087" s="9" t="s">
        <v>3103</v>
      </c>
      <c r="F3087" s="9" t="s">
        <v>420</v>
      </c>
      <c r="H3087" s="9"/>
    </row>
    <row r="3088" ht="14.25" customHeight="1">
      <c r="C3088" s="9" t="s">
        <v>3117</v>
      </c>
      <c r="D3088" s="9" t="s">
        <v>3121</v>
      </c>
      <c r="E3088" s="9" t="s">
        <v>3103</v>
      </c>
      <c r="F3088" s="9" t="s">
        <v>482</v>
      </c>
      <c r="H3088" s="9"/>
    </row>
    <row r="3089" ht="14.25" customHeight="1">
      <c r="C3089" s="9" t="s">
        <v>3117</v>
      </c>
      <c r="D3089" s="9" t="s">
        <v>3121</v>
      </c>
      <c r="E3089" s="9" t="s">
        <v>3103</v>
      </c>
      <c r="F3089" s="9" t="s">
        <v>136</v>
      </c>
      <c r="H3089" s="9"/>
    </row>
    <row r="3090" ht="14.25" customHeight="1">
      <c r="C3090" s="9" t="s">
        <v>3117</v>
      </c>
      <c r="D3090" s="9" t="s">
        <v>3121</v>
      </c>
      <c r="E3090" s="9" t="s">
        <v>3103</v>
      </c>
      <c r="F3090" s="9" t="s">
        <v>408</v>
      </c>
      <c r="H3090" s="9"/>
    </row>
    <row r="3091" ht="14.25" customHeight="1">
      <c r="C3091" s="9" t="s">
        <v>3117</v>
      </c>
      <c r="D3091" s="9" t="s">
        <v>3121</v>
      </c>
      <c r="E3091" s="9" t="s">
        <v>3103</v>
      </c>
      <c r="F3091" s="9" t="s">
        <v>2589</v>
      </c>
      <c r="H3091" s="9"/>
    </row>
    <row r="3092" ht="14.25" customHeight="1">
      <c r="C3092" s="9" t="s">
        <v>3117</v>
      </c>
      <c r="D3092" s="9" t="s">
        <v>3121</v>
      </c>
      <c r="E3092" s="9" t="s">
        <v>3103</v>
      </c>
      <c r="F3092" s="9" t="s">
        <v>197</v>
      </c>
      <c r="H3092" s="9"/>
    </row>
    <row r="3093" ht="14.25" customHeight="1">
      <c r="C3093" s="9" t="s">
        <v>3117</v>
      </c>
      <c r="D3093" s="9" t="s">
        <v>3121</v>
      </c>
      <c r="E3093" s="9" t="s">
        <v>3103</v>
      </c>
      <c r="F3093" s="9" t="s">
        <v>172</v>
      </c>
      <c r="H3093" s="9"/>
    </row>
    <row r="3094" ht="14.25" customHeight="1">
      <c r="C3094" s="9" t="s">
        <v>3117</v>
      </c>
      <c r="D3094" s="9" t="s">
        <v>3121</v>
      </c>
      <c r="E3094" s="9" t="s">
        <v>3103</v>
      </c>
      <c r="F3094" s="9" t="s">
        <v>98</v>
      </c>
      <c r="H3094" s="9"/>
    </row>
    <row r="3095" ht="14.25" customHeight="1">
      <c r="C3095" s="9" t="s">
        <v>3117</v>
      </c>
      <c r="D3095" s="9" t="s">
        <v>3121</v>
      </c>
      <c r="E3095" s="9" t="s">
        <v>3103</v>
      </c>
      <c r="F3095" s="9" t="s">
        <v>341</v>
      </c>
      <c r="H3095" s="9"/>
    </row>
    <row r="3096" ht="14.25" customHeight="1">
      <c r="C3096" s="9" t="s">
        <v>3117</v>
      </c>
      <c r="D3096" s="9" t="s">
        <v>3121</v>
      </c>
      <c r="E3096" s="9" t="s">
        <v>3103</v>
      </c>
      <c r="F3096" s="9" t="s">
        <v>367</v>
      </c>
      <c r="H3096" s="9"/>
    </row>
    <row r="3097" ht="14.25" customHeight="1">
      <c r="C3097" s="9" t="s">
        <v>3117</v>
      </c>
      <c r="D3097" s="9" t="s">
        <v>3121</v>
      </c>
      <c r="E3097" s="9" t="s">
        <v>3103</v>
      </c>
      <c r="F3097" s="9" t="s">
        <v>529</v>
      </c>
      <c r="H3097" s="9"/>
    </row>
    <row r="3098" ht="14.25" customHeight="1">
      <c r="C3098" s="9" t="s">
        <v>3117</v>
      </c>
      <c r="D3098" s="9" t="s">
        <v>3121</v>
      </c>
      <c r="E3098" s="9" t="s">
        <v>3103</v>
      </c>
      <c r="F3098" s="9" t="s">
        <v>282</v>
      </c>
      <c r="H3098" s="9"/>
    </row>
    <row r="3099" ht="14.25" customHeight="1">
      <c r="C3099" s="9" t="s">
        <v>3117</v>
      </c>
      <c r="D3099" s="9" t="s">
        <v>3121</v>
      </c>
      <c r="E3099" s="9" t="s">
        <v>3103</v>
      </c>
      <c r="F3099" s="9" t="s">
        <v>321</v>
      </c>
      <c r="H3099" s="9"/>
    </row>
    <row r="3100" ht="14.25" customHeight="1">
      <c r="C3100" s="9" t="s">
        <v>3117</v>
      </c>
      <c r="D3100" s="9" t="s">
        <v>3121</v>
      </c>
      <c r="E3100" s="9" t="s">
        <v>3103</v>
      </c>
      <c r="F3100" s="9" t="s">
        <v>272</v>
      </c>
      <c r="H3100" s="9"/>
    </row>
    <row r="3101" ht="14.25" customHeight="1">
      <c r="C3101" s="9" t="s">
        <v>3117</v>
      </c>
      <c r="D3101" s="9" t="s">
        <v>3121</v>
      </c>
      <c r="E3101" s="9" t="s">
        <v>3103</v>
      </c>
      <c r="F3101" s="9" t="s">
        <v>517</v>
      </c>
      <c r="H3101" s="9"/>
    </row>
    <row r="3102" ht="14.25" customHeight="1">
      <c r="C3102" s="9" t="s">
        <v>3117</v>
      </c>
      <c r="D3102" s="9" t="s">
        <v>3121</v>
      </c>
      <c r="E3102" s="9" t="s">
        <v>3103</v>
      </c>
      <c r="F3102" s="9" t="s">
        <v>2593</v>
      </c>
      <c r="H3102" s="9"/>
    </row>
    <row r="3103" ht="14.25" customHeight="1">
      <c r="C3103" s="9" t="s">
        <v>3117</v>
      </c>
      <c r="D3103" s="9" t="s">
        <v>3121</v>
      </c>
      <c r="E3103" s="9" t="s">
        <v>3103</v>
      </c>
      <c r="F3103" s="9" t="s">
        <v>507</v>
      </c>
      <c r="H3103" s="9"/>
    </row>
    <row r="3104" ht="14.25" customHeight="1">
      <c r="C3104" s="9" t="s">
        <v>3117</v>
      </c>
      <c r="D3104" s="9" t="s">
        <v>3121</v>
      </c>
      <c r="E3104" s="9" t="s">
        <v>3103</v>
      </c>
      <c r="F3104" s="9" t="s">
        <v>336</v>
      </c>
      <c r="H3104" s="9"/>
    </row>
    <row r="3105" ht="14.25" customHeight="1">
      <c r="C3105" s="9" t="s">
        <v>3117</v>
      </c>
      <c r="D3105" s="9" t="s">
        <v>3121</v>
      </c>
      <c r="E3105" s="9" t="s">
        <v>3103</v>
      </c>
      <c r="F3105" s="9" t="s">
        <v>235</v>
      </c>
      <c r="H3105" s="9"/>
    </row>
    <row r="3106" ht="14.25" customHeight="1">
      <c r="C3106" s="9" t="s">
        <v>3117</v>
      </c>
      <c r="D3106" s="9" t="s">
        <v>3121</v>
      </c>
      <c r="E3106" s="9" t="s">
        <v>3103</v>
      </c>
      <c r="F3106" s="9" t="s">
        <v>327</v>
      </c>
      <c r="H3106" s="9"/>
    </row>
    <row r="3107" ht="14.25" customHeight="1">
      <c r="C3107" s="9" t="s">
        <v>3117</v>
      </c>
      <c r="D3107" s="9" t="s">
        <v>3121</v>
      </c>
      <c r="E3107" s="9" t="s">
        <v>3103</v>
      </c>
      <c r="F3107" s="9" t="s">
        <v>264</v>
      </c>
      <c r="H3107" s="9"/>
    </row>
    <row r="3108" ht="14.25" customHeight="1">
      <c r="C3108" s="9" t="s">
        <v>3117</v>
      </c>
      <c r="D3108" s="9" t="s">
        <v>3122</v>
      </c>
      <c r="E3108" s="9" t="s">
        <v>3103</v>
      </c>
      <c r="F3108" s="9" t="s">
        <v>474</v>
      </c>
      <c r="H3108" s="9"/>
    </row>
    <row r="3109" ht="14.25" customHeight="1">
      <c r="C3109" s="9" t="s">
        <v>3117</v>
      </c>
      <c r="D3109" s="9" t="s">
        <v>3122</v>
      </c>
      <c r="E3109" s="9" t="s">
        <v>3103</v>
      </c>
      <c r="F3109" s="9" t="s">
        <v>284</v>
      </c>
      <c r="H3109" s="9"/>
    </row>
    <row r="3110" ht="14.25" customHeight="1">
      <c r="C3110" s="9" t="s">
        <v>3117</v>
      </c>
      <c r="D3110" s="9" t="s">
        <v>3122</v>
      </c>
      <c r="E3110" s="9" t="s">
        <v>3103</v>
      </c>
      <c r="F3110" s="9" t="s">
        <v>493</v>
      </c>
      <c r="H3110" s="9"/>
    </row>
    <row r="3111" ht="14.25" customHeight="1">
      <c r="C3111" s="9" t="s">
        <v>3117</v>
      </c>
      <c r="D3111" s="9" t="s">
        <v>3122</v>
      </c>
      <c r="E3111" s="9" t="s">
        <v>3103</v>
      </c>
      <c r="F3111" s="9" t="s">
        <v>450</v>
      </c>
      <c r="H3111" s="9"/>
    </row>
    <row r="3112" ht="14.25" customHeight="1">
      <c r="C3112" s="9" t="s">
        <v>3117</v>
      </c>
      <c r="D3112" s="9" t="s">
        <v>3122</v>
      </c>
      <c r="E3112" s="9" t="s">
        <v>3103</v>
      </c>
      <c r="F3112" s="9" t="s">
        <v>395</v>
      </c>
      <c r="H3112" s="9"/>
    </row>
    <row r="3113" ht="14.25" customHeight="1">
      <c r="C3113" s="9" t="s">
        <v>3117</v>
      </c>
      <c r="D3113" s="9" t="s">
        <v>3122</v>
      </c>
      <c r="E3113" s="9" t="s">
        <v>3103</v>
      </c>
      <c r="F3113" s="9" t="s">
        <v>276</v>
      </c>
      <c r="H3113" s="9"/>
    </row>
    <row r="3114" ht="14.25" customHeight="1">
      <c r="C3114" s="9" t="s">
        <v>3117</v>
      </c>
      <c r="D3114" s="9" t="s">
        <v>3122</v>
      </c>
      <c r="E3114" s="9" t="s">
        <v>3103</v>
      </c>
      <c r="F3114" s="9" t="s">
        <v>431</v>
      </c>
      <c r="H3114" s="9"/>
    </row>
    <row r="3115" ht="14.25" customHeight="1">
      <c r="C3115" s="9" t="s">
        <v>3117</v>
      </c>
      <c r="D3115" s="9" t="s">
        <v>3122</v>
      </c>
      <c r="E3115" s="9" t="s">
        <v>3103</v>
      </c>
      <c r="F3115" s="9" t="s">
        <v>1272</v>
      </c>
      <c r="H3115" s="9"/>
    </row>
    <row r="3116" ht="14.25" customHeight="1">
      <c r="C3116" s="9" t="s">
        <v>3117</v>
      </c>
      <c r="D3116" s="9" t="s">
        <v>3122</v>
      </c>
      <c r="E3116" s="9" t="s">
        <v>3103</v>
      </c>
      <c r="F3116" s="9" t="s">
        <v>420</v>
      </c>
      <c r="H3116" s="9"/>
    </row>
    <row r="3117" ht="14.25" customHeight="1">
      <c r="C3117" s="9" t="s">
        <v>3117</v>
      </c>
      <c r="D3117" s="9" t="s">
        <v>3122</v>
      </c>
      <c r="E3117" s="9" t="s">
        <v>3103</v>
      </c>
      <c r="F3117" s="9" t="s">
        <v>482</v>
      </c>
      <c r="H3117" s="9"/>
    </row>
    <row r="3118" ht="14.25" customHeight="1">
      <c r="C3118" s="9" t="s">
        <v>3117</v>
      </c>
      <c r="D3118" s="9" t="s">
        <v>3122</v>
      </c>
      <c r="E3118" s="9" t="s">
        <v>3103</v>
      </c>
      <c r="F3118" s="9" t="s">
        <v>136</v>
      </c>
      <c r="H3118" s="9"/>
    </row>
    <row r="3119" ht="14.25" customHeight="1">
      <c r="C3119" s="9" t="s">
        <v>3117</v>
      </c>
      <c r="D3119" s="9" t="s">
        <v>3122</v>
      </c>
      <c r="E3119" s="9" t="s">
        <v>3103</v>
      </c>
      <c r="F3119" s="9" t="s">
        <v>408</v>
      </c>
      <c r="H3119" s="9"/>
    </row>
    <row r="3120" ht="14.25" customHeight="1">
      <c r="C3120" s="9" t="s">
        <v>3117</v>
      </c>
      <c r="D3120" s="9" t="s">
        <v>3122</v>
      </c>
      <c r="E3120" s="9" t="s">
        <v>3103</v>
      </c>
      <c r="F3120" s="9" t="s">
        <v>2589</v>
      </c>
      <c r="H3120" s="9"/>
    </row>
    <row r="3121" ht="14.25" customHeight="1">
      <c r="C3121" s="9" t="s">
        <v>3117</v>
      </c>
      <c r="D3121" s="9" t="s">
        <v>3122</v>
      </c>
      <c r="E3121" s="9" t="s">
        <v>3103</v>
      </c>
      <c r="F3121" s="9" t="s">
        <v>197</v>
      </c>
      <c r="H3121" s="9"/>
    </row>
    <row r="3122" ht="14.25" customHeight="1">
      <c r="C3122" s="9" t="s">
        <v>3117</v>
      </c>
      <c r="D3122" s="9" t="s">
        <v>3122</v>
      </c>
      <c r="E3122" s="9" t="s">
        <v>3103</v>
      </c>
      <c r="F3122" s="9" t="s">
        <v>172</v>
      </c>
      <c r="H3122" s="9"/>
    </row>
    <row r="3123" ht="14.25" customHeight="1">
      <c r="C3123" s="9" t="s">
        <v>3117</v>
      </c>
      <c r="D3123" s="9" t="s">
        <v>3122</v>
      </c>
      <c r="E3123" s="9" t="s">
        <v>3103</v>
      </c>
      <c r="F3123" s="9" t="s">
        <v>98</v>
      </c>
      <c r="H3123" s="9"/>
    </row>
    <row r="3124" ht="14.25" customHeight="1">
      <c r="C3124" s="9" t="s">
        <v>3117</v>
      </c>
      <c r="D3124" s="9" t="s">
        <v>3122</v>
      </c>
      <c r="E3124" s="9" t="s">
        <v>3103</v>
      </c>
      <c r="F3124" s="9" t="s">
        <v>341</v>
      </c>
      <c r="H3124" s="9"/>
    </row>
    <row r="3125" ht="14.25" customHeight="1">
      <c r="C3125" s="9" t="s">
        <v>3117</v>
      </c>
      <c r="D3125" s="9" t="s">
        <v>3122</v>
      </c>
      <c r="E3125" s="9" t="s">
        <v>3103</v>
      </c>
      <c r="F3125" s="9" t="s">
        <v>367</v>
      </c>
      <c r="H3125" s="9"/>
    </row>
    <row r="3126" ht="14.25" customHeight="1">
      <c r="C3126" s="9" t="s">
        <v>3117</v>
      </c>
      <c r="D3126" s="9" t="s">
        <v>3122</v>
      </c>
      <c r="E3126" s="9" t="s">
        <v>3103</v>
      </c>
      <c r="F3126" s="9" t="s">
        <v>529</v>
      </c>
      <c r="H3126" s="9"/>
    </row>
    <row r="3127" ht="14.25" customHeight="1">
      <c r="C3127" s="9" t="s">
        <v>3117</v>
      </c>
      <c r="D3127" s="9" t="s">
        <v>3122</v>
      </c>
      <c r="E3127" s="9" t="s">
        <v>3103</v>
      </c>
      <c r="F3127" s="9" t="s">
        <v>282</v>
      </c>
      <c r="H3127" s="9"/>
    </row>
    <row r="3128" ht="14.25" customHeight="1">
      <c r="C3128" s="9" t="s">
        <v>3117</v>
      </c>
      <c r="D3128" s="9" t="s">
        <v>3122</v>
      </c>
      <c r="E3128" s="9" t="s">
        <v>3103</v>
      </c>
      <c r="F3128" s="9" t="s">
        <v>321</v>
      </c>
      <c r="H3128" s="9"/>
    </row>
    <row r="3129" ht="14.25" customHeight="1">
      <c r="C3129" s="9" t="s">
        <v>3117</v>
      </c>
      <c r="D3129" s="9" t="s">
        <v>3122</v>
      </c>
      <c r="E3129" s="9" t="s">
        <v>3103</v>
      </c>
      <c r="F3129" s="9" t="s">
        <v>272</v>
      </c>
      <c r="H3129" s="9"/>
    </row>
    <row r="3130" ht="14.25" customHeight="1">
      <c r="C3130" s="9" t="s">
        <v>3117</v>
      </c>
      <c r="D3130" s="9" t="s">
        <v>3122</v>
      </c>
      <c r="E3130" s="9" t="s">
        <v>3103</v>
      </c>
      <c r="F3130" s="9" t="s">
        <v>517</v>
      </c>
      <c r="H3130" s="9"/>
    </row>
    <row r="3131" ht="14.25" customHeight="1">
      <c r="C3131" s="9" t="s">
        <v>3117</v>
      </c>
      <c r="D3131" s="9" t="s">
        <v>3122</v>
      </c>
      <c r="E3131" s="9" t="s">
        <v>3103</v>
      </c>
      <c r="F3131" s="9" t="s">
        <v>2593</v>
      </c>
      <c r="H3131" s="9"/>
    </row>
    <row r="3132" ht="14.25" customHeight="1">
      <c r="C3132" s="9" t="s">
        <v>3117</v>
      </c>
      <c r="D3132" s="9" t="s">
        <v>3122</v>
      </c>
      <c r="E3132" s="9" t="s">
        <v>3103</v>
      </c>
      <c r="F3132" s="9" t="s">
        <v>507</v>
      </c>
      <c r="H3132" s="9"/>
    </row>
    <row r="3133" ht="14.25" customHeight="1">
      <c r="C3133" s="9" t="s">
        <v>3117</v>
      </c>
      <c r="D3133" s="9" t="s">
        <v>3122</v>
      </c>
      <c r="E3133" s="9" t="s">
        <v>3103</v>
      </c>
      <c r="F3133" s="9" t="s">
        <v>336</v>
      </c>
      <c r="H3133" s="9"/>
    </row>
    <row r="3134" ht="14.25" customHeight="1">
      <c r="C3134" s="9" t="s">
        <v>3117</v>
      </c>
      <c r="D3134" s="9" t="s">
        <v>3122</v>
      </c>
      <c r="E3134" s="9" t="s">
        <v>3103</v>
      </c>
      <c r="F3134" s="9" t="s">
        <v>235</v>
      </c>
      <c r="H3134" s="9"/>
    </row>
    <row r="3135" ht="14.25" customHeight="1">
      <c r="C3135" s="9" t="s">
        <v>3117</v>
      </c>
      <c r="D3135" s="9" t="s">
        <v>3122</v>
      </c>
      <c r="E3135" s="9" t="s">
        <v>3103</v>
      </c>
      <c r="F3135" s="9" t="s">
        <v>327</v>
      </c>
      <c r="H3135" s="9"/>
    </row>
    <row r="3136" ht="14.25" customHeight="1">
      <c r="C3136" s="9" t="s">
        <v>3117</v>
      </c>
      <c r="D3136" s="9" t="s">
        <v>3122</v>
      </c>
      <c r="E3136" s="9" t="s">
        <v>3103</v>
      </c>
      <c r="F3136" s="9" t="s">
        <v>264</v>
      </c>
      <c r="H3136" s="9"/>
    </row>
    <row r="3137" ht="14.25" customHeight="1">
      <c r="C3137" s="9" t="s">
        <v>3117</v>
      </c>
      <c r="D3137" s="9" t="s">
        <v>3123</v>
      </c>
      <c r="E3137" s="9" t="s">
        <v>3103</v>
      </c>
      <c r="F3137" s="9" t="s">
        <v>474</v>
      </c>
      <c r="H3137" s="9"/>
    </row>
    <row r="3138" ht="14.25" customHeight="1">
      <c r="C3138" s="9" t="s">
        <v>3117</v>
      </c>
      <c r="D3138" s="9" t="s">
        <v>3123</v>
      </c>
      <c r="E3138" s="9" t="s">
        <v>3103</v>
      </c>
      <c r="F3138" s="9" t="s">
        <v>284</v>
      </c>
      <c r="H3138" s="9"/>
    </row>
    <row r="3139" ht="14.25" customHeight="1">
      <c r="C3139" s="9" t="s">
        <v>3117</v>
      </c>
      <c r="D3139" s="9" t="s">
        <v>3123</v>
      </c>
      <c r="E3139" s="9" t="s">
        <v>3103</v>
      </c>
      <c r="F3139" s="9" t="s">
        <v>493</v>
      </c>
      <c r="H3139" s="9"/>
    </row>
    <row r="3140" ht="14.25" customHeight="1">
      <c r="C3140" s="9" t="s">
        <v>3117</v>
      </c>
      <c r="D3140" s="9" t="s">
        <v>3123</v>
      </c>
      <c r="E3140" s="9" t="s">
        <v>3103</v>
      </c>
      <c r="F3140" s="9" t="s">
        <v>450</v>
      </c>
      <c r="H3140" s="9"/>
    </row>
    <row r="3141" ht="14.25" customHeight="1">
      <c r="C3141" s="9" t="s">
        <v>3117</v>
      </c>
      <c r="D3141" s="9" t="s">
        <v>3123</v>
      </c>
      <c r="E3141" s="9" t="s">
        <v>3103</v>
      </c>
      <c r="F3141" s="9" t="s">
        <v>395</v>
      </c>
      <c r="H3141" s="9"/>
    </row>
    <row r="3142" ht="14.25" customHeight="1">
      <c r="C3142" s="9" t="s">
        <v>3117</v>
      </c>
      <c r="D3142" s="9" t="s">
        <v>3123</v>
      </c>
      <c r="E3142" s="9" t="s">
        <v>3103</v>
      </c>
      <c r="F3142" s="9" t="s">
        <v>276</v>
      </c>
      <c r="H3142" s="9"/>
    </row>
    <row r="3143" ht="14.25" customHeight="1">
      <c r="C3143" s="9" t="s">
        <v>3117</v>
      </c>
      <c r="D3143" s="9" t="s">
        <v>3123</v>
      </c>
      <c r="E3143" s="9" t="s">
        <v>3103</v>
      </c>
      <c r="F3143" s="9" t="s">
        <v>431</v>
      </c>
      <c r="H3143" s="9"/>
    </row>
    <row r="3144" ht="14.25" customHeight="1">
      <c r="C3144" s="9" t="s">
        <v>3117</v>
      </c>
      <c r="D3144" s="9" t="s">
        <v>3123</v>
      </c>
      <c r="E3144" s="9" t="s">
        <v>3103</v>
      </c>
      <c r="F3144" s="9" t="s">
        <v>1272</v>
      </c>
      <c r="H3144" s="9"/>
    </row>
    <row r="3145" ht="14.25" customHeight="1">
      <c r="C3145" s="9" t="s">
        <v>3117</v>
      </c>
      <c r="D3145" s="9" t="s">
        <v>3123</v>
      </c>
      <c r="E3145" s="9" t="s">
        <v>3103</v>
      </c>
      <c r="F3145" s="9" t="s">
        <v>420</v>
      </c>
      <c r="H3145" s="9"/>
    </row>
    <row r="3146" ht="14.25" customHeight="1">
      <c r="C3146" s="9" t="s">
        <v>3117</v>
      </c>
      <c r="D3146" s="9" t="s">
        <v>3123</v>
      </c>
      <c r="E3146" s="9" t="s">
        <v>3103</v>
      </c>
      <c r="F3146" s="9" t="s">
        <v>482</v>
      </c>
      <c r="H3146" s="9"/>
    </row>
    <row r="3147" ht="14.25" customHeight="1">
      <c r="C3147" s="9" t="s">
        <v>3117</v>
      </c>
      <c r="D3147" s="9" t="s">
        <v>3123</v>
      </c>
      <c r="E3147" s="9" t="s">
        <v>3103</v>
      </c>
      <c r="F3147" s="9" t="s">
        <v>136</v>
      </c>
      <c r="H3147" s="9"/>
    </row>
    <row r="3148" ht="14.25" customHeight="1">
      <c r="C3148" s="9" t="s">
        <v>3117</v>
      </c>
      <c r="D3148" s="9" t="s">
        <v>3123</v>
      </c>
      <c r="E3148" s="9" t="s">
        <v>3103</v>
      </c>
      <c r="F3148" s="9" t="s">
        <v>408</v>
      </c>
      <c r="H3148" s="9"/>
    </row>
    <row r="3149" ht="14.25" customHeight="1">
      <c r="C3149" s="9" t="s">
        <v>3117</v>
      </c>
      <c r="D3149" s="9" t="s">
        <v>3123</v>
      </c>
      <c r="E3149" s="9" t="s">
        <v>3103</v>
      </c>
      <c r="F3149" s="9" t="s">
        <v>2589</v>
      </c>
      <c r="H3149" s="9"/>
    </row>
    <row r="3150" ht="14.25" customHeight="1">
      <c r="C3150" s="9" t="s">
        <v>3117</v>
      </c>
      <c r="D3150" s="9" t="s">
        <v>3123</v>
      </c>
      <c r="E3150" s="9" t="s">
        <v>3103</v>
      </c>
      <c r="F3150" s="9" t="s">
        <v>197</v>
      </c>
      <c r="H3150" s="9"/>
    </row>
    <row r="3151" ht="14.25" customHeight="1">
      <c r="C3151" s="9" t="s">
        <v>3117</v>
      </c>
      <c r="D3151" s="9" t="s">
        <v>3123</v>
      </c>
      <c r="E3151" s="9" t="s">
        <v>3103</v>
      </c>
      <c r="F3151" s="9" t="s">
        <v>172</v>
      </c>
      <c r="H3151" s="9"/>
    </row>
    <row r="3152" ht="14.25" customHeight="1">
      <c r="C3152" s="9" t="s">
        <v>3117</v>
      </c>
      <c r="D3152" s="9" t="s">
        <v>3123</v>
      </c>
      <c r="E3152" s="9" t="s">
        <v>3103</v>
      </c>
      <c r="F3152" s="9" t="s">
        <v>98</v>
      </c>
      <c r="H3152" s="9"/>
    </row>
    <row r="3153" ht="14.25" customHeight="1">
      <c r="C3153" s="9" t="s">
        <v>3117</v>
      </c>
      <c r="D3153" s="9" t="s">
        <v>3123</v>
      </c>
      <c r="E3153" s="9" t="s">
        <v>3103</v>
      </c>
      <c r="F3153" s="9" t="s">
        <v>341</v>
      </c>
      <c r="H3153" s="9"/>
    </row>
    <row r="3154" ht="14.25" customHeight="1">
      <c r="C3154" s="9" t="s">
        <v>3117</v>
      </c>
      <c r="D3154" s="9" t="s">
        <v>3123</v>
      </c>
      <c r="E3154" s="9" t="s">
        <v>3103</v>
      </c>
      <c r="F3154" s="9" t="s">
        <v>367</v>
      </c>
      <c r="H3154" s="9"/>
    </row>
    <row r="3155" ht="14.25" customHeight="1">
      <c r="C3155" s="9" t="s">
        <v>3117</v>
      </c>
      <c r="D3155" s="9" t="s">
        <v>3123</v>
      </c>
      <c r="E3155" s="9" t="s">
        <v>3103</v>
      </c>
      <c r="F3155" s="9" t="s">
        <v>529</v>
      </c>
      <c r="H3155" s="9"/>
    </row>
    <row r="3156" ht="14.25" customHeight="1">
      <c r="C3156" s="9" t="s">
        <v>3117</v>
      </c>
      <c r="D3156" s="9" t="s">
        <v>3123</v>
      </c>
      <c r="E3156" s="9" t="s">
        <v>3103</v>
      </c>
      <c r="F3156" s="9" t="s">
        <v>282</v>
      </c>
      <c r="H3156" s="9"/>
    </row>
    <row r="3157" ht="14.25" customHeight="1">
      <c r="C3157" s="9" t="s">
        <v>3117</v>
      </c>
      <c r="D3157" s="9" t="s">
        <v>3123</v>
      </c>
      <c r="E3157" s="9" t="s">
        <v>3103</v>
      </c>
      <c r="F3157" s="9" t="s">
        <v>321</v>
      </c>
      <c r="H3157" s="9"/>
    </row>
    <row r="3158" ht="14.25" customHeight="1">
      <c r="C3158" s="9" t="s">
        <v>3117</v>
      </c>
      <c r="D3158" s="9" t="s">
        <v>3123</v>
      </c>
      <c r="E3158" s="9" t="s">
        <v>3103</v>
      </c>
      <c r="F3158" s="9" t="s">
        <v>272</v>
      </c>
      <c r="H3158" s="9"/>
    </row>
    <row r="3159" ht="14.25" customHeight="1">
      <c r="C3159" s="9" t="s">
        <v>3117</v>
      </c>
      <c r="D3159" s="9" t="s">
        <v>3123</v>
      </c>
      <c r="E3159" s="9" t="s">
        <v>3103</v>
      </c>
      <c r="F3159" s="9" t="s">
        <v>517</v>
      </c>
      <c r="H3159" s="9"/>
    </row>
    <row r="3160" ht="14.25" customHeight="1">
      <c r="C3160" s="9" t="s">
        <v>3117</v>
      </c>
      <c r="D3160" s="9" t="s">
        <v>3123</v>
      </c>
      <c r="E3160" s="9" t="s">
        <v>3103</v>
      </c>
      <c r="F3160" s="9" t="s">
        <v>2593</v>
      </c>
      <c r="H3160" s="9"/>
    </row>
    <row r="3161" ht="14.25" customHeight="1">
      <c r="C3161" s="9" t="s">
        <v>3117</v>
      </c>
      <c r="D3161" s="9" t="s">
        <v>3123</v>
      </c>
      <c r="E3161" s="9" t="s">
        <v>3103</v>
      </c>
      <c r="F3161" s="9" t="s">
        <v>507</v>
      </c>
      <c r="H3161" s="9"/>
    </row>
    <row r="3162" ht="14.25" customHeight="1">
      <c r="C3162" s="9" t="s">
        <v>3117</v>
      </c>
      <c r="D3162" s="9" t="s">
        <v>3123</v>
      </c>
      <c r="E3162" s="9" t="s">
        <v>3103</v>
      </c>
      <c r="F3162" s="9" t="s">
        <v>336</v>
      </c>
      <c r="H3162" s="9"/>
    </row>
    <row r="3163" ht="14.25" customHeight="1">
      <c r="C3163" s="9" t="s">
        <v>3117</v>
      </c>
      <c r="D3163" s="9" t="s">
        <v>3123</v>
      </c>
      <c r="E3163" s="9" t="s">
        <v>3103</v>
      </c>
      <c r="F3163" s="9" t="s">
        <v>235</v>
      </c>
      <c r="H3163" s="9"/>
    </row>
    <row r="3164" ht="14.25" customHeight="1">
      <c r="C3164" s="9" t="s">
        <v>3117</v>
      </c>
      <c r="D3164" s="9" t="s">
        <v>3123</v>
      </c>
      <c r="E3164" s="9" t="s">
        <v>3103</v>
      </c>
      <c r="F3164" s="9" t="s">
        <v>327</v>
      </c>
      <c r="H3164" s="9"/>
    </row>
    <row r="3165" ht="14.25" customHeight="1">
      <c r="C3165" s="9" t="s">
        <v>3117</v>
      </c>
      <c r="D3165" s="9" t="s">
        <v>3123</v>
      </c>
      <c r="E3165" s="9" t="s">
        <v>3103</v>
      </c>
      <c r="F3165" s="9" t="s">
        <v>264</v>
      </c>
      <c r="H3165" s="9"/>
    </row>
    <row r="3166" ht="14.25" customHeight="1">
      <c r="C3166" s="9" t="s">
        <v>3117</v>
      </c>
      <c r="D3166" s="9" t="s">
        <v>3124</v>
      </c>
      <c r="E3166" s="9" t="s">
        <v>3103</v>
      </c>
      <c r="F3166" s="9" t="s">
        <v>474</v>
      </c>
      <c r="H3166" s="9"/>
    </row>
    <row r="3167" ht="14.25" customHeight="1">
      <c r="C3167" s="9" t="s">
        <v>3117</v>
      </c>
      <c r="D3167" s="9" t="s">
        <v>3124</v>
      </c>
      <c r="E3167" s="9" t="s">
        <v>3103</v>
      </c>
      <c r="F3167" s="9" t="s">
        <v>284</v>
      </c>
      <c r="H3167" s="9"/>
    </row>
    <row r="3168" ht="14.25" customHeight="1">
      <c r="C3168" s="9" t="s">
        <v>3117</v>
      </c>
      <c r="D3168" s="9" t="s">
        <v>3124</v>
      </c>
      <c r="E3168" s="9" t="s">
        <v>3103</v>
      </c>
      <c r="F3168" s="9" t="s">
        <v>493</v>
      </c>
      <c r="H3168" s="9"/>
    </row>
    <row r="3169" ht="14.25" customHeight="1">
      <c r="C3169" s="9" t="s">
        <v>3117</v>
      </c>
      <c r="D3169" s="9" t="s">
        <v>3124</v>
      </c>
      <c r="E3169" s="9" t="s">
        <v>3103</v>
      </c>
      <c r="F3169" s="9" t="s">
        <v>450</v>
      </c>
      <c r="H3169" s="9"/>
    </row>
    <row r="3170" ht="14.25" customHeight="1">
      <c r="C3170" s="9" t="s">
        <v>3117</v>
      </c>
      <c r="D3170" s="9" t="s">
        <v>3124</v>
      </c>
      <c r="E3170" s="9" t="s">
        <v>3103</v>
      </c>
      <c r="F3170" s="9" t="s">
        <v>395</v>
      </c>
      <c r="H3170" s="9"/>
    </row>
    <row r="3171" ht="14.25" customHeight="1">
      <c r="C3171" s="9" t="s">
        <v>3117</v>
      </c>
      <c r="D3171" s="9" t="s">
        <v>3124</v>
      </c>
      <c r="E3171" s="9" t="s">
        <v>3103</v>
      </c>
      <c r="F3171" s="9" t="s">
        <v>276</v>
      </c>
      <c r="H3171" s="9"/>
    </row>
    <row r="3172" ht="14.25" customHeight="1">
      <c r="C3172" s="9" t="s">
        <v>3117</v>
      </c>
      <c r="D3172" s="9" t="s">
        <v>3124</v>
      </c>
      <c r="E3172" s="9" t="s">
        <v>3103</v>
      </c>
      <c r="F3172" s="9" t="s">
        <v>431</v>
      </c>
      <c r="H3172" s="9"/>
    </row>
    <row r="3173" ht="14.25" customHeight="1">
      <c r="C3173" s="9" t="s">
        <v>3117</v>
      </c>
      <c r="D3173" s="9" t="s">
        <v>3124</v>
      </c>
      <c r="E3173" s="9" t="s">
        <v>3103</v>
      </c>
      <c r="F3173" s="9" t="s">
        <v>1272</v>
      </c>
      <c r="H3173" s="9"/>
    </row>
    <row r="3174" ht="14.25" customHeight="1">
      <c r="C3174" s="9" t="s">
        <v>3117</v>
      </c>
      <c r="D3174" s="9" t="s">
        <v>3124</v>
      </c>
      <c r="E3174" s="9" t="s">
        <v>3103</v>
      </c>
      <c r="F3174" s="9" t="s">
        <v>420</v>
      </c>
      <c r="H3174" s="9"/>
    </row>
    <row r="3175" ht="14.25" customHeight="1">
      <c r="C3175" s="9" t="s">
        <v>3117</v>
      </c>
      <c r="D3175" s="9" t="s">
        <v>3124</v>
      </c>
      <c r="E3175" s="9" t="s">
        <v>3103</v>
      </c>
      <c r="F3175" s="9" t="s">
        <v>482</v>
      </c>
      <c r="H3175" s="9"/>
    </row>
    <row r="3176" ht="14.25" customHeight="1">
      <c r="C3176" s="9" t="s">
        <v>3117</v>
      </c>
      <c r="D3176" s="9" t="s">
        <v>3124</v>
      </c>
      <c r="E3176" s="9" t="s">
        <v>3103</v>
      </c>
      <c r="F3176" s="9" t="s">
        <v>136</v>
      </c>
      <c r="H3176" s="9"/>
    </row>
    <row r="3177" ht="14.25" customHeight="1">
      <c r="C3177" s="9" t="s">
        <v>3117</v>
      </c>
      <c r="D3177" s="9" t="s">
        <v>3124</v>
      </c>
      <c r="E3177" s="9" t="s">
        <v>3103</v>
      </c>
      <c r="F3177" s="9" t="s">
        <v>408</v>
      </c>
      <c r="H3177" s="9"/>
    </row>
    <row r="3178" ht="14.25" customHeight="1">
      <c r="C3178" s="9" t="s">
        <v>3117</v>
      </c>
      <c r="D3178" s="9" t="s">
        <v>3124</v>
      </c>
      <c r="E3178" s="9" t="s">
        <v>3103</v>
      </c>
      <c r="F3178" s="9" t="s">
        <v>2589</v>
      </c>
      <c r="H3178" s="9"/>
    </row>
    <row r="3179" ht="14.25" customHeight="1">
      <c r="C3179" s="9" t="s">
        <v>3117</v>
      </c>
      <c r="D3179" s="9" t="s">
        <v>3124</v>
      </c>
      <c r="E3179" s="9" t="s">
        <v>3103</v>
      </c>
      <c r="F3179" s="9" t="s">
        <v>197</v>
      </c>
      <c r="H3179" s="9"/>
    </row>
    <row r="3180" ht="14.25" customHeight="1">
      <c r="C3180" s="9" t="s">
        <v>3117</v>
      </c>
      <c r="D3180" s="9" t="s">
        <v>3124</v>
      </c>
      <c r="E3180" s="9" t="s">
        <v>3103</v>
      </c>
      <c r="F3180" s="9" t="s">
        <v>172</v>
      </c>
      <c r="H3180" s="9"/>
    </row>
    <row r="3181" ht="14.25" customHeight="1">
      <c r="C3181" s="9" t="s">
        <v>3117</v>
      </c>
      <c r="D3181" s="9" t="s">
        <v>3124</v>
      </c>
      <c r="E3181" s="9" t="s">
        <v>3103</v>
      </c>
      <c r="F3181" s="9" t="s">
        <v>98</v>
      </c>
      <c r="H3181" s="9"/>
    </row>
    <row r="3182" ht="14.25" customHeight="1">
      <c r="C3182" s="9" t="s">
        <v>3117</v>
      </c>
      <c r="D3182" s="9" t="s">
        <v>3124</v>
      </c>
      <c r="E3182" s="9" t="s">
        <v>3103</v>
      </c>
      <c r="F3182" s="9" t="s">
        <v>341</v>
      </c>
      <c r="H3182" s="9"/>
    </row>
    <row r="3183" ht="14.25" customHeight="1">
      <c r="C3183" s="9" t="s">
        <v>3117</v>
      </c>
      <c r="D3183" s="9" t="s">
        <v>3124</v>
      </c>
      <c r="E3183" s="9" t="s">
        <v>3103</v>
      </c>
      <c r="F3183" s="9" t="s">
        <v>367</v>
      </c>
      <c r="H3183" s="9"/>
    </row>
    <row r="3184" ht="14.25" customHeight="1">
      <c r="C3184" s="9" t="s">
        <v>3117</v>
      </c>
      <c r="D3184" s="9" t="s">
        <v>3124</v>
      </c>
      <c r="E3184" s="9" t="s">
        <v>3103</v>
      </c>
      <c r="F3184" s="9" t="s">
        <v>529</v>
      </c>
      <c r="H3184" s="9"/>
    </row>
    <row r="3185" ht="14.25" customHeight="1">
      <c r="C3185" s="9" t="s">
        <v>3117</v>
      </c>
      <c r="D3185" s="9" t="s">
        <v>3124</v>
      </c>
      <c r="E3185" s="9" t="s">
        <v>3103</v>
      </c>
      <c r="F3185" s="9" t="s">
        <v>282</v>
      </c>
      <c r="H3185" s="9"/>
    </row>
    <row r="3186" ht="14.25" customHeight="1">
      <c r="C3186" s="9" t="s">
        <v>3117</v>
      </c>
      <c r="D3186" s="9" t="s">
        <v>3124</v>
      </c>
      <c r="E3186" s="9" t="s">
        <v>3103</v>
      </c>
      <c r="F3186" s="9" t="s">
        <v>321</v>
      </c>
      <c r="H3186" s="9"/>
    </row>
    <row r="3187" ht="14.25" customHeight="1">
      <c r="C3187" s="9" t="s">
        <v>3117</v>
      </c>
      <c r="D3187" s="9" t="s">
        <v>3124</v>
      </c>
      <c r="E3187" s="9" t="s">
        <v>3103</v>
      </c>
      <c r="F3187" s="9" t="s">
        <v>272</v>
      </c>
      <c r="H3187" s="9"/>
    </row>
    <row r="3188" ht="14.25" customHeight="1">
      <c r="C3188" s="9" t="s">
        <v>3117</v>
      </c>
      <c r="D3188" s="9" t="s">
        <v>3124</v>
      </c>
      <c r="E3188" s="9" t="s">
        <v>3103</v>
      </c>
      <c r="F3188" s="9" t="s">
        <v>517</v>
      </c>
      <c r="H3188" s="9"/>
    </row>
    <row r="3189" ht="14.25" customHeight="1">
      <c r="C3189" s="9" t="s">
        <v>3117</v>
      </c>
      <c r="D3189" s="9" t="s">
        <v>3124</v>
      </c>
      <c r="E3189" s="9" t="s">
        <v>3103</v>
      </c>
      <c r="F3189" s="9" t="s">
        <v>2593</v>
      </c>
      <c r="H3189" s="9"/>
    </row>
    <row r="3190" ht="14.25" customHeight="1">
      <c r="C3190" s="9" t="s">
        <v>3117</v>
      </c>
      <c r="D3190" s="9" t="s">
        <v>3124</v>
      </c>
      <c r="E3190" s="9" t="s">
        <v>3103</v>
      </c>
      <c r="F3190" s="9" t="s">
        <v>507</v>
      </c>
      <c r="H3190" s="9"/>
    </row>
    <row r="3191" ht="14.25" customHeight="1">
      <c r="C3191" s="9" t="s">
        <v>3117</v>
      </c>
      <c r="D3191" s="9" t="s">
        <v>3124</v>
      </c>
      <c r="E3191" s="9" t="s">
        <v>3103</v>
      </c>
      <c r="F3191" s="9" t="s">
        <v>336</v>
      </c>
      <c r="H3191" s="9"/>
    </row>
    <row r="3192" ht="14.25" customHeight="1">
      <c r="C3192" s="9" t="s">
        <v>3117</v>
      </c>
      <c r="D3192" s="9" t="s">
        <v>3124</v>
      </c>
      <c r="E3192" s="9" t="s">
        <v>3103</v>
      </c>
      <c r="F3192" s="9" t="s">
        <v>235</v>
      </c>
      <c r="H3192" s="9"/>
    </row>
    <row r="3193" ht="14.25" customHeight="1">
      <c r="C3193" s="9" t="s">
        <v>3117</v>
      </c>
      <c r="D3193" s="9" t="s">
        <v>3124</v>
      </c>
      <c r="E3193" s="9" t="s">
        <v>3103</v>
      </c>
      <c r="F3193" s="9" t="s">
        <v>327</v>
      </c>
      <c r="H3193" s="9"/>
    </row>
    <row r="3194" ht="14.25" customHeight="1">
      <c r="C3194" s="9" t="s">
        <v>3117</v>
      </c>
      <c r="D3194" s="9" t="s">
        <v>3124</v>
      </c>
      <c r="E3194" s="9" t="s">
        <v>3103</v>
      </c>
      <c r="F3194" s="9" t="s">
        <v>264</v>
      </c>
      <c r="H3194" s="9"/>
    </row>
    <row r="3195" ht="14.25" customHeight="1">
      <c r="C3195" s="9" t="s">
        <v>3117</v>
      </c>
      <c r="D3195" s="9" t="s">
        <v>3125</v>
      </c>
      <c r="E3195" s="9" t="s">
        <v>3103</v>
      </c>
      <c r="F3195" s="9" t="s">
        <v>474</v>
      </c>
      <c r="H3195" s="9"/>
    </row>
    <row r="3196" ht="14.25" customHeight="1">
      <c r="C3196" s="9" t="s">
        <v>3117</v>
      </c>
      <c r="D3196" s="9" t="s">
        <v>3125</v>
      </c>
      <c r="E3196" s="9" t="s">
        <v>3103</v>
      </c>
      <c r="F3196" s="9" t="s">
        <v>284</v>
      </c>
      <c r="H3196" s="9"/>
    </row>
    <row r="3197" ht="14.25" customHeight="1">
      <c r="C3197" s="9" t="s">
        <v>3117</v>
      </c>
      <c r="D3197" s="9" t="s">
        <v>3125</v>
      </c>
      <c r="E3197" s="9" t="s">
        <v>3103</v>
      </c>
      <c r="F3197" s="9" t="s">
        <v>493</v>
      </c>
      <c r="H3197" s="9"/>
    </row>
    <row r="3198" ht="14.25" customHeight="1">
      <c r="C3198" s="9" t="s">
        <v>3117</v>
      </c>
      <c r="D3198" s="9" t="s">
        <v>3125</v>
      </c>
      <c r="E3198" s="9" t="s">
        <v>3103</v>
      </c>
      <c r="F3198" s="9" t="s">
        <v>450</v>
      </c>
      <c r="H3198" s="9"/>
    </row>
    <row r="3199" ht="14.25" customHeight="1">
      <c r="C3199" s="9" t="s">
        <v>3117</v>
      </c>
      <c r="D3199" s="9" t="s">
        <v>3125</v>
      </c>
      <c r="E3199" s="9" t="s">
        <v>3103</v>
      </c>
      <c r="F3199" s="9" t="s">
        <v>395</v>
      </c>
      <c r="H3199" s="9"/>
    </row>
    <row r="3200" ht="14.25" customHeight="1">
      <c r="C3200" s="9" t="s">
        <v>3117</v>
      </c>
      <c r="D3200" s="9" t="s">
        <v>3125</v>
      </c>
      <c r="E3200" s="9" t="s">
        <v>3103</v>
      </c>
      <c r="F3200" s="9" t="s">
        <v>276</v>
      </c>
      <c r="H3200" s="9"/>
    </row>
    <row r="3201" ht="14.25" customHeight="1">
      <c r="C3201" s="9" t="s">
        <v>3117</v>
      </c>
      <c r="D3201" s="9" t="s">
        <v>3125</v>
      </c>
      <c r="E3201" s="9" t="s">
        <v>3103</v>
      </c>
      <c r="F3201" s="9" t="s">
        <v>431</v>
      </c>
      <c r="H3201" s="9"/>
    </row>
    <row r="3202" ht="14.25" customHeight="1">
      <c r="C3202" s="9" t="s">
        <v>3117</v>
      </c>
      <c r="D3202" s="9" t="s">
        <v>3125</v>
      </c>
      <c r="E3202" s="9" t="s">
        <v>3103</v>
      </c>
      <c r="F3202" s="9" t="s">
        <v>1272</v>
      </c>
      <c r="H3202" s="9"/>
    </row>
    <row r="3203" ht="14.25" customHeight="1">
      <c r="C3203" s="9" t="s">
        <v>3117</v>
      </c>
      <c r="D3203" s="9" t="s">
        <v>3125</v>
      </c>
      <c r="E3203" s="9" t="s">
        <v>3103</v>
      </c>
      <c r="F3203" s="9" t="s">
        <v>420</v>
      </c>
      <c r="H3203" s="9"/>
    </row>
    <row r="3204" ht="14.25" customHeight="1">
      <c r="C3204" s="9" t="s">
        <v>3117</v>
      </c>
      <c r="D3204" s="9" t="s">
        <v>3125</v>
      </c>
      <c r="E3204" s="9" t="s">
        <v>3103</v>
      </c>
      <c r="F3204" s="9" t="s">
        <v>482</v>
      </c>
      <c r="H3204" s="9"/>
    </row>
    <row r="3205" ht="14.25" customHeight="1">
      <c r="C3205" s="9" t="s">
        <v>3117</v>
      </c>
      <c r="D3205" s="9" t="s">
        <v>3125</v>
      </c>
      <c r="E3205" s="9" t="s">
        <v>3103</v>
      </c>
      <c r="F3205" s="9" t="s">
        <v>136</v>
      </c>
      <c r="H3205" s="9"/>
    </row>
    <row r="3206" ht="14.25" customHeight="1">
      <c r="C3206" s="9" t="s">
        <v>3117</v>
      </c>
      <c r="D3206" s="9" t="s">
        <v>3125</v>
      </c>
      <c r="E3206" s="9" t="s">
        <v>3103</v>
      </c>
      <c r="F3206" s="9" t="s">
        <v>408</v>
      </c>
      <c r="H3206" s="9"/>
    </row>
    <row r="3207" ht="14.25" customHeight="1">
      <c r="C3207" s="9" t="s">
        <v>3117</v>
      </c>
      <c r="D3207" s="9" t="s">
        <v>3125</v>
      </c>
      <c r="E3207" s="9" t="s">
        <v>3103</v>
      </c>
      <c r="F3207" s="9" t="s">
        <v>2589</v>
      </c>
      <c r="H3207" s="9"/>
    </row>
    <row r="3208" ht="14.25" customHeight="1">
      <c r="C3208" s="9" t="s">
        <v>3117</v>
      </c>
      <c r="D3208" s="9" t="s">
        <v>3125</v>
      </c>
      <c r="E3208" s="9" t="s">
        <v>3103</v>
      </c>
      <c r="F3208" s="9" t="s">
        <v>197</v>
      </c>
      <c r="H3208" s="9"/>
    </row>
    <row r="3209" ht="14.25" customHeight="1">
      <c r="C3209" s="9" t="s">
        <v>3117</v>
      </c>
      <c r="D3209" s="9" t="s">
        <v>3125</v>
      </c>
      <c r="E3209" s="9" t="s">
        <v>3103</v>
      </c>
      <c r="F3209" s="9" t="s">
        <v>172</v>
      </c>
      <c r="H3209" s="9"/>
    </row>
    <row r="3210" ht="14.25" customHeight="1">
      <c r="C3210" s="9" t="s">
        <v>3117</v>
      </c>
      <c r="D3210" s="9" t="s">
        <v>3125</v>
      </c>
      <c r="E3210" s="9" t="s">
        <v>3103</v>
      </c>
      <c r="F3210" s="9" t="s">
        <v>98</v>
      </c>
      <c r="H3210" s="9"/>
    </row>
    <row r="3211" ht="14.25" customHeight="1">
      <c r="C3211" s="9" t="s">
        <v>3117</v>
      </c>
      <c r="D3211" s="9" t="s">
        <v>3125</v>
      </c>
      <c r="E3211" s="9" t="s">
        <v>3103</v>
      </c>
      <c r="F3211" s="9" t="s">
        <v>341</v>
      </c>
      <c r="H3211" s="9"/>
    </row>
    <row r="3212" ht="14.25" customHeight="1">
      <c r="C3212" s="9" t="s">
        <v>3117</v>
      </c>
      <c r="D3212" s="9" t="s">
        <v>3125</v>
      </c>
      <c r="E3212" s="9" t="s">
        <v>3103</v>
      </c>
      <c r="F3212" s="9" t="s">
        <v>367</v>
      </c>
      <c r="H3212" s="9"/>
    </row>
    <row r="3213" ht="14.25" customHeight="1">
      <c r="C3213" s="9" t="s">
        <v>3117</v>
      </c>
      <c r="D3213" s="9" t="s">
        <v>3125</v>
      </c>
      <c r="E3213" s="9" t="s">
        <v>3103</v>
      </c>
      <c r="F3213" s="9" t="s">
        <v>529</v>
      </c>
      <c r="H3213" s="9"/>
    </row>
    <row r="3214" ht="14.25" customHeight="1">
      <c r="C3214" s="9" t="s">
        <v>3117</v>
      </c>
      <c r="D3214" s="9" t="s">
        <v>3125</v>
      </c>
      <c r="E3214" s="9" t="s">
        <v>3103</v>
      </c>
      <c r="F3214" s="9" t="s">
        <v>282</v>
      </c>
      <c r="H3214" s="9"/>
    </row>
    <row r="3215" ht="14.25" customHeight="1">
      <c r="C3215" s="9" t="s">
        <v>3117</v>
      </c>
      <c r="D3215" s="9" t="s">
        <v>3125</v>
      </c>
      <c r="E3215" s="9" t="s">
        <v>3103</v>
      </c>
      <c r="F3215" s="9" t="s">
        <v>321</v>
      </c>
      <c r="H3215" s="9"/>
    </row>
    <row r="3216" ht="14.25" customHeight="1">
      <c r="C3216" s="9" t="s">
        <v>3117</v>
      </c>
      <c r="D3216" s="9" t="s">
        <v>3125</v>
      </c>
      <c r="E3216" s="9" t="s">
        <v>3103</v>
      </c>
      <c r="F3216" s="9" t="s">
        <v>272</v>
      </c>
      <c r="H3216" s="9"/>
    </row>
    <row r="3217" ht="14.25" customHeight="1">
      <c r="C3217" s="9" t="s">
        <v>3117</v>
      </c>
      <c r="D3217" s="9" t="s">
        <v>3125</v>
      </c>
      <c r="E3217" s="9" t="s">
        <v>3103</v>
      </c>
      <c r="F3217" s="9" t="s">
        <v>517</v>
      </c>
      <c r="H3217" s="9"/>
    </row>
    <row r="3218" ht="14.25" customHeight="1">
      <c r="C3218" s="9" t="s">
        <v>3117</v>
      </c>
      <c r="D3218" s="9" t="s">
        <v>3125</v>
      </c>
      <c r="E3218" s="9" t="s">
        <v>3103</v>
      </c>
      <c r="F3218" s="9" t="s">
        <v>2593</v>
      </c>
      <c r="H3218" s="9"/>
    </row>
    <row r="3219" ht="14.25" customHeight="1">
      <c r="C3219" s="9" t="s">
        <v>3117</v>
      </c>
      <c r="D3219" s="9" t="s">
        <v>3125</v>
      </c>
      <c r="E3219" s="9" t="s">
        <v>3103</v>
      </c>
      <c r="F3219" s="9" t="s">
        <v>507</v>
      </c>
      <c r="H3219" s="9"/>
    </row>
    <row r="3220" ht="14.25" customHeight="1">
      <c r="C3220" s="9" t="s">
        <v>3117</v>
      </c>
      <c r="D3220" s="9" t="s">
        <v>3125</v>
      </c>
      <c r="E3220" s="9" t="s">
        <v>3103</v>
      </c>
      <c r="F3220" s="9" t="s">
        <v>336</v>
      </c>
      <c r="H3220" s="9"/>
    </row>
    <row r="3221" ht="14.25" customHeight="1">
      <c r="C3221" s="9" t="s">
        <v>3117</v>
      </c>
      <c r="D3221" s="9" t="s">
        <v>3125</v>
      </c>
      <c r="E3221" s="9" t="s">
        <v>3103</v>
      </c>
      <c r="F3221" s="9" t="s">
        <v>235</v>
      </c>
      <c r="H3221" s="9"/>
    </row>
    <row r="3222" ht="14.25" customHeight="1">
      <c r="C3222" s="9" t="s">
        <v>3117</v>
      </c>
      <c r="D3222" s="9" t="s">
        <v>3125</v>
      </c>
      <c r="E3222" s="9" t="s">
        <v>3103</v>
      </c>
      <c r="F3222" s="9" t="s">
        <v>327</v>
      </c>
      <c r="H3222" s="9"/>
    </row>
    <row r="3223" ht="14.25" customHeight="1">
      <c r="C3223" s="9" t="s">
        <v>3117</v>
      </c>
      <c r="D3223" s="9" t="s">
        <v>3125</v>
      </c>
      <c r="E3223" s="9" t="s">
        <v>3103</v>
      </c>
      <c r="F3223" s="9" t="s">
        <v>264</v>
      </c>
      <c r="H3223" s="9"/>
    </row>
    <row r="3224" ht="14.25" customHeight="1">
      <c r="C3224" s="9" t="s">
        <v>3117</v>
      </c>
      <c r="D3224" s="9" t="s">
        <v>3126</v>
      </c>
      <c r="E3224" s="9" t="s">
        <v>3103</v>
      </c>
      <c r="F3224" s="9" t="s">
        <v>474</v>
      </c>
      <c r="H3224" s="9"/>
    </row>
    <row r="3225" ht="14.25" customHeight="1">
      <c r="C3225" s="9" t="s">
        <v>3117</v>
      </c>
      <c r="D3225" s="9" t="s">
        <v>3126</v>
      </c>
      <c r="E3225" s="9" t="s">
        <v>3103</v>
      </c>
      <c r="F3225" s="9" t="s">
        <v>284</v>
      </c>
      <c r="H3225" s="9"/>
    </row>
    <row r="3226" ht="14.25" customHeight="1">
      <c r="C3226" s="9" t="s">
        <v>3117</v>
      </c>
      <c r="D3226" s="9" t="s">
        <v>3126</v>
      </c>
      <c r="E3226" s="9" t="s">
        <v>3103</v>
      </c>
      <c r="F3226" s="9" t="s">
        <v>493</v>
      </c>
      <c r="H3226" s="9"/>
    </row>
    <row r="3227" ht="14.25" customHeight="1">
      <c r="C3227" s="9" t="s">
        <v>3117</v>
      </c>
      <c r="D3227" s="9" t="s">
        <v>3126</v>
      </c>
      <c r="E3227" s="9" t="s">
        <v>3103</v>
      </c>
      <c r="F3227" s="9" t="s">
        <v>450</v>
      </c>
      <c r="H3227" s="9"/>
    </row>
    <row r="3228" ht="14.25" customHeight="1">
      <c r="C3228" s="9" t="s">
        <v>3117</v>
      </c>
      <c r="D3228" s="9" t="s">
        <v>3126</v>
      </c>
      <c r="E3228" s="9" t="s">
        <v>3103</v>
      </c>
      <c r="F3228" s="9" t="s">
        <v>395</v>
      </c>
      <c r="H3228" s="9"/>
    </row>
    <row r="3229" ht="14.25" customHeight="1">
      <c r="C3229" s="9" t="s">
        <v>3117</v>
      </c>
      <c r="D3229" s="9" t="s">
        <v>3126</v>
      </c>
      <c r="E3229" s="9" t="s">
        <v>3103</v>
      </c>
      <c r="F3229" s="9" t="s">
        <v>276</v>
      </c>
      <c r="H3229" s="9"/>
    </row>
    <row r="3230" ht="14.25" customHeight="1">
      <c r="C3230" s="9" t="s">
        <v>3117</v>
      </c>
      <c r="D3230" s="9" t="s">
        <v>3126</v>
      </c>
      <c r="E3230" s="9" t="s">
        <v>3103</v>
      </c>
      <c r="F3230" s="9" t="s">
        <v>431</v>
      </c>
      <c r="H3230" s="9"/>
    </row>
    <row r="3231" ht="14.25" customHeight="1">
      <c r="C3231" s="9" t="s">
        <v>3117</v>
      </c>
      <c r="D3231" s="9" t="s">
        <v>3126</v>
      </c>
      <c r="E3231" s="9" t="s">
        <v>3103</v>
      </c>
      <c r="F3231" s="9" t="s">
        <v>1272</v>
      </c>
      <c r="H3231" s="9"/>
    </row>
    <row r="3232" ht="14.25" customHeight="1">
      <c r="C3232" s="9" t="s">
        <v>3117</v>
      </c>
      <c r="D3232" s="9" t="s">
        <v>3126</v>
      </c>
      <c r="E3232" s="9" t="s">
        <v>3103</v>
      </c>
      <c r="F3232" s="9" t="s">
        <v>420</v>
      </c>
      <c r="H3232" s="9"/>
    </row>
    <row r="3233" ht="14.25" customHeight="1">
      <c r="C3233" s="9" t="s">
        <v>3117</v>
      </c>
      <c r="D3233" s="9" t="s">
        <v>3126</v>
      </c>
      <c r="E3233" s="9" t="s">
        <v>3103</v>
      </c>
      <c r="F3233" s="9" t="s">
        <v>482</v>
      </c>
      <c r="H3233" s="9"/>
    </row>
    <row r="3234" ht="14.25" customHeight="1">
      <c r="C3234" s="9" t="s">
        <v>3117</v>
      </c>
      <c r="D3234" s="9" t="s">
        <v>3126</v>
      </c>
      <c r="E3234" s="9" t="s">
        <v>3103</v>
      </c>
      <c r="F3234" s="9" t="s">
        <v>136</v>
      </c>
      <c r="H3234" s="9"/>
    </row>
    <row r="3235" ht="14.25" customHeight="1">
      <c r="C3235" s="9" t="s">
        <v>3117</v>
      </c>
      <c r="D3235" s="9" t="s">
        <v>3126</v>
      </c>
      <c r="E3235" s="9" t="s">
        <v>3103</v>
      </c>
      <c r="F3235" s="9" t="s">
        <v>408</v>
      </c>
      <c r="H3235" s="9"/>
    </row>
    <row r="3236" ht="14.25" customHeight="1">
      <c r="C3236" s="9" t="s">
        <v>3117</v>
      </c>
      <c r="D3236" s="9" t="s">
        <v>3126</v>
      </c>
      <c r="E3236" s="9" t="s">
        <v>3103</v>
      </c>
      <c r="F3236" s="9" t="s">
        <v>2589</v>
      </c>
      <c r="H3236" s="9"/>
    </row>
    <row r="3237" ht="14.25" customHeight="1">
      <c r="C3237" s="9" t="s">
        <v>3117</v>
      </c>
      <c r="D3237" s="9" t="s">
        <v>3126</v>
      </c>
      <c r="E3237" s="9" t="s">
        <v>3103</v>
      </c>
      <c r="F3237" s="9" t="s">
        <v>197</v>
      </c>
      <c r="H3237" s="9"/>
    </row>
    <row r="3238" ht="14.25" customHeight="1">
      <c r="C3238" s="9" t="s">
        <v>3117</v>
      </c>
      <c r="D3238" s="9" t="s">
        <v>3126</v>
      </c>
      <c r="E3238" s="9" t="s">
        <v>3103</v>
      </c>
      <c r="F3238" s="9" t="s">
        <v>172</v>
      </c>
      <c r="H3238" s="9"/>
    </row>
    <row r="3239" ht="14.25" customHeight="1">
      <c r="C3239" s="9" t="s">
        <v>3117</v>
      </c>
      <c r="D3239" s="9" t="s">
        <v>3126</v>
      </c>
      <c r="E3239" s="9" t="s">
        <v>3103</v>
      </c>
      <c r="F3239" s="9" t="s">
        <v>98</v>
      </c>
      <c r="H3239" s="9"/>
    </row>
    <row r="3240" ht="14.25" customHeight="1">
      <c r="C3240" s="9" t="s">
        <v>3117</v>
      </c>
      <c r="D3240" s="9" t="s">
        <v>3126</v>
      </c>
      <c r="E3240" s="9" t="s">
        <v>3103</v>
      </c>
      <c r="F3240" s="9" t="s">
        <v>341</v>
      </c>
      <c r="H3240" s="9"/>
    </row>
    <row r="3241" ht="14.25" customHeight="1">
      <c r="C3241" s="9" t="s">
        <v>3117</v>
      </c>
      <c r="D3241" s="9" t="s">
        <v>3126</v>
      </c>
      <c r="E3241" s="9" t="s">
        <v>3103</v>
      </c>
      <c r="F3241" s="9" t="s">
        <v>367</v>
      </c>
      <c r="H3241" s="9"/>
    </row>
    <row r="3242" ht="14.25" customHeight="1">
      <c r="C3242" s="9" t="s">
        <v>3117</v>
      </c>
      <c r="D3242" s="9" t="s">
        <v>3126</v>
      </c>
      <c r="E3242" s="9" t="s">
        <v>3103</v>
      </c>
      <c r="F3242" s="9" t="s">
        <v>529</v>
      </c>
      <c r="H3242" s="9"/>
    </row>
    <row r="3243" ht="14.25" customHeight="1">
      <c r="C3243" s="9" t="s">
        <v>3117</v>
      </c>
      <c r="D3243" s="9" t="s">
        <v>3126</v>
      </c>
      <c r="E3243" s="9" t="s">
        <v>3103</v>
      </c>
      <c r="F3243" s="9" t="s">
        <v>282</v>
      </c>
      <c r="H3243" s="9"/>
    </row>
    <row r="3244" ht="14.25" customHeight="1">
      <c r="C3244" s="9" t="s">
        <v>3117</v>
      </c>
      <c r="D3244" s="9" t="s">
        <v>3126</v>
      </c>
      <c r="E3244" s="9" t="s">
        <v>3103</v>
      </c>
      <c r="F3244" s="9" t="s">
        <v>321</v>
      </c>
      <c r="H3244" s="9"/>
    </row>
    <row r="3245" ht="14.25" customHeight="1">
      <c r="C3245" s="9" t="s">
        <v>3117</v>
      </c>
      <c r="D3245" s="9" t="s">
        <v>3126</v>
      </c>
      <c r="E3245" s="9" t="s">
        <v>3103</v>
      </c>
      <c r="F3245" s="9" t="s">
        <v>272</v>
      </c>
      <c r="H3245" s="9"/>
    </row>
    <row r="3246" ht="14.25" customHeight="1">
      <c r="C3246" s="9" t="s">
        <v>3117</v>
      </c>
      <c r="D3246" s="9" t="s">
        <v>3126</v>
      </c>
      <c r="E3246" s="9" t="s">
        <v>3103</v>
      </c>
      <c r="F3246" s="9" t="s">
        <v>517</v>
      </c>
      <c r="H3246" s="9"/>
    </row>
    <row r="3247" ht="14.25" customHeight="1">
      <c r="C3247" s="9" t="s">
        <v>3117</v>
      </c>
      <c r="D3247" s="9" t="s">
        <v>3126</v>
      </c>
      <c r="E3247" s="9" t="s">
        <v>3103</v>
      </c>
      <c r="F3247" s="9" t="s">
        <v>2593</v>
      </c>
      <c r="H3247" s="9"/>
    </row>
    <row r="3248" ht="14.25" customHeight="1">
      <c r="C3248" s="9" t="s">
        <v>3117</v>
      </c>
      <c r="D3248" s="9" t="s">
        <v>3126</v>
      </c>
      <c r="E3248" s="9" t="s">
        <v>3103</v>
      </c>
      <c r="F3248" s="9" t="s">
        <v>507</v>
      </c>
      <c r="H3248" s="9"/>
    </row>
    <row r="3249" ht="14.25" customHeight="1">
      <c r="C3249" s="9" t="s">
        <v>3117</v>
      </c>
      <c r="D3249" s="9" t="s">
        <v>3126</v>
      </c>
      <c r="E3249" s="9" t="s">
        <v>3103</v>
      </c>
      <c r="F3249" s="9" t="s">
        <v>336</v>
      </c>
      <c r="H3249" s="9"/>
    </row>
    <row r="3250" ht="14.25" customHeight="1">
      <c r="C3250" s="9" t="s">
        <v>3117</v>
      </c>
      <c r="D3250" s="9" t="s">
        <v>3126</v>
      </c>
      <c r="E3250" s="9" t="s">
        <v>3103</v>
      </c>
      <c r="F3250" s="9" t="s">
        <v>235</v>
      </c>
      <c r="H3250" s="9"/>
    </row>
    <row r="3251" ht="14.25" customHeight="1">
      <c r="C3251" s="9" t="s">
        <v>3117</v>
      </c>
      <c r="D3251" s="9" t="s">
        <v>3126</v>
      </c>
      <c r="E3251" s="9" t="s">
        <v>3103</v>
      </c>
      <c r="F3251" s="9" t="s">
        <v>327</v>
      </c>
      <c r="H3251" s="9"/>
    </row>
    <row r="3252" ht="14.25" customHeight="1">
      <c r="C3252" s="9" t="s">
        <v>3117</v>
      </c>
      <c r="D3252" s="9" t="s">
        <v>3126</v>
      </c>
      <c r="E3252" s="9" t="s">
        <v>3103</v>
      </c>
      <c r="F3252" s="9" t="s">
        <v>264</v>
      </c>
      <c r="H3252" s="9"/>
    </row>
    <row r="3253" ht="14.25" customHeight="1">
      <c r="C3253" s="9" t="s">
        <v>3117</v>
      </c>
      <c r="D3253" s="9" t="s">
        <v>3127</v>
      </c>
      <c r="E3253" s="9" t="s">
        <v>3103</v>
      </c>
      <c r="F3253" s="9" t="s">
        <v>474</v>
      </c>
      <c r="H3253" s="9"/>
    </row>
    <row r="3254" ht="14.25" customHeight="1">
      <c r="C3254" s="9" t="s">
        <v>3117</v>
      </c>
      <c r="D3254" s="9" t="s">
        <v>3127</v>
      </c>
      <c r="E3254" s="9" t="s">
        <v>3103</v>
      </c>
      <c r="F3254" s="9" t="s">
        <v>284</v>
      </c>
      <c r="H3254" s="9"/>
    </row>
    <row r="3255" ht="14.25" customHeight="1">
      <c r="C3255" s="9" t="s">
        <v>3117</v>
      </c>
      <c r="D3255" s="9" t="s">
        <v>3127</v>
      </c>
      <c r="E3255" s="9" t="s">
        <v>3103</v>
      </c>
      <c r="F3255" s="9" t="s">
        <v>493</v>
      </c>
      <c r="H3255" s="9"/>
    </row>
    <row r="3256" ht="14.25" customHeight="1">
      <c r="C3256" s="9" t="s">
        <v>3117</v>
      </c>
      <c r="D3256" s="9" t="s">
        <v>3127</v>
      </c>
      <c r="E3256" s="9" t="s">
        <v>3103</v>
      </c>
      <c r="F3256" s="9" t="s">
        <v>450</v>
      </c>
      <c r="H3256" s="9"/>
    </row>
    <row r="3257" ht="14.25" customHeight="1">
      <c r="C3257" s="9" t="s">
        <v>3117</v>
      </c>
      <c r="D3257" s="9" t="s">
        <v>3127</v>
      </c>
      <c r="E3257" s="9" t="s">
        <v>3103</v>
      </c>
      <c r="F3257" s="9" t="s">
        <v>395</v>
      </c>
      <c r="H3257" s="9"/>
    </row>
    <row r="3258" ht="14.25" customHeight="1">
      <c r="C3258" s="9" t="s">
        <v>3117</v>
      </c>
      <c r="D3258" s="9" t="s">
        <v>3127</v>
      </c>
      <c r="E3258" s="9" t="s">
        <v>3103</v>
      </c>
      <c r="F3258" s="9" t="s">
        <v>276</v>
      </c>
      <c r="H3258" s="9"/>
    </row>
    <row r="3259" ht="14.25" customHeight="1">
      <c r="C3259" s="9" t="s">
        <v>3117</v>
      </c>
      <c r="D3259" s="9" t="s">
        <v>3127</v>
      </c>
      <c r="E3259" s="9" t="s">
        <v>3103</v>
      </c>
      <c r="F3259" s="9" t="s">
        <v>431</v>
      </c>
      <c r="H3259" s="9"/>
    </row>
    <row r="3260" ht="14.25" customHeight="1">
      <c r="C3260" s="9" t="s">
        <v>3117</v>
      </c>
      <c r="D3260" s="9" t="s">
        <v>3127</v>
      </c>
      <c r="E3260" s="9" t="s">
        <v>3103</v>
      </c>
      <c r="F3260" s="9" t="s">
        <v>1272</v>
      </c>
      <c r="H3260" s="9"/>
    </row>
    <row r="3261" ht="14.25" customHeight="1">
      <c r="C3261" s="9" t="s">
        <v>3117</v>
      </c>
      <c r="D3261" s="9" t="s">
        <v>3127</v>
      </c>
      <c r="E3261" s="9" t="s">
        <v>3103</v>
      </c>
      <c r="F3261" s="9" t="s">
        <v>420</v>
      </c>
      <c r="H3261" s="9"/>
    </row>
    <row r="3262" ht="14.25" customHeight="1">
      <c r="C3262" s="9" t="s">
        <v>3117</v>
      </c>
      <c r="D3262" s="9" t="s">
        <v>3127</v>
      </c>
      <c r="E3262" s="9" t="s">
        <v>3103</v>
      </c>
      <c r="F3262" s="9" t="s">
        <v>482</v>
      </c>
      <c r="H3262" s="9"/>
    </row>
    <row r="3263" ht="14.25" customHeight="1">
      <c r="C3263" s="9" t="s">
        <v>3117</v>
      </c>
      <c r="D3263" s="9" t="s">
        <v>3127</v>
      </c>
      <c r="E3263" s="9" t="s">
        <v>3103</v>
      </c>
      <c r="F3263" s="9" t="s">
        <v>136</v>
      </c>
      <c r="H3263" s="9"/>
    </row>
    <row r="3264" ht="14.25" customHeight="1">
      <c r="C3264" s="9" t="s">
        <v>3117</v>
      </c>
      <c r="D3264" s="9" t="s">
        <v>3127</v>
      </c>
      <c r="E3264" s="9" t="s">
        <v>3103</v>
      </c>
      <c r="F3264" s="9" t="s">
        <v>408</v>
      </c>
      <c r="H3264" s="9"/>
    </row>
    <row r="3265" ht="14.25" customHeight="1">
      <c r="C3265" s="9" t="s">
        <v>3117</v>
      </c>
      <c r="D3265" s="9" t="s">
        <v>3127</v>
      </c>
      <c r="E3265" s="9" t="s">
        <v>3103</v>
      </c>
      <c r="F3265" s="9" t="s">
        <v>2589</v>
      </c>
      <c r="H3265" s="9"/>
    </row>
    <row r="3266" ht="14.25" customHeight="1">
      <c r="C3266" s="9" t="s">
        <v>3117</v>
      </c>
      <c r="D3266" s="9" t="s">
        <v>3127</v>
      </c>
      <c r="E3266" s="9" t="s">
        <v>3103</v>
      </c>
      <c r="F3266" s="9" t="s">
        <v>197</v>
      </c>
      <c r="H3266" s="9"/>
    </row>
    <row r="3267" ht="14.25" customHeight="1">
      <c r="C3267" s="9" t="s">
        <v>3117</v>
      </c>
      <c r="D3267" s="9" t="s">
        <v>3127</v>
      </c>
      <c r="E3267" s="9" t="s">
        <v>3103</v>
      </c>
      <c r="F3267" s="9" t="s">
        <v>172</v>
      </c>
      <c r="H3267" s="9"/>
    </row>
    <row r="3268" ht="14.25" customHeight="1">
      <c r="C3268" s="9" t="s">
        <v>3117</v>
      </c>
      <c r="D3268" s="9" t="s">
        <v>3127</v>
      </c>
      <c r="E3268" s="9" t="s">
        <v>3103</v>
      </c>
      <c r="F3268" s="9" t="s">
        <v>98</v>
      </c>
      <c r="H3268" s="9"/>
    </row>
    <row r="3269" ht="14.25" customHeight="1">
      <c r="C3269" s="9" t="s">
        <v>3117</v>
      </c>
      <c r="D3269" s="9" t="s">
        <v>3127</v>
      </c>
      <c r="E3269" s="9" t="s">
        <v>3103</v>
      </c>
      <c r="F3269" s="9" t="s">
        <v>341</v>
      </c>
      <c r="H3269" s="9"/>
    </row>
    <row r="3270" ht="14.25" customHeight="1">
      <c r="C3270" s="9" t="s">
        <v>3117</v>
      </c>
      <c r="D3270" s="9" t="s">
        <v>3127</v>
      </c>
      <c r="E3270" s="9" t="s">
        <v>3103</v>
      </c>
      <c r="F3270" s="9" t="s">
        <v>367</v>
      </c>
      <c r="H3270" s="9"/>
    </row>
    <row r="3271" ht="14.25" customHeight="1">
      <c r="C3271" s="9" t="s">
        <v>3117</v>
      </c>
      <c r="D3271" s="9" t="s">
        <v>3127</v>
      </c>
      <c r="E3271" s="9" t="s">
        <v>3103</v>
      </c>
      <c r="F3271" s="9" t="s">
        <v>529</v>
      </c>
      <c r="H3271" s="9"/>
    </row>
    <row r="3272" ht="14.25" customHeight="1">
      <c r="C3272" s="9" t="s">
        <v>3117</v>
      </c>
      <c r="D3272" s="9" t="s">
        <v>3127</v>
      </c>
      <c r="E3272" s="9" t="s">
        <v>3103</v>
      </c>
      <c r="F3272" s="9" t="s">
        <v>282</v>
      </c>
      <c r="H3272" s="9"/>
    </row>
    <row r="3273" ht="14.25" customHeight="1">
      <c r="C3273" s="9" t="s">
        <v>3117</v>
      </c>
      <c r="D3273" s="9" t="s">
        <v>3127</v>
      </c>
      <c r="E3273" s="9" t="s">
        <v>3103</v>
      </c>
      <c r="F3273" s="9" t="s">
        <v>321</v>
      </c>
      <c r="H3273" s="9"/>
    </row>
    <row r="3274" ht="14.25" customHeight="1">
      <c r="C3274" s="9" t="s">
        <v>3117</v>
      </c>
      <c r="D3274" s="9" t="s">
        <v>3127</v>
      </c>
      <c r="E3274" s="9" t="s">
        <v>3103</v>
      </c>
      <c r="F3274" s="9" t="s">
        <v>272</v>
      </c>
      <c r="H3274" s="9"/>
    </row>
    <row r="3275" ht="14.25" customHeight="1">
      <c r="C3275" s="9" t="s">
        <v>3117</v>
      </c>
      <c r="D3275" s="9" t="s">
        <v>3127</v>
      </c>
      <c r="E3275" s="9" t="s">
        <v>3103</v>
      </c>
      <c r="F3275" s="9" t="s">
        <v>517</v>
      </c>
      <c r="H3275" s="9"/>
    </row>
    <row r="3276" ht="14.25" customHeight="1">
      <c r="C3276" s="9" t="s">
        <v>3117</v>
      </c>
      <c r="D3276" s="9" t="s">
        <v>3127</v>
      </c>
      <c r="E3276" s="9" t="s">
        <v>3103</v>
      </c>
      <c r="F3276" s="9" t="s">
        <v>2593</v>
      </c>
      <c r="H3276" s="9"/>
    </row>
    <row r="3277" ht="14.25" customHeight="1">
      <c r="C3277" s="9" t="s">
        <v>3117</v>
      </c>
      <c r="D3277" s="9" t="s">
        <v>3127</v>
      </c>
      <c r="E3277" s="9" t="s">
        <v>3103</v>
      </c>
      <c r="F3277" s="9" t="s">
        <v>507</v>
      </c>
      <c r="H3277" s="9"/>
    </row>
    <row r="3278" ht="14.25" customHeight="1">
      <c r="C3278" s="9" t="s">
        <v>3117</v>
      </c>
      <c r="D3278" s="9" t="s">
        <v>3127</v>
      </c>
      <c r="E3278" s="9" t="s">
        <v>3103</v>
      </c>
      <c r="F3278" s="9" t="s">
        <v>336</v>
      </c>
      <c r="H3278" s="9"/>
    </row>
    <row r="3279" ht="14.25" customHeight="1">
      <c r="C3279" s="9" t="s">
        <v>3117</v>
      </c>
      <c r="D3279" s="9" t="s">
        <v>3127</v>
      </c>
      <c r="E3279" s="9" t="s">
        <v>3103</v>
      </c>
      <c r="F3279" s="9" t="s">
        <v>235</v>
      </c>
      <c r="H3279" s="9"/>
    </row>
    <row r="3280" ht="14.25" customHeight="1">
      <c r="C3280" s="9" t="s">
        <v>3117</v>
      </c>
      <c r="D3280" s="9" t="s">
        <v>3127</v>
      </c>
      <c r="E3280" s="9" t="s">
        <v>3103</v>
      </c>
      <c r="F3280" s="9" t="s">
        <v>327</v>
      </c>
      <c r="H3280" s="9"/>
    </row>
    <row r="3281" ht="14.25" customHeight="1">
      <c r="C3281" s="9" t="s">
        <v>3117</v>
      </c>
      <c r="D3281" s="9" t="s">
        <v>3127</v>
      </c>
      <c r="E3281" s="9" t="s">
        <v>3103</v>
      </c>
      <c r="F3281" s="9" t="s">
        <v>264</v>
      </c>
      <c r="H3281" s="9"/>
    </row>
    <row r="3282" ht="14.25" customHeight="1">
      <c r="C3282" s="9" t="s">
        <v>3117</v>
      </c>
      <c r="D3282" s="9" t="s">
        <v>3128</v>
      </c>
      <c r="E3282" s="9" t="s">
        <v>3103</v>
      </c>
      <c r="F3282" s="9" t="s">
        <v>474</v>
      </c>
      <c r="H3282" s="9"/>
    </row>
    <row r="3283" ht="14.25" customHeight="1">
      <c r="C3283" s="9" t="s">
        <v>3117</v>
      </c>
      <c r="D3283" s="9" t="s">
        <v>3128</v>
      </c>
      <c r="E3283" s="9" t="s">
        <v>3103</v>
      </c>
      <c r="F3283" s="9" t="s">
        <v>284</v>
      </c>
      <c r="H3283" s="9"/>
    </row>
    <row r="3284" ht="14.25" customHeight="1">
      <c r="C3284" s="9" t="s">
        <v>3117</v>
      </c>
      <c r="D3284" s="9" t="s">
        <v>3128</v>
      </c>
      <c r="E3284" s="9" t="s">
        <v>3103</v>
      </c>
      <c r="F3284" s="9" t="s">
        <v>493</v>
      </c>
      <c r="H3284" s="9"/>
    </row>
    <row r="3285" ht="14.25" customHeight="1">
      <c r="C3285" s="9" t="s">
        <v>3117</v>
      </c>
      <c r="D3285" s="9" t="s">
        <v>3128</v>
      </c>
      <c r="E3285" s="9" t="s">
        <v>3103</v>
      </c>
      <c r="F3285" s="9" t="s">
        <v>450</v>
      </c>
      <c r="H3285" s="9"/>
    </row>
    <row r="3286" ht="14.25" customHeight="1">
      <c r="C3286" s="9" t="s">
        <v>3117</v>
      </c>
      <c r="D3286" s="9" t="s">
        <v>3128</v>
      </c>
      <c r="E3286" s="9" t="s">
        <v>3103</v>
      </c>
      <c r="F3286" s="9" t="s">
        <v>395</v>
      </c>
      <c r="H3286" s="9"/>
    </row>
    <row r="3287" ht="14.25" customHeight="1">
      <c r="C3287" s="9" t="s">
        <v>3117</v>
      </c>
      <c r="D3287" s="9" t="s">
        <v>3128</v>
      </c>
      <c r="E3287" s="9" t="s">
        <v>3103</v>
      </c>
      <c r="F3287" s="9" t="s">
        <v>276</v>
      </c>
      <c r="H3287" s="9"/>
    </row>
    <row r="3288" ht="14.25" customHeight="1">
      <c r="C3288" s="9" t="s">
        <v>3117</v>
      </c>
      <c r="D3288" s="9" t="s">
        <v>3128</v>
      </c>
      <c r="E3288" s="9" t="s">
        <v>3103</v>
      </c>
      <c r="F3288" s="9" t="s">
        <v>431</v>
      </c>
      <c r="H3288" s="9"/>
    </row>
    <row r="3289" ht="14.25" customHeight="1">
      <c r="C3289" s="9" t="s">
        <v>3117</v>
      </c>
      <c r="D3289" s="9" t="s">
        <v>3128</v>
      </c>
      <c r="E3289" s="9" t="s">
        <v>3103</v>
      </c>
      <c r="F3289" s="9" t="s">
        <v>1272</v>
      </c>
      <c r="H3289" s="9"/>
    </row>
    <row r="3290" ht="14.25" customHeight="1">
      <c r="C3290" s="9" t="s">
        <v>3117</v>
      </c>
      <c r="D3290" s="9" t="s">
        <v>3128</v>
      </c>
      <c r="E3290" s="9" t="s">
        <v>3103</v>
      </c>
      <c r="F3290" s="9" t="s">
        <v>420</v>
      </c>
      <c r="H3290" s="9"/>
    </row>
    <row r="3291" ht="14.25" customHeight="1">
      <c r="C3291" s="9" t="s">
        <v>3117</v>
      </c>
      <c r="D3291" s="9" t="s">
        <v>3128</v>
      </c>
      <c r="E3291" s="9" t="s">
        <v>3103</v>
      </c>
      <c r="F3291" s="9" t="s">
        <v>482</v>
      </c>
      <c r="H3291" s="9"/>
    </row>
    <row r="3292" ht="14.25" customHeight="1">
      <c r="C3292" s="9" t="s">
        <v>3117</v>
      </c>
      <c r="D3292" s="9" t="s">
        <v>3128</v>
      </c>
      <c r="E3292" s="9" t="s">
        <v>3103</v>
      </c>
      <c r="F3292" s="9" t="s">
        <v>136</v>
      </c>
      <c r="H3292" s="9"/>
    </row>
    <row r="3293" ht="14.25" customHeight="1">
      <c r="C3293" s="9" t="s">
        <v>3117</v>
      </c>
      <c r="D3293" s="9" t="s">
        <v>3128</v>
      </c>
      <c r="E3293" s="9" t="s">
        <v>3103</v>
      </c>
      <c r="F3293" s="9" t="s">
        <v>408</v>
      </c>
      <c r="H3293" s="9"/>
    </row>
    <row r="3294" ht="14.25" customHeight="1">
      <c r="C3294" s="9" t="s">
        <v>3117</v>
      </c>
      <c r="D3294" s="9" t="s">
        <v>3128</v>
      </c>
      <c r="E3294" s="9" t="s">
        <v>3103</v>
      </c>
      <c r="F3294" s="9" t="s">
        <v>2589</v>
      </c>
      <c r="H3294" s="9"/>
    </row>
    <row r="3295" ht="14.25" customHeight="1">
      <c r="C3295" s="9" t="s">
        <v>3117</v>
      </c>
      <c r="D3295" s="9" t="s">
        <v>3128</v>
      </c>
      <c r="E3295" s="9" t="s">
        <v>3103</v>
      </c>
      <c r="F3295" s="9" t="s">
        <v>197</v>
      </c>
      <c r="H3295" s="9"/>
    </row>
    <row r="3296" ht="14.25" customHeight="1">
      <c r="C3296" s="9" t="s">
        <v>3117</v>
      </c>
      <c r="D3296" s="9" t="s">
        <v>3128</v>
      </c>
      <c r="E3296" s="9" t="s">
        <v>3103</v>
      </c>
      <c r="F3296" s="9" t="s">
        <v>172</v>
      </c>
      <c r="H3296" s="9"/>
    </row>
    <row r="3297" ht="14.25" customHeight="1">
      <c r="C3297" s="9" t="s">
        <v>3117</v>
      </c>
      <c r="D3297" s="9" t="s">
        <v>3128</v>
      </c>
      <c r="E3297" s="9" t="s">
        <v>3103</v>
      </c>
      <c r="F3297" s="9" t="s">
        <v>98</v>
      </c>
      <c r="H3297" s="9"/>
    </row>
    <row r="3298" ht="14.25" customHeight="1">
      <c r="C3298" s="9" t="s">
        <v>3117</v>
      </c>
      <c r="D3298" s="9" t="s">
        <v>3128</v>
      </c>
      <c r="E3298" s="9" t="s">
        <v>3103</v>
      </c>
      <c r="F3298" s="9" t="s">
        <v>341</v>
      </c>
      <c r="H3298" s="9"/>
    </row>
    <row r="3299" ht="14.25" customHeight="1">
      <c r="C3299" s="9" t="s">
        <v>3117</v>
      </c>
      <c r="D3299" s="9" t="s">
        <v>3128</v>
      </c>
      <c r="E3299" s="9" t="s">
        <v>3103</v>
      </c>
      <c r="F3299" s="9" t="s">
        <v>367</v>
      </c>
      <c r="H3299" s="9"/>
    </row>
    <row r="3300" ht="14.25" customHeight="1">
      <c r="C3300" s="9" t="s">
        <v>3117</v>
      </c>
      <c r="D3300" s="9" t="s">
        <v>3128</v>
      </c>
      <c r="E3300" s="9" t="s">
        <v>3103</v>
      </c>
      <c r="F3300" s="9" t="s">
        <v>529</v>
      </c>
      <c r="H3300" s="9"/>
    </row>
    <row r="3301" ht="14.25" customHeight="1">
      <c r="C3301" s="9" t="s">
        <v>3117</v>
      </c>
      <c r="D3301" s="9" t="s">
        <v>3128</v>
      </c>
      <c r="E3301" s="9" t="s">
        <v>3103</v>
      </c>
      <c r="F3301" s="9" t="s">
        <v>282</v>
      </c>
      <c r="H3301" s="9"/>
    </row>
    <row r="3302" ht="14.25" customHeight="1">
      <c r="C3302" s="9" t="s">
        <v>3117</v>
      </c>
      <c r="D3302" s="9" t="s">
        <v>3128</v>
      </c>
      <c r="E3302" s="9" t="s">
        <v>3103</v>
      </c>
      <c r="F3302" s="9" t="s">
        <v>321</v>
      </c>
      <c r="H3302" s="9"/>
    </row>
    <row r="3303" ht="14.25" customHeight="1">
      <c r="C3303" s="9" t="s">
        <v>3117</v>
      </c>
      <c r="D3303" s="9" t="s">
        <v>3128</v>
      </c>
      <c r="E3303" s="9" t="s">
        <v>3103</v>
      </c>
      <c r="F3303" s="9" t="s">
        <v>272</v>
      </c>
      <c r="H3303" s="9"/>
    </row>
    <row r="3304" ht="14.25" customHeight="1">
      <c r="C3304" s="9" t="s">
        <v>3117</v>
      </c>
      <c r="D3304" s="9" t="s">
        <v>3128</v>
      </c>
      <c r="E3304" s="9" t="s">
        <v>3103</v>
      </c>
      <c r="F3304" s="9" t="s">
        <v>517</v>
      </c>
      <c r="H3304" s="9"/>
    </row>
    <row r="3305" ht="14.25" customHeight="1">
      <c r="C3305" s="9" t="s">
        <v>3117</v>
      </c>
      <c r="D3305" s="9" t="s">
        <v>3128</v>
      </c>
      <c r="E3305" s="9" t="s">
        <v>3103</v>
      </c>
      <c r="F3305" s="9" t="s">
        <v>2593</v>
      </c>
      <c r="H3305" s="9"/>
    </row>
    <row r="3306" ht="14.25" customHeight="1">
      <c r="C3306" s="9" t="s">
        <v>3117</v>
      </c>
      <c r="D3306" s="9" t="s">
        <v>3128</v>
      </c>
      <c r="E3306" s="9" t="s">
        <v>3103</v>
      </c>
      <c r="F3306" s="9" t="s">
        <v>507</v>
      </c>
      <c r="H3306" s="9"/>
    </row>
    <row r="3307" ht="14.25" customHeight="1">
      <c r="C3307" s="9" t="s">
        <v>3117</v>
      </c>
      <c r="D3307" s="9" t="s">
        <v>3128</v>
      </c>
      <c r="E3307" s="9" t="s">
        <v>3103</v>
      </c>
      <c r="F3307" s="9" t="s">
        <v>336</v>
      </c>
      <c r="H3307" s="9"/>
    </row>
    <row r="3308" ht="14.25" customHeight="1">
      <c r="C3308" s="9" t="s">
        <v>3117</v>
      </c>
      <c r="D3308" s="9" t="s">
        <v>3128</v>
      </c>
      <c r="E3308" s="9" t="s">
        <v>3103</v>
      </c>
      <c r="F3308" s="9" t="s">
        <v>235</v>
      </c>
      <c r="H3308" s="9"/>
    </row>
    <row r="3309" ht="14.25" customHeight="1">
      <c r="C3309" s="9" t="s">
        <v>3117</v>
      </c>
      <c r="D3309" s="9" t="s">
        <v>3128</v>
      </c>
      <c r="E3309" s="9" t="s">
        <v>3103</v>
      </c>
      <c r="F3309" s="9" t="s">
        <v>327</v>
      </c>
      <c r="H3309" s="9"/>
    </row>
    <row r="3310" ht="14.25" customHeight="1">
      <c r="C3310" s="9" t="s">
        <v>3117</v>
      </c>
      <c r="D3310" s="9" t="s">
        <v>3128</v>
      </c>
      <c r="E3310" s="9" t="s">
        <v>3103</v>
      </c>
      <c r="F3310" s="9" t="s">
        <v>264</v>
      </c>
      <c r="H3310" s="9"/>
    </row>
    <row r="3311" ht="14.25" customHeight="1">
      <c r="C3311" s="9" t="s">
        <v>3117</v>
      </c>
      <c r="D3311" s="9" t="s">
        <v>3129</v>
      </c>
      <c r="E3311" s="9" t="s">
        <v>3103</v>
      </c>
      <c r="F3311" s="9" t="s">
        <v>474</v>
      </c>
      <c r="H3311" s="9"/>
    </row>
    <row r="3312" ht="14.25" customHeight="1">
      <c r="C3312" s="9" t="s">
        <v>3117</v>
      </c>
      <c r="D3312" s="9" t="s">
        <v>3129</v>
      </c>
      <c r="E3312" s="9" t="s">
        <v>3103</v>
      </c>
      <c r="F3312" s="9" t="s">
        <v>284</v>
      </c>
      <c r="H3312" s="9"/>
    </row>
    <row r="3313" ht="14.25" customHeight="1">
      <c r="C3313" s="9" t="s">
        <v>3117</v>
      </c>
      <c r="D3313" s="9" t="s">
        <v>3129</v>
      </c>
      <c r="E3313" s="9" t="s">
        <v>3103</v>
      </c>
      <c r="F3313" s="9" t="s">
        <v>493</v>
      </c>
      <c r="H3313" s="9"/>
    </row>
    <row r="3314" ht="14.25" customHeight="1">
      <c r="C3314" s="9" t="s">
        <v>3117</v>
      </c>
      <c r="D3314" s="9" t="s">
        <v>3129</v>
      </c>
      <c r="E3314" s="9" t="s">
        <v>3103</v>
      </c>
      <c r="F3314" s="9" t="s">
        <v>450</v>
      </c>
      <c r="H3314" s="9"/>
    </row>
    <row r="3315" ht="14.25" customHeight="1">
      <c r="C3315" s="9" t="s">
        <v>3117</v>
      </c>
      <c r="D3315" s="9" t="s">
        <v>3129</v>
      </c>
      <c r="E3315" s="9" t="s">
        <v>3103</v>
      </c>
      <c r="F3315" s="9" t="s">
        <v>395</v>
      </c>
      <c r="H3315" s="9"/>
    </row>
    <row r="3316" ht="14.25" customHeight="1">
      <c r="C3316" s="9" t="s">
        <v>3117</v>
      </c>
      <c r="D3316" s="9" t="s">
        <v>3129</v>
      </c>
      <c r="E3316" s="9" t="s">
        <v>3103</v>
      </c>
      <c r="F3316" s="9" t="s">
        <v>276</v>
      </c>
      <c r="H3316" s="9"/>
    </row>
    <row r="3317" ht="14.25" customHeight="1">
      <c r="C3317" s="9" t="s">
        <v>3117</v>
      </c>
      <c r="D3317" s="9" t="s">
        <v>3129</v>
      </c>
      <c r="E3317" s="9" t="s">
        <v>3103</v>
      </c>
      <c r="F3317" s="9" t="s">
        <v>431</v>
      </c>
      <c r="H3317" s="9"/>
    </row>
    <row r="3318" ht="14.25" customHeight="1">
      <c r="C3318" s="9" t="s">
        <v>3117</v>
      </c>
      <c r="D3318" s="9" t="s">
        <v>3129</v>
      </c>
      <c r="E3318" s="9" t="s">
        <v>3103</v>
      </c>
      <c r="F3318" s="9" t="s">
        <v>1272</v>
      </c>
      <c r="H3318" s="9"/>
    </row>
    <row r="3319" ht="14.25" customHeight="1">
      <c r="C3319" s="9" t="s">
        <v>3117</v>
      </c>
      <c r="D3319" s="9" t="s">
        <v>3129</v>
      </c>
      <c r="E3319" s="9" t="s">
        <v>3103</v>
      </c>
      <c r="F3319" s="9" t="s">
        <v>420</v>
      </c>
      <c r="H3319" s="9"/>
    </row>
    <row r="3320" ht="14.25" customHeight="1">
      <c r="C3320" s="9" t="s">
        <v>3117</v>
      </c>
      <c r="D3320" s="9" t="s">
        <v>3129</v>
      </c>
      <c r="E3320" s="9" t="s">
        <v>3103</v>
      </c>
      <c r="F3320" s="9" t="s">
        <v>482</v>
      </c>
      <c r="H3320" s="9"/>
    </row>
    <row r="3321" ht="14.25" customHeight="1">
      <c r="C3321" s="9" t="s">
        <v>3117</v>
      </c>
      <c r="D3321" s="9" t="s">
        <v>3129</v>
      </c>
      <c r="E3321" s="9" t="s">
        <v>3103</v>
      </c>
      <c r="F3321" s="9" t="s">
        <v>136</v>
      </c>
      <c r="H3321" s="9"/>
    </row>
    <row r="3322" ht="14.25" customHeight="1">
      <c r="C3322" s="9" t="s">
        <v>3117</v>
      </c>
      <c r="D3322" s="9" t="s">
        <v>3129</v>
      </c>
      <c r="E3322" s="9" t="s">
        <v>3103</v>
      </c>
      <c r="F3322" s="9" t="s">
        <v>408</v>
      </c>
      <c r="H3322" s="9"/>
    </row>
    <row r="3323" ht="14.25" customHeight="1">
      <c r="C3323" s="9" t="s">
        <v>3117</v>
      </c>
      <c r="D3323" s="9" t="s">
        <v>3129</v>
      </c>
      <c r="E3323" s="9" t="s">
        <v>3103</v>
      </c>
      <c r="F3323" s="9" t="s">
        <v>2589</v>
      </c>
      <c r="H3323" s="9"/>
    </row>
    <row r="3324" ht="14.25" customHeight="1">
      <c r="C3324" s="9" t="s">
        <v>3117</v>
      </c>
      <c r="D3324" s="9" t="s">
        <v>3129</v>
      </c>
      <c r="E3324" s="9" t="s">
        <v>3103</v>
      </c>
      <c r="F3324" s="9" t="s">
        <v>197</v>
      </c>
      <c r="H3324" s="9"/>
    </row>
    <row r="3325" ht="14.25" customHeight="1">
      <c r="C3325" s="9" t="s">
        <v>3117</v>
      </c>
      <c r="D3325" s="9" t="s">
        <v>3129</v>
      </c>
      <c r="E3325" s="9" t="s">
        <v>3103</v>
      </c>
      <c r="F3325" s="9" t="s">
        <v>172</v>
      </c>
      <c r="H3325" s="9"/>
    </row>
    <row r="3326" ht="14.25" customHeight="1">
      <c r="C3326" s="9" t="s">
        <v>3117</v>
      </c>
      <c r="D3326" s="9" t="s">
        <v>3129</v>
      </c>
      <c r="E3326" s="9" t="s">
        <v>3103</v>
      </c>
      <c r="F3326" s="9" t="s">
        <v>98</v>
      </c>
      <c r="H3326" s="9"/>
    </row>
    <row r="3327" ht="14.25" customHeight="1">
      <c r="C3327" s="9" t="s">
        <v>3117</v>
      </c>
      <c r="D3327" s="9" t="s">
        <v>3129</v>
      </c>
      <c r="E3327" s="9" t="s">
        <v>3103</v>
      </c>
      <c r="F3327" s="9" t="s">
        <v>341</v>
      </c>
      <c r="H3327" s="9"/>
    </row>
    <row r="3328" ht="14.25" customHeight="1">
      <c r="C3328" s="9" t="s">
        <v>3117</v>
      </c>
      <c r="D3328" s="9" t="s">
        <v>3129</v>
      </c>
      <c r="E3328" s="9" t="s">
        <v>3103</v>
      </c>
      <c r="F3328" s="9" t="s">
        <v>367</v>
      </c>
      <c r="H3328" s="9"/>
    </row>
    <row r="3329" ht="14.25" customHeight="1">
      <c r="C3329" s="9" t="s">
        <v>3117</v>
      </c>
      <c r="D3329" s="9" t="s">
        <v>3129</v>
      </c>
      <c r="E3329" s="9" t="s">
        <v>3103</v>
      </c>
      <c r="F3329" s="9" t="s">
        <v>529</v>
      </c>
      <c r="H3329" s="9"/>
    </row>
    <row r="3330" ht="14.25" customHeight="1">
      <c r="C3330" s="9" t="s">
        <v>3117</v>
      </c>
      <c r="D3330" s="9" t="s">
        <v>3129</v>
      </c>
      <c r="E3330" s="9" t="s">
        <v>3103</v>
      </c>
      <c r="F3330" s="9" t="s">
        <v>282</v>
      </c>
      <c r="H3330" s="9"/>
    </row>
    <row r="3331" ht="14.25" customHeight="1">
      <c r="C3331" s="9" t="s">
        <v>3117</v>
      </c>
      <c r="D3331" s="9" t="s">
        <v>3129</v>
      </c>
      <c r="E3331" s="9" t="s">
        <v>3103</v>
      </c>
      <c r="F3331" s="9" t="s">
        <v>321</v>
      </c>
      <c r="H3331" s="9"/>
    </row>
    <row r="3332" ht="14.25" customHeight="1">
      <c r="C3332" s="9" t="s">
        <v>3117</v>
      </c>
      <c r="D3332" s="9" t="s">
        <v>3129</v>
      </c>
      <c r="E3332" s="9" t="s">
        <v>3103</v>
      </c>
      <c r="F3332" s="9" t="s">
        <v>272</v>
      </c>
      <c r="H3332" s="9"/>
    </row>
    <row r="3333" ht="14.25" customHeight="1">
      <c r="C3333" s="9" t="s">
        <v>3117</v>
      </c>
      <c r="D3333" s="9" t="s">
        <v>3129</v>
      </c>
      <c r="E3333" s="9" t="s">
        <v>3103</v>
      </c>
      <c r="F3333" s="9" t="s">
        <v>517</v>
      </c>
      <c r="H3333" s="9"/>
    </row>
    <row r="3334" ht="14.25" customHeight="1">
      <c r="C3334" s="9" t="s">
        <v>3117</v>
      </c>
      <c r="D3334" s="9" t="s">
        <v>3129</v>
      </c>
      <c r="E3334" s="9" t="s">
        <v>3103</v>
      </c>
      <c r="F3334" s="9" t="s">
        <v>2593</v>
      </c>
      <c r="H3334" s="9"/>
    </row>
    <row r="3335" ht="14.25" customHeight="1">
      <c r="C3335" s="9" t="s">
        <v>3117</v>
      </c>
      <c r="D3335" s="9" t="s">
        <v>3129</v>
      </c>
      <c r="E3335" s="9" t="s">
        <v>3103</v>
      </c>
      <c r="F3335" s="9" t="s">
        <v>507</v>
      </c>
      <c r="H3335" s="9"/>
    </row>
    <row r="3336" ht="14.25" customHeight="1">
      <c r="C3336" s="9" t="s">
        <v>3117</v>
      </c>
      <c r="D3336" s="9" t="s">
        <v>3129</v>
      </c>
      <c r="E3336" s="9" t="s">
        <v>3103</v>
      </c>
      <c r="F3336" s="9" t="s">
        <v>336</v>
      </c>
      <c r="H3336" s="9"/>
    </row>
    <row r="3337" ht="14.25" customHeight="1">
      <c r="C3337" s="9" t="s">
        <v>3117</v>
      </c>
      <c r="D3337" s="9" t="s">
        <v>3129</v>
      </c>
      <c r="E3337" s="9" t="s">
        <v>3103</v>
      </c>
      <c r="F3337" s="9" t="s">
        <v>235</v>
      </c>
      <c r="H3337" s="9"/>
    </row>
    <row r="3338" ht="14.25" customHeight="1">
      <c r="C3338" s="9" t="s">
        <v>3117</v>
      </c>
      <c r="D3338" s="9" t="s">
        <v>3129</v>
      </c>
      <c r="E3338" s="9" t="s">
        <v>3103</v>
      </c>
      <c r="F3338" s="9" t="s">
        <v>327</v>
      </c>
      <c r="H3338" s="9"/>
    </row>
    <row r="3339" ht="14.25" customHeight="1">
      <c r="C3339" s="9" t="s">
        <v>3117</v>
      </c>
      <c r="D3339" s="9" t="s">
        <v>3129</v>
      </c>
      <c r="E3339" s="9" t="s">
        <v>3103</v>
      </c>
      <c r="F3339" s="9" t="s">
        <v>264</v>
      </c>
      <c r="H3339" s="9"/>
    </row>
    <row r="3340" ht="14.25" customHeight="1">
      <c r="A3340" s="9"/>
      <c r="B3340" s="9"/>
      <c r="C3340" s="9" t="s">
        <v>370</v>
      </c>
      <c r="D3340" s="9" t="s">
        <v>3130</v>
      </c>
      <c r="E3340" s="9" t="s">
        <v>3131</v>
      </c>
      <c r="F3340" s="9" t="s">
        <v>1439</v>
      </c>
      <c r="H3340" s="9"/>
    </row>
    <row r="3341" ht="14.25" customHeight="1">
      <c r="A3341" s="9"/>
      <c r="B3341" s="9"/>
      <c r="C3341" s="9" t="s">
        <v>370</v>
      </c>
      <c r="D3341" s="9" t="s">
        <v>3130</v>
      </c>
      <c r="E3341" s="9" t="s">
        <v>3131</v>
      </c>
      <c r="F3341" s="9" t="s">
        <v>3132</v>
      </c>
      <c r="H3341" s="9"/>
    </row>
    <row r="3342" ht="14.25" customHeight="1">
      <c r="A3342" s="9"/>
      <c r="B3342" s="9"/>
      <c r="C3342" s="9" t="s">
        <v>370</v>
      </c>
      <c r="D3342" s="9" t="s">
        <v>3130</v>
      </c>
      <c r="E3342" s="9" t="s">
        <v>3131</v>
      </c>
      <c r="F3342" s="9" t="s">
        <v>1440</v>
      </c>
      <c r="H3342" s="9"/>
    </row>
    <row r="3343" ht="14.25" customHeight="1">
      <c r="A3343" s="9"/>
      <c r="B3343" s="9"/>
      <c r="C3343" s="9" t="s">
        <v>370</v>
      </c>
      <c r="D3343" s="9" t="s">
        <v>3130</v>
      </c>
      <c r="E3343" s="9" t="s">
        <v>3131</v>
      </c>
      <c r="F3343" s="9" t="s">
        <v>482</v>
      </c>
      <c r="H3343" s="9"/>
    </row>
    <row r="3344" ht="14.25" customHeight="1">
      <c r="A3344" s="9"/>
      <c r="B3344" s="9"/>
      <c r="C3344" s="9" t="s">
        <v>370</v>
      </c>
      <c r="D3344" s="9" t="s">
        <v>3130</v>
      </c>
      <c r="E3344" s="9" t="s">
        <v>3131</v>
      </c>
      <c r="F3344" s="9" t="s">
        <v>3133</v>
      </c>
      <c r="H3344" s="9"/>
    </row>
    <row r="3345" ht="14.25" customHeight="1">
      <c r="A3345" s="9"/>
      <c r="B3345" s="9"/>
      <c r="C3345" s="9" t="s">
        <v>370</v>
      </c>
      <c r="D3345" s="9" t="s">
        <v>3130</v>
      </c>
      <c r="E3345" s="9" t="s">
        <v>3131</v>
      </c>
      <c r="F3345" s="9" t="s">
        <v>341</v>
      </c>
      <c r="H3345" s="9"/>
    </row>
    <row r="3346" ht="14.25" customHeight="1">
      <c r="A3346" s="9"/>
      <c r="B3346" s="9"/>
      <c r="C3346" s="9" t="s">
        <v>370</v>
      </c>
      <c r="D3346" s="9" t="s">
        <v>3130</v>
      </c>
      <c r="E3346" s="9" t="s">
        <v>3131</v>
      </c>
      <c r="F3346" s="9" t="s">
        <v>367</v>
      </c>
      <c r="H3346" s="9"/>
    </row>
    <row r="3347" ht="14.25" customHeight="1">
      <c r="A3347" s="9"/>
      <c r="B3347" s="9"/>
      <c r="C3347" s="9" t="s">
        <v>370</v>
      </c>
      <c r="D3347" s="9" t="s">
        <v>3130</v>
      </c>
      <c r="E3347" s="9" t="s">
        <v>3131</v>
      </c>
      <c r="F3347" s="9" t="s">
        <v>529</v>
      </c>
      <c r="H3347" s="9"/>
    </row>
    <row r="3348" ht="14.25" customHeight="1">
      <c r="A3348" s="9"/>
      <c r="B3348" s="9"/>
      <c r="C3348" s="9" t="s">
        <v>370</v>
      </c>
      <c r="D3348" s="9" t="s">
        <v>3130</v>
      </c>
      <c r="E3348" s="9" t="s">
        <v>3131</v>
      </c>
      <c r="F3348" s="9" t="s">
        <v>1435</v>
      </c>
      <c r="H3348" s="9"/>
    </row>
    <row r="3349" ht="14.25" customHeight="1">
      <c r="A3349" s="9"/>
      <c r="B3349" s="9"/>
      <c r="C3349" s="9" t="s">
        <v>370</v>
      </c>
      <c r="D3349" s="9" t="s">
        <v>3130</v>
      </c>
      <c r="E3349" s="9" t="s">
        <v>3131</v>
      </c>
      <c r="F3349" s="9" t="s">
        <v>1437</v>
      </c>
      <c r="H3349" s="9"/>
    </row>
    <row r="3350" ht="14.25" customHeight="1">
      <c r="A3350" s="9"/>
      <c r="B3350" s="9"/>
      <c r="C3350" s="9" t="s">
        <v>370</v>
      </c>
      <c r="D3350" s="9" t="s">
        <v>3130</v>
      </c>
      <c r="E3350" s="9" t="s">
        <v>3131</v>
      </c>
      <c r="F3350" s="9" t="s">
        <v>1436</v>
      </c>
      <c r="H3350" s="9"/>
    </row>
    <row r="3351" ht="14.25" customHeight="1">
      <c r="A3351" s="9"/>
      <c r="B3351" s="9"/>
      <c r="C3351" s="9" t="s">
        <v>370</v>
      </c>
      <c r="D3351" s="9" t="s">
        <v>3130</v>
      </c>
      <c r="E3351" s="9" t="s">
        <v>3131</v>
      </c>
      <c r="F3351" s="9" t="s">
        <v>3134</v>
      </c>
      <c r="H3351" s="9"/>
    </row>
    <row r="3352" ht="14.25" customHeight="1">
      <c r="A3352" s="9"/>
      <c r="B3352" s="9"/>
      <c r="C3352" s="9" t="s">
        <v>370</v>
      </c>
      <c r="D3352" s="9" t="s">
        <v>3130</v>
      </c>
      <c r="E3352" s="9" t="s">
        <v>3131</v>
      </c>
      <c r="F3352" s="9" t="s">
        <v>1434</v>
      </c>
      <c r="H3352" s="9"/>
    </row>
    <row r="3353" ht="14.25" customHeight="1">
      <c r="A3353" s="9"/>
      <c r="B3353" s="9"/>
      <c r="C3353" s="9" t="s">
        <v>370</v>
      </c>
      <c r="D3353" s="9" t="s">
        <v>3130</v>
      </c>
      <c r="E3353" s="9" t="s">
        <v>3131</v>
      </c>
      <c r="F3353" s="9" t="s">
        <v>517</v>
      </c>
      <c r="H3353" s="9"/>
    </row>
    <row r="3354" ht="14.25" customHeight="1">
      <c r="A3354" s="9"/>
      <c r="B3354" s="9"/>
      <c r="C3354" s="9" t="s">
        <v>370</v>
      </c>
      <c r="D3354" s="9" t="s">
        <v>3130</v>
      </c>
      <c r="E3354" s="9" t="s">
        <v>3131</v>
      </c>
      <c r="F3354" s="9" t="s">
        <v>507</v>
      </c>
      <c r="H3354" s="9"/>
    </row>
    <row r="3355" ht="14.25" customHeight="1">
      <c r="A3355" s="9"/>
      <c r="B3355" s="9"/>
      <c r="C3355" s="9" t="s">
        <v>370</v>
      </c>
      <c r="D3355" s="9" t="s">
        <v>3130</v>
      </c>
      <c r="E3355" s="9" t="s">
        <v>3131</v>
      </c>
      <c r="F3355" s="9" t="s">
        <v>1441</v>
      </c>
      <c r="H3355" s="9"/>
    </row>
    <row r="3356" ht="14.25" customHeight="1">
      <c r="A3356" s="9"/>
      <c r="B3356" s="9"/>
      <c r="C3356" s="9" t="s">
        <v>370</v>
      </c>
      <c r="D3356" s="9" t="s">
        <v>3130</v>
      </c>
      <c r="E3356" s="9" t="s">
        <v>3131</v>
      </c>
      <c r="F3356" s="9" t="s">
        <v>1438</v>
      </c>
      <c r="H3356" s="9"/>
    </row>
    <row r="3357" ht="14.25" customHeight="1">
      <c r="A3357" s="9"/>
      <c r="B3357" s="9"/>
      <c r="C3357" s="9" t="s">
        <v>370</v>
      </c>
      <c r="D3357" s="9" t="s">
        <v>3135</v>
      </c>
      <c r="E3357" s="9" t="s">
        <v>3131</v>
      </c>
      <c r="F3357" s="9" t="s">
        <v>1439</v>
      </c>
      <c r="H3357" s="9"/>
    </row>
    <row r="3358" ht="14.25" customHeight="1">
      <c r="A3358" s="9"/>
      <c r="B3358" s="9"/>
      <c r="C3358" s="9" t="s">
        <v>370</v>
      </c>
      <c r="D3358" s="9" t="s">
        <v>3135</v>
      </c>
      <c r="E3358" s="9" t="s">
        <v>3131</v>
      </c>
      <c r="F3358" s="9" t="s">
        <v>3132</v>
      </c>
      <c r="H3358" s="9"/>
    </row>
    <row r="3359" ht="14.25" customHeight="1">
      <c r="A3359" s="9"/>
      <c r="B3359" s="9"/>
      <c r="C3359" s="9" t="s">
        <v>370</v>
      </c>
      <c r="D3359" s="9" t="s">
        <v>3135</v>
      </c>
      <c r="E3359" s="9" t="s">
        <v>3131</v>
      </c>
      <c r="F3359" s="9" t="s">
        <v>1440</v>
      </c>
      <c r="H3359" s="9"/>
    </row>
    <row r="3360" ht="14.25" customHeight="1">
      <c r="A3360" s="9"/>
      <c r="B3360" s="9"/>
      <c r="C3360" s="9" t="s">
        <v>370</v>
      </c>
      <c r="D3360" s="9" t="s">
        <v>3135</v>
      </c>
      <c r="E3360" s="9" t="s">
        <v>3131</v>
      </c>
      <c r="F3360" s="9" t="s">
        <v>482</v>
      </c>
      <c r="H3360" s="9"/>
    </row>
    <row r="3361" ht="14.25" customHeight="1">
      <c r="A3361" s="9"/>
      <c r="B3361" s="9"/>
      <c r="C3361" s="9" t="s">
        <v>370</v>
      </c>
      <c r="D3361" s="9" t="s">
        <v>3135</v>
      </c>
      <c r="E3361" s="9" t="s">
        <v>3131</v>
      </c>
      <c r="F3361" s="9" t="s">
        <v>3133</v>
      </c>
      <c r="H3361" s="9"/>
    </row>
    <row r="3362" ht="14.25" customHeight="1">
      <c r="A3362" s="9"/>
      <c r="B3362" s="9"/>
      <c r="C3362" s="9" t="s">
        <v>370</v>
      </c>
      <c r="D3362" s="9" t="s">
        <v>3135</v>
      </c>
      <c r="E3362" s="9" t="s">
        <v>3131</v>
      </c>
      <c r="F3362" s="9" t="s">
        <v>341</v>
      </c>
      <c r="H3362" s="9"/>
    </row>
    <row r="3363" ht="14.25" customHeight="1">
      <c r="A3363" s="9"/>
      <c r="B3363" s="9"/>
      <c r="C3363" s="9" t="s">
        <v>370</v>
      </c>
      <c r="D3363" s="9" t="s">
        <v>3135</v>
      </c>
      <c r="E3363" s="9" t="s">
        <v>3131</v>
      </c>
      <c r="F3363" s="9" t="s">
        <v>367</v>
      </c>
      <c r="H3363" s="9"/>
    </row>
    <row r="3364" ht="14.25" customHeight="1">
      <c r="A3364" s="9"/>
      <c r="B3364" s="9"/>
      <c r="C3364" s="9" t="s">
        <v>370</v>
      </c>
      <c r="D3364" s="9" t="s">
        <v>3135</v>
      </c>
      <c r="E3364" s="9" t="s">
        <v>3131</v>
      </c>
      <c r="F3364" s="9" t="s">
        <v>529</v>
      </c>
      <c r="H3364" s="9"/>
    </row>
    <row r="3365" ht="14.25" customHeight="1">
      <c r="A3365" s="9"/>
      <c r="B3365" s="9"/>
      <c r="C3365" s="9" t="s">
        <v>370</v>
      </c>
      <c r="D3365" s="9" t="s">
        <v>3135</v>
      </c>
      <c r="E3365" s="9" t="s">
        <v>3131</v>
      </c>
      <c r="F3365" s="9" t="s">
        <v>1435</v>
      </c>
      <c r="H3365" s="9"/>
    </row>
    <row r="3366" ht="14.25" customHeight="1">
      <c r="A3366" s="9"/>
      <c r="B3366" s="9"/>
      <c r="C3366" s="9" t="s">
        <v>370</v>
      </c>
      <c r="D3366" s="9" t="s">
        <v>3135</v>
      </c>
      <c r="E3366" s="9" t="s">
        <v>3131</v>
      </c>
      <c r="F3366" s="9" t="s">
        <v>1437</v>
      </c>
      <c r="H3366" s="9"/>
    </row>
    <row r="3367" ht="14.25" customHeight="1">
      <c r="A3367" s="9"/>
      <c r="B3367" s="9"/>
      <c r="C3367" s="9" t="s">
        <v>370</v>
      </c>
      <c r="D3367" s="9" t="s">
        <v>3135</v>
      </c>
      <c r="E3367" s="9" t="s">
        <v>3131</v>
      </c>
      <c r="F3367" s="9" t="s">
        <v>1436</v>
      </c>
      <c r="H3367" s="9"/>
    </row>
    <row r="3368" ht="14.25" customHeight="1">
      <c r="A3368" s="9"/>
      <c r="B3368" s="9"/>
      <c r="C3368" s="9" t="s">
        <v>370</v>
      </c>
      <c r="D3368" s="9" t="s">
        <v>3135</v>
      </c>
      <c r="E3368" s="9" t="s">
        <v>3131</v>
      </c>
      <c r="F3368" s="9" t="s">
        <v>3134</v>
      </c>
      <c r="H3368" s="9"/>
    </row>
    <row r="3369" ht="14.25" customHeight="1">
      <c r="A3369" s="9"/>
      <c r="B3369" s="9"/>
      <c r="C3369" s="9" t="s">
        <v>370</v>
      </c>
      <c r="D3369" s="9" t="s">
        <v>3135</v>
      </c>
      <c r="E3369" s="9" t="s">
        <v>3131</v>
      </c>
      <c r="F3369" s="9" t="s">
        <v>1434</v>
      </c>
      <c r="H3369" s="9"/>
    </row>
    <row r="3370" ht="14.25" customHeight="1">
      <c r="A3370" s="9"/>
      <c r="B3370" s="9"/>
      <c r="C3370" s="9" t="s">
        <v>370</v>
      </c>
      <c r="D3370" s="9" t="s">
        <v>3135</v>
      </c>
      <c r="E3370" s="9" t="s">
        <v>3131</v>
      </c>
      <c r="F3370" s="9" t="s">
        <v>517</v>
      </c>
      <c r="H3370" s="9"/>
    </row>
    <row r="3371" ht="14.25" customHeight="1">
      <c r="A3371" s="9"/>
      <c r="B3371" s="9"/>
      <c r="C3371" s="9" t="s">
        <v>370</v>
      </c>
      <c r="D3371" s="9" t="s">
        <v>3135</v>
      </c>
      <c r="E3371" s="9" t="s">
        <v>3131</v>
      </c>
      <c r="F3371" s="9" t="s">
        <v>507</v>
      </c>
      <c r="H3371" s="9"/>
    </row>
    <row r="3372" ht="14.25" customHeight="1">
      <c r="A3372" s="9"/>
      <c r="B3372" s="9"/>
      <c r="C3372" s="9" t="s">
        <v>370</v>
      </c>
      <c r="D3372" s="9" t="s">
        <v>3135</v>
      </c>
      <c r="E3372" s="9" t="s">
        <v>3131</v>
      </c>
      <c r="F3372" s="9" t="s">
        <v>1441</v>
      </c>
      <c r="H3372" s="9"/>
    </row>
    <row r="3373" ht="14.25" customHeight="1">
      <c r="A3373" s="9"/>
      <c r="B3373" s="9"/>
      <c r="C3373" s="9" t="s">
        <v>370</v>
      </c>
      <c r="D3373" s="9" t="s">
        <v>3135</v>
      </c>
      <c r="E3373" s="9" t="s">
        <v>3131</v>
      </c>
      <c r="F3373" s="9" t="s">
        <v>1438</v>
      </c>
      <c r="H3373" s="9"/>
    </row>
    <row r="3374" ht="14.25" customHeight="1">
      <c r="A3374" s="9"/>
      <c r="B3374" s="9"/>
      <c r="C3374" s="9" t="s">
        <v>370</v>
      </c>
      <c r="D3374" s="9" t="s">
        <v>3136</v>
      </c>
      <c r="E3374" s="9" t="s">
        <v>3131</v>
      </c>
      <c r="F3374" s="9" t="s">
        <v>1439</v>
      </c>
      <c r="H3374" s="9"/>
    </row>
    <row r="3375" ht="14.25" customHeight="1">
      <c r="A3375" s="9"/>
      <c r="B3375" s="9"/>
      <c r="C3375" s="9" t="s">
        <v>370</v>
      </c>
      <c r="D3375" s="9" t="s">
        <v>3136</v>
      </c>
      <c r="E3375" s="9" t="s">
        <v>3131</v>
      </c>
      <c r="F3375" s="9" t="s">
        <v>3132</v>
      </c>
      <c r="H3375" s="9"/>
    </row>
    <row r="3376" ht="14.25" customHeight="1">
      <c r="A3376" s="9"/>
      <c r="B3376" s="9"/>
      <c r="C3376" s="9" t="s">
        <v>370</v>
      </c>
      <c r="D3376" s="9" t="s">
        <v>3136</v>
      </c>
      <c r="E3376" s="9" t="s">
        <v>3131</v>
      </c>
      <c r="F3376" s="9" t="s">
        <v>1440</v>
      </c>
      <c r="H3376" s="9"/>
    </row>
    <row r="3377" ht="14.25" customHeight="1">
      <c r="A3377" s="9"/>
      <c r="B3377" s="9"/>
      <c r="C3377" s="9" t="s">
        <v>370</v>
      </c>
      <c r="D3377" s="9" t="s">
        <v>3136</v>
      </c>
      <c r="E3377" s="9" t="s">
        <v>3131</v>
      </c>
      <c r="F3377" s="9" t="s">
        <v>482</v>
      </c>
      <c r="H3377" s="9"/>
    </row>
    <row r="3378" ht="14.25" customHeight="1">
      <c r="A3378" s="9"/>
      <c r="B3378" s="9"/>
      <c r="C3378" s="9" t="s">
        <v>370</v>
      </c>
      <c r="D3378" s="9" t="s">
        <v>3136</v>
      </c>
      <c r="E3378" s="9" t="s">
        <v>3131</v>
      </c>
      <c r="F3378" s="9" t="s">
        <v>3133</v>
      </c>
      <c r="H3378" s="9"/>
    </row>
    <row r="3379" ht="14.25" customHeight="1">
      <c r="A3379" s="9"/>
      <c r="B3379" s="9"/>
      <c r="C3379" s="9" t="s">
        <v>370</v>
      </c>
      <c r="D3379" s="9" t="s">
        <v>3136</v>
      </c>
      <c r="E3379" s="9" t="s">
        <v>3131</v>
      </c>
      <c r="F3379" s="9" t="s">
        <v>341</v>
      </c>
      <c r="H3379" s="9"/>
    </row>
    <row r="3380" ht="14.25" customHeight="1">
      <c r="A3380" s="9"/>
      <c r="B3380" s="9"/>
      <c r="C3380" s="9" t="s">
        <v>370</v>
      </c>
      <c r="D3380" s="9" t="s">
        <v>3136</v>
      </c>
      <c r="E3380" s="9" t="s">
        <v>3131</v>
      </c>
      <c r="F3380" s="9" t="s">
        <v>367</v>
      </c>
      <c r="H3380" s="9"/>
    </row>
    <row r="3381" ht="14.25" customHeight="1">
      <c r="A3381" s="9"/>
      <c r="B3381" s="9"/>
      <c r="C3381" s="9" t="s">
        <v>370</v>
      </c>
      <c r="D3381" s="9" t="s">
        <v>3136</v>
      </c>
      <c r="E3381" s="9" t="s">
        <v>3131</v>
      </c>
      <c r="F3381" s="9" t="s">
        <v>529</v>
      </c>
      <c r="H3381" s="9"/>
    </row>
    <row r="3382" ht="14.25" customHeight="1">
      <c r="A3382" s="9"/>
      <c r="B3382" s="9"/>
      <c r="C3382" s="9" t="s">
        <v>370</v>
      </c>
      <c r="D3382" s="9" t="s">
        <v>3136</v>
      </c>
      <c r="E3382" s="9" t="s">
        <v>3131</v>
      </c>
      <c r="F3382" s="9" t="s">
        <v>1435</v>
      </c>
      <c r="H3382" s="9"/>
    </row>
    <row r="3383" ht="14.25" customHeight="1">
      <c r="A3383" s="9"/>
      <c r="B3383" s="9"/>
      <c r="C3383" s="9" t="s">
        <v>370</v>
      </c>
      <c r="D3383" s="9" t="s">
        <v>3136</v>
      </c>
      <c r="E3383" s="9" t="s">
        <v>3131</v>
      </c>
      <c r="F3383" s="9" t="s">
        <v>1437</v>
      </c>
      <c r="H3383" s="9"/>
    </row>
    <row r="3384" ht="14.25" customHeight="1">
      <c r="A3384" s="9"/>
      <c r="B3384" s="9"/>
      <c r="C3384" s="9" t="s">
        <v>370</v>
      </c>
      <c r="D3384" s="9" t="s">
        <v>3136</v>
      </c>
      <c r="E3384" s="9" t="s">
        <v>3131</v>
      </c>
      <c r="F3384" s="9" t="s">
        <v>1436</v>
      </c>
      <c r="H3384" s="9"/>
    </row>
    <row r="3385" ht="14.25" customHeight="1">
      <c r="A3385" s="9"/>
      <c r="B3385" s="9"/>
      <c r="C3385" s="9" t="s">
        <v>370</v>
      </c>
      <c r="D3385" s="9" t="s">
        <v>3136</v>
      </c>
      <c r="E3385" s="9" t="s">
        <v>3131</v>
      </c>
      <c r="F3385" s="9" t="s">
        <v>3134</v>
      </c>
      <c r="H3385" s="9"/>
    </row>
    <row r="3386" ht="14.25" customHeight="1">
      <c r="A3386" s="9"/>
      <c r="B3386" s="9"/>
      <c r="C3386" s="9" t="s">
        <v>370</v>
      </c>
      <c r="D3386" s="9" t="s">
        <v>3136</v>
      </c>
      <c r="E3386" s="9" t="s">
        <v>3131</v>
      </c>
      <c r="F3386" s="9" t="s">
        <v>1434</v>
      </c>
      <c r="H3386" s="9"/>
    </row>
    <row r="3387" ht="14.25" customHeight="1">
      <c r="A3387" s="9"/>
      <c r="B3387" s="9"/>
      <c r="C3387" s="9" t="s">
        <v>370</v>
      </c>
      <c r="D3387" s="9" t="s">
        <v>3136</v>
      </c>
      <c r="E3387" s="9" t="s">
        <v>3131</v>
      </c>
      <c r="F3387" s="9" t="s">
        <v>517</v>
      </c>
      <c r="H3387" s="9"/>
    </row>
    <row r="3388" ht="14.25" customHeight="1">
      <c r="A3388" s="9"/>
      <c r="B3388" s="9"/>
      <c r="C3388" s="9" t="s">
        <v>370</v>
      </c>
      <c r="D3388" s="9" t="s">
        <v>3136</v>
      </c>
      <c r="E3388" s="9" t="s">
        <v>3131</v>
      </c>
      <c r="F3388" s="9" t="s">
        <v>507</v>
      </c>
      <c r="H3388" s="9"/>
    </row>
    <row r="3389" ht="14.25" customHeight="1">
      <c r="A3389" s="9"/>
      <c r="B3389" s="9"/>
      <c r="C3389" s="9" t="s">
        <v>370</v>
      </c>
      <c r="D3389" s="9" t="s">
        <v>3136</v>
      </c>
      <c r="E3389" s="9" t="s">
        <v>3131</v>
      </c>
      <c r="F3389" s="9" t="s">
        <v>1441</v>
      </c>
      <c r="H3389" s="9"/>
    </row>
    <row r="3390" ht="14.25" customHeight="1">
      <c r="A3390" s="9"/>
      <c r="B3390" s="9"/>
      <c r="C3390" s="9" t="s">
        <v>370</v>
      </c>
      <c r="D3390" s="9" t="s">
        <v>3136</v>
      </c>
      <c r="E3390" s="9" t="s">
        <v>3131</v>
      </c>
      <c r="F3390" s="9" t="s">
        <v>1438</v>
      </c>
      <c r="H3390" s="9"/>
    </row>
    <row r="3391" ht="14.25" customHeight="1">
      <c r="A3391" s="9"/>
      <c r="B3391" s="9"/>
      <c r="C3391" s="9" t="s">
        <v>370</v>
      </c>
      <c r="D3391" s="9" t="s">
        <v>3137</v>
      </c>
      <c r="E3391" s="9" t="s">
        <v>3131</v>
      </c>
      <c r="F3391" s="9" t="s">
        <v>1439</v>
      </c>
      <c r="H3391" s="9"/>
    </row>
    <row r="3392" ht="14.25" customHeight="1">
      <c r="A3392" s="9"/>
      <c r="B3392" s="9"/>
      <c r="C3392" s="9" t="s">
        <v>370</v>
      </c>
      <c r="D3392" s="9" t="s">
        <v>3137</v>
      </c>
      <c r="E3392" s="9" t="s">
        <v>3131</v>
      </c>
      <c r="F3392" s="9" t="s">
        <v>3132</v>
      </c>
      <c r="H3392" s="9"/>
    </row>
    <row r="3393" ht="14.25" customHeight="1">
      <c r="A3393" s="9"/>
      <c r="B3393" s="9"/>
      <c r="C3393" s="9" t="s">
        <v>370</v>
      </c>
      <c r="D3393" s="9" t="s">
        <v>3137</v>
      </c>
      <c r="E3393" s="9" t="s">
        <v>3131</v>
      </c>
      <c r="F3393" s="9" t="s">
        <v>1440</v>
      </c>
      <c r="H3393" s="9"/>
    </row>
    <row r="3394" ht="14.25" customHeight="1">
      <c r="A3394" s="9"/>
      <c r="B3394" s="9"/>
      <c r="C3394" s="9" t="s">
        <v>370</v>
      </c>
      <c r="D3394" s="9" t="s">
        <v>3137</v>
      </c>
      <c r="E3394" s="9" t="s">
        <v>3131</v>
      </c>
      <c r="F3394" s="9" t="s">
        <v>482</v>
      </c>
      <c r="H3394" s="9"/>
    </row>
    <row r="3395" ht="14.25" customHeight="1">
      <c r="A3395" s="9"/>
      <c r="B3395" s="9"/>
      <c r="C3395" s="9" t="s">
        <v>370</v>
      </c>
      <c r="D3395" s="9" t="s">
        <v>3137</v>
      </c>
      <c r="E3395" s="9" t="s">
        <v>3131</v>
      </c>
      <c r="F3395" s="9" t="s">
        <v>3133</v>
      </c>
      <c r="H3395" s="9"/>
    </row>
    <row r="3396" ht="14.25" customHeight="1">
      <c r="A3396" s="9"/>
      <c r="B3396" s="9"/>
      <c r="C3396" s="9" t="s">
        <v>370</v>
      </c>
      <c r="D3396" s="9" t="s">
        <v>3137</v>
      </c>
      <c r="E3396" s="9" t="s">
        <v>3131</v>
      </c>
      <c r="F3396" s="9" t="s">
        <v>341</v>
      </c>
      <c r="H3396" s="9"/>
    </row>
    <row r="3397" ht="14.25" customHeight="1">
      <c r="A3397" s="9"/>
      <c r="B3397" s="9"/>
      <c r="C3397" s="9" t="s">
        <v>370</v>
      </c>
      <c r="D3397" s="9" t="s">
        <v>3137</v>
      </c>
      <c r="E3397" s="9" t="s">
        <v>3131</v>
      </c>
      <c r="F3397" s="9" t="s">
        <v>367</v>
      </c>
      <c r="H3397" s="9"/>
    </row>
    <row r="3398" ht="14.25" customHeight="1">
      <c r="A3398" s="9"/>
      <c r="B3398" s="9"/>
      <c r="C3398" s="9" t="s">
        <v>370</v>
      </c>
      <c r="D3398" s="9" t="s">
        <v>3137</v>
      </c>
      <c r="E3398" s="9" t="s">
        <v>3131</v>
      </c>
      <c r="F3398" s="9" t="s">
        <v>529</v>
      </c>
      <c r="H3398" s="9"/>
    </row>
    <row r="3399" ht="14.25" customHeight="1">
      <c r="A3399" s="9"/>
      <c r="B3399" s="9"/>
      <c r="C3399" s="9" t="s">
        <v>370</v>
      </c>
      <c r="D3399" s="9" t="s">
        <v>3137</v>
      </c>
      <c r="E3399" s="9" t="s">
        <v>3131</v>
      </c>
      <c r="F3399" s="9" t="s">
        <v>1435</v>
      </c>
      <c r="H3399" s="9"/>
    </row>
    <row r="3400" ht="14.25" customHeight="1">
      <c r="A3400" s="9"/>
      <c r="B3400" s="9"/>
      <c r="C3400" s="9" t="s">
        <v>370</v>
      </c>
      <c r="D3400" s="9" t="s">
        <v>3137</v>
      </c>
      <c r="E3400" s="9" t="s">
        <v>3131</v>
      </c>
      <c r="F3400" s="9" t="s">
        <v>1437</v>
      </c>
      <c r="H3400" s="9"/>
    </row>
    <row r="3401" ht="14.25" customHeight="1">
      <c r="A3401" s="9"/>
      <c r="B3401" s="9"/>
      <c r="C3401" s="9" t="s">
        <v>370</v>
      </c>
      <c r="D3401" s="9" t="s">
        <v>3137</v>
      </c>
      <c r="E3401" s="9" t="s">
        <v>3131</v>
      </c>
      <c r="F3401" s="9" t="s">
        <v>1436</v>
      </c>
      <c r="H3401" s="9"/>
    </row>
    <row r="3402" ht="14.25" customHeight="1">
      <c r="A3402" s="9"/>
      <c r="B3402" s="9"/>
      <c r="C3402" s="9" t="s">
        <v>370</v>
      </c>
      <c r="D3402" s="9" t="s">
        <v>3137</v>
      </c>
      <c r="E3402" s="9" t="s">
        <v>3131</v>
      </c>
      <c r="F3402" s="9" t="s">
        <v>3134</v>
      </c>
      <c r="H3402" s="9"/>
    </row>
    <row r="3403" ht="14.25" customHeight="1">
      <c r="A3403" s="9"/>
      <c r="B3403" s="9"/>
      <c r="C3403" s="9" t="s">
        <v>370</v>
      </c>
      <c r="D3403" s="9" t="s">
        <v>3137</v>
      </c>
      <c r="E3403" s="9" t="s">
        <v>3131</v>
      </c>
      <c r="F3403" s="9" t="s">
        <v>1434</v>
      </c>
      <c r="H3403" s="9"/>
    </row>
    <row r="3404" ht="14.25" customHeight="1">
      <c r="A3404" s="9"/>
      <c r="B3404" s="9"/>
      <c r="C3404" s="9" t="s">
        <v>370</v>
      </c>
      <c r="D3404" s="9" t="s">
        <v>3137</v>
      </c>
      <c r="E3404" s="9" t="s">
        <v>3131</v>
      </c>
      <c r="F3404" s="9" t="s">
        <v>517</v>
      </c>
      <c r="H3404" s="9"/>
    </row>
    <row r="3405" ht="14.25" customHeight="1">
      <c r="A3405" s="9"/>
      <c r="B3405" s="9"/>
      <c r="C3405" s="9" t="s">
        <v>370</v>
      </c>
      <c r="D3405" s="9" t="s">
        <v>3137</v>
      </c>
      <c r="E3405" s="9" t="s">
        <v>3131</v>
      </c>
      <c r="F3405" s="9" t="s">
        <v>507</v>
      </c>
      <c r="H3405" s="9"/>
    </row>
    <row r="3406" ht="14.25" customHeight="1">
      <c r="A3406" s="9"/>
      <c r="B3406" s="9"/>
      <c r="C3406" s="9" t="s">
        <v>370</v>
      </c>
      <c r="D3406" s="9" t="s">
        <v>3137</v>
      </c>
      <c r="E3406" s="9" t="s">
        <v>3131</v>
      </c>
      <c r="F3406" s="9" t="s">
        <v>1441</v>
      </c>
      <c r="H3406" s="9"/>
    </row>
    <row r="3407" ht="14.25" customHeight="1">
      <c r="A3407" s="9"/>
      <c r="B3407" s="9"/>
      <c r="C3407" s="9" t="s">
        <v>370</v>
      </c>
      <c r="D3407" s="9" t="s">
        <v>3137</v>
      </c>
      <c r="E3407" s="9" t="s">
        <v>3131</v>
      </c>
      <c r="F3407" s="9" t="s">
        <v>1438</v>
      </c>
      <c r="H3407" s="9"/>
    </row>
    <row r="3408" ht="14.25" customHeight="1">
      <c r="A3408" s="9"/>
      <c r="B3408" s="9"/>
      <c r="C3408" s="9" t="s">
        <v>467</v>
      </c>
      <c r="D3408" s="9" t="s">
        <v>467</v>
      </c>
      <c r="E3408" s="9" t="s">
        <v>3131</v>
      </c>
      <c r="F3408" s="9" t="s">
        <v>474</v>
      </c>
      <c r="H3408" s="9"/>
    </row>
    <row r="3409" ht="14.25" customHeight="1">
      <c r="A3409" s="9"/>
      <c r="B3409" s="9"/>
      <c r="C3409" s="9" t="s">
        <v>467</v>
      </c>
      <c r="D3409" s="9" t="s">
        <v>467</v>
      </c>
      <c r="E3409" s="9" t="s">
        <v>3131</v>
      </c>
      <c r="F3409" s="9" t="s">
        <v>284</v>
      </c>
      <c r="H3409" s="9"/>
    </row>
    <row r="3410" ht="14.25" customHeight="1">
      <c r="A3410" s="9"/>
      <c r="B3410" s="9"/>
      <c r="C3410" s="9" t="s">
        <v>467</v>
      </c>
      <c r="D3410" s="9" t="s">
        <v>467</v>
      </c>
      <c r="E3410" s="9" t="s">
        <v>3131</v>
      </c>
      <c r="F3410" s="9" t="s">
        <v>493</v>
      </c>
      <c r="H3410" s="9"/>
    </row>
    <row r="3411" ht="14.25" customHeight="1">
      <c r="A3411" s="9"/>
      <c r="B3411" s="9"/>
      <c r="C3411" s="9" t="s">
        <v>467</v>
      </c>
      <c r="D3411" s="9" t="s">
        <v>467</v>
      </c>
      <c r="E3411" s="9" t="s">
        <v>3131</v>
      </c>
      <c r="F3411" s="9" t="s">
        <v>450</v>
      </c>
      <c r="H3411" s="9"/>
    </row>
    <row r="3412" ht="14.25" customHeight="1">
      <c r="A3412" s="9"/>
      <c r="B3412" s="9"/>
      <c r="C3412" s="9" t="s">
        <v>467</v>
      </c>
      <c r="D3412" s="9" t="s">
        <v>467</v>
      </c>
      <c r="E3412" s="9" t="s">
        <v>3131</v>
      </c>
      <c r="F3412" s="9" t="s">
        <v>2296</v>
      </c>
      <c r="H3412" s="9"/>
    </row>
    <row r="3413" ht="14.25" customHeight="1">
      <c r="A3413" s="9"/>
      <c r="B3413" s="9"/>
      <c r="C3413" s="9" t="s">
        <v>467</v>
      </c>
      <c r="D3413" s="9" t="s">
        <v>467</v>
      </c>
      <c r="E3413" s="9" t="s">
        <v>3131</v>
      </c>
      <c r="F3413" s="9" t="s">
        <v>276</v>
      </c>
      <c r="H3413" s="9"/>
    </row>
    <row r="3414" ht="14.25" customHeight="1">
      <c r="A3414" s="9"/>
      <c r="B3414" s="9"/>
      <c r="C3414" s="9" t="s">
        <v>467</v>
      </c>
      <c r="D3414" s="9" t="s">
        <v>467</v>
      </c>
      <c r="E3414" s="9" t="s">
        <v>3131</v>
      </c>
      <c r="F3414" s="9" t="s">
        <v>431</v>
      </c>
      <c r="H3414" s="9"/>
    </row>
    <row r="3415" ht="14.25" customHeight="1">
      <c r="A3415" s="9"/>
      <c r="B3415" s="9"/>
      <c r="C3415" s="9" t="s">
        <v>467</v>
      </c>
      <c r="D3415" s="9" t="s">
        <v>467</v>
      </c>
      <c r="E3415" s="9" t="s">
        <v>3131</v>
      </c>
      <c r="F3415" s="9" t="s">
        <v>1272</v>
      </c>
      <c r="H3415" s="9"/>
    </row>
    <row r="3416" ht="14.25" customHeight="1">
      <c r="A3416" s="9"/>
      <c r="B3416" s="9"/>
      <c r="C3416" s="9" t="s">
        <v>467</v>
      </c>
      <c r="D3416" s="9" t="s">
        <v>467</v>
      </c>
      <c r="E3416" s="9" t="s">
        <v>3131</v>
      </c>
      <c r="F3416" s="9" t="s">
        <v>420</v>
      </c>
      <c r="H3416" s="9"/>
    </row>
    <row r="3417" ht="14.25" customHeight="1">
      <c r="A3417" s="9"/>
      <c r="B3417" s="9"/>
      <c r="C3417" s="9" t="s">
        <v>467</v>
      </c>
      <c r="D3417" s="9" t="s">
        <v>467</v>
      </c>
      <c r="E3417" s="9" t="s">
        <v>3131</v>
      </c>
      <c r="F3417" s="9" t="s">
        <v>482</v>
      </c>
      <c r="H3417" s="9"/>
    </row>
    <row r="3418" ht="14.25" customHeight="1">
      <c r="A3418" s="9"/>
      <c r="B3418" s="9"/>
      <c r="C3418" s="9" t="s">
        <v>467</v>
      </c>
      <c r="D3418" s="9" t="s">
        <v>467</v>
      </c>
      <c r="E3418" s="9" t="s">
        <v>3131</v>
      </c>
      <c r="F3418" s="15" t="s">
        <v>136</v>
      </c>
      <c r="H3418" s="9"/>
    </row>
    <row r="3419" ht="14.25" customHeight="1">
      <c r="A3419" s="9"/>
      <c r="B3419" s="9"/>
      <c r="C3419" s="9" t="s">
        <v>467</v>
      </c>
      <c r="D3419" s="9" t="s">
        <v>467</v>
      </c>
      <c r="E3419" s="9" t="s">
        <v>3131</v>
      </c>
      <c r="F3419" s="9" t="s">
        <v>408</v>
      </c>
      <c r="H3419" s="9"/>
    </row>
    <row r="3420" ht="14.25" customHeight="1">
      <c r="A3420" s="9"/>
      <c r="B3420" s="9"/>
      <c r="C3420" s="9" t="s">
        <v>467</v>
      </c>
      <c r="D3420" s="9" t="s">
        <v>467</v>
      </c>
      <c r="E3420" s="9" t="s">
        <v>3131</v>
      </c>
      <c r="F3420" s="9" t="s">
        <v>2301</v>
      </c>
      <c r="H3420" s="9"/>
    </row>
    <row r="3421" ht="14.25" customHeight="1">
      <c r="A3421" s="9"/>
      <c r="B3421" s="9"/>
      <c r="C3421" s="9" t="s">
        <v>467</v>
      </c>
      <c r="D3421" s="9" t="s">
        <v>467</v>
      </c>
      <c r="E3421" s="9" t="s">
        <v>3131</v>
      </c>
      <c r="F3421" s="9" t="s">
        <v>197</v>
      </c>
      <c r="H3421" s="9"/>
    </row>
    <row r="3422" ht="14.25" customHeight="1">
      <c r="A3422" s="9"/>
      <c r="B3422" s="9"/>
      <c r="C3422" s="9" t="s">
        <v>467</v>
      </c>
      <c r="D3422" s="9" t="s">
        <v>467</v>
      </c>
      <c r="E3422" s="9" t="s">
        <v>3131</v>
      </c>
      <c r="F3422" s="9" t="s">
        <v>172</v>
      </c>
      <c r="H3422" s="9"/>
    </row>
    <row r="3423" ht="14.25" customHeight="1">
      <c r="A3423" s="9"/>
      <c r="B3423" s="9"/>
      <c r="C3423" s="9" t="s">
        <v>467</v>
      </c>
      <c r="D3423" s="9" t="s">
        <v>467</v>
      </c>
      <c r="E3423" s="9" t="s">
        <v>3131</v>
      </c>
      <c r="F3423" s="9" t="s">
        <v>98</v>
      </c>
      <c r="H3423" s="9"/>
    </row>
    <row r="3424" ht="14.25" customHeight="1">
      <c r="A3424" s="9"/>
      <c r="B3424" s="9"/>
      <c r="C3424" s="9" t="s">
        <v>467</v>
      </c>
      <c r="D3424" s="9" t="s">
        <v>467</v>
      </c>
      <c r="E3424" s="9" t="s">
        <v>3131</v>
      </c>
      <c r="F3424" s="9" t="s">
        <v>341</v>
      </c>
      <c r="H3424" s="9"/>
    </row>
    <row r="3425" ht="14.25" customHeight="1">
      <c r="A3425" s="9"/>
      <c r="B3425" s="9"/>
      <c r="C3425" s="9" t="s">
        <v>467</v>
      </c>
      <c r="D3425" s="9" t="s">
        <v>467</v>
      </c>
      <c r="E3425" s="9" t="s">
        <v>3131</v>
      </c>
      <c r="F3425" s="9" t="s">
        <v>367</v>
      </c>
      <c r="H3425" s="9"/>
    </row>
    <row r="3426" ht="14.25" customHeight="1">
      <c r="A3426" s="9"/>
      <c r="B3426" s="9"/>
      <c r="C3426" s="9" t="s">
        <v>467</v>
      </c>
      <c r="D3426" s="9" t="s">
        <v>467</v>
      </c>
      <c r="E3426" s="9" t="s">
        <v>3131</v>
      </c>
      <c r="F3426" s="9" t="s">
        <v>529</v>
      </c>
      <c r="H3426" s="9"/>
    </row>
    <row r="3427" ht="14.25" customHeight="1">
      <c r="A3427" s="9"/>
      <c r="B3427" s="9"/>
      <c r="C3427" s="9" t="s">
        <v>467</v>
      </c>
      <c r="D3427" s="9" t="s">
        <v>467</v>
      </c>
      <c r="E3427" s="9" t="s">
        <v>3131</v>
      </c>
      <c r="F3427" s="9" t="s">
        <v>282</v>
      </c>
      <c r="H3427" s="9"/>
    </row>
    <row r="3428" ht="14.25" customHeight="1">
      <c r="A3428" s="9"/>
      <c r="B3428" s="9"/>
      <c r="C3428" s="9" t="s">
        <v>467</v>
      </c>
      <c r="D3428" s="9" t="s">
        <v>467</v>
      </c>
      <c r="E3428" s="9" t="s">
        <v>3131</v>
      </c>
      <c r="F3428" s="9" t="s">
        <v>321</v>
      </c>
      <c r="H3428" s="9"/>
    </row>
    <row r="3429" ht="14.25" customHeight="1">
      <c r="A3429" s="9"/>
      <c r="B3429" s="9"/>
      <c r="C3429" s="9" t="s">
        <v>467</v>
      </c>
      <c r="D3429" s="9" t="s">
        <v>467</v>
      </c>
      <c r="E3429" s="9" t="s">
        <v>3131</v>
      </c>
      <c r="F3429" s="9" t="s">
        <v>272</v>
      </c>
      <c r="H3429" s="9"/>
    </row>
    <row r="3430" ht="14.25" customHeight="1">
      <c r="A3430" s="9"/>
      <c r="B3430" s="9"/>
      <c r="C3430" s="9" t="s">
        <v>467</v>
      </c>
      <c r="D3430" s="9" t="s">
        <v>467</v>
      </c>
      <c r="E3430" s="9" t="s">
        <v>3131</v>
      </c>
      <c r="F3430" s="9" t="s">
        <v>517</v>
      </c>
      <c r="H3430" s="9"/>
    </row>
    <row r="3431" ht="14.25" customHeight="1">
      <c r="A3431" s="9"/>
      <c r="B3431" s="9"/>
      <c r="C3431" s="9" t="s">
        <v>467</v>
      </c>
      <c r="D3431" s="9" t="s">
        <v>467</v>
      </c>
      <c r="E3431" s="9" t="s">
        <v>3131</v>
      </c>
      <c r="F3431" s="9" t="s">
        <v>2309</v>
      </c>
      <c r="H3431" s="9"/>
    </row>
    <row r="3432" ht="14.25" customHeight="1">
      <c r="A3432" s="9"/>
      <c r="B3432" s="9"/>
      <c r="C3432" s="9" t="s">
        <v>467</v>
      </c>
      <c r="D3432" s="9" t="s">
        <v>467</v>
      </c>
      <c r="E3432" s="9" t="s">
        <v>3131</v>
      </c>
      <c r="F3432" s="9" t="s">
        <v>507</v>
      </c>
      <c r="H3432" s="9"/>
    </row>
    <row r="3433" ht="14.25" customHeight="1">
      <c r="A3433" s="9"/>
      <c r="B3433" s="9"/>
      <c r="C3433" s="9" t="s">
        <v>467</v>
      </c>
      <c r="D3433" s="9" t="s">
        <v>467</v>
      </c>
      <c r="E3433" s="9" t="s">
        <v>3131</v>
      </c>
      <c r="F3433" s="9" t="s">
        <v>336</v>
      </c>
      <c r="H3433" s="9"/>
    </row>
    <row r="3434" ht="14.25" customHeight="1">
      <c r="A3434" s="9"/>
      <c r="B3434" s="9"/>
      <c r="C3434" s="9" t="s">
        <v>467</v>
      </c>
      <c r="D3434" s="9" t="s">
        <v>467</v>
      </c>
      <c r="E3434" s="9" t="s">
        <v>3131</v>
      </c>
      <c r="F3434" s="9" t="s">
        <v>235</v>
      </c>
      <c r="H3434" s="9"/>
    </row>
    <row r="3435" ht="14.25" customHeight="1">
      <c r="A3435" s="9"/>
      <c r="B3435" s="9"/>
      <c r="C3435" s="9" t="s">
        <v>467</v>
      </c>
      <c r="D3435" s="9" t="s">
        <v>467</v>
      </c>
      <c r="E3435" s="9" t="s">
        <v>3131</v>
      </c>
      <c r="F3435" s="9" t="s">
        <v>327</v>
      </c>
      <c r="H3435" s="9"/>
    </row>
    <row r="3436" ht="14.25" customHeight="1">
      <c r="A3436" s="9"/>
      <c r="B3436" s="9"/>
      <c r="C3436" s="9" t="s">
        <v>467</v>
      </c>
      <c r="D3436" s="9" t="s">
        <v>467</v>
      </c>
      <c r="E3436" s="9" t="s">
        <v>3131</v>
      </c>
      <c r="F3436" s="9" t="s">
        <v>264</v>
      </c>
      <c r="H3436" s="9"/>
    </row>
    <row r="3437" ht="14.25" customHeight="1">
      <c r="A3437" s="9"/>
      <c r="B3437" s="9"/>
      <c r="C3437" s="9" t="s">
        <v>3138</v>
      </c>
      <c r="D3437" s="9" t="s">
        <v>3139</v>
      </c>
      <c r="E3437" s="9" t="s">
        <v>3131</v>
      </c>
      <c r="F3437" s="9" t="s">
        <v>1439</v>
      </c>
      <c r="H3437" s="9"/>
    </row>
    <row r="3438" ht="14.25" customHeight="1">
      <c r="A3438" s="9"/>
      <c r="B3438" s="9"/>
      <c r="C3438" s="9" t="s">
        <v>3138</v>
      </c>
      <c r="D3438" s="9" t="s">
        <v>3139</v>
      </c>
      <c r="E3438" s="9" t="s">
        <v>3131</v>
      </c>
      <c r="F3438" s="9" t="s">
        <v>3132</v>
      </c>
      <c r="H3438" s="9"/>
    </row>
    <row r="3439" ht="14.25" customHeight="1">
      <c r="A3439" s="9"/>
      <c r="B3439" s="9"/>
      <c r="C3439" s="9" t="s">
        <v>3138</v>
      </c>
      <c r="D3439" s="9" t="s">
        <v>3139</v>
      </c>
      <c r="E3439" s="9" t="s">
        <v>3131</v>
      </c>
      <c r="F3439" s="9" t="s">
        <v>1440</v>
      </c>
      <c r="H3439" s="9"/>
    </row>
    <row r="3440" ht="14.25" customHeight="1">
      <c r="A3440" s="9"/>
      <c r="B3440" s="9"/>
      <c r="C3440" s="9" t="s">
        <v>3138</v>
      </c>
      <c r="D3440" s="9" t="s">
        <v>3139</v>
      </c>
      <c r="E3440" s="9" t="s">
        <v>3131</v>
      </c>
      <c r="F3440" s="9" t="s">
        <v>482</v>
      </c>
      <c r="H3440" s="9"/>
    </row>
    <row r="3441" ht="14.25" customHeight="1">
      <c r="A3441" s="9"/>
      <c r="B3441" s="9"/>
      <c r="C3441" s="9" t="s">
        <v>3138</v>
      </c>
      <c r="D3441" s="9" t="s">
        <v>3139</v>
      </c>
      <c r="E3441" s="9" t="s">
        <v>3131</v>
      </c>
      <c r="F3441" s="9" t="s">
        <v>3133</v>
      </c>
      <c r="H3441" s="9"/>
    </row>
    <row r="3442" ht="14.25" customHeight="1">
      <c r="A3442" s="9"/>
      <c r="B3442" s="9"/>
      <c r="C3442" s="9" t="s">
        <v>3138</v>
      </c>
      <c r="D3442" s="9" t="s">
        <v>3139</v>
      </c>
      <c r="E3442" s="9" t="s">
        <v>3131</v>
      </c>
      <c r="F3442" s="9" t="s">
        <v>341</v>
      </c>
      <c r="H3442" s="9"/>
    </row>
    <row r="3443" ht="14.25" customHeight="1">
      <c r="A3443" s="9"/>
      <c r="B3443" s="9"/>
      <c r="C3443" s="9" t="s">
        <v>3138</v>
      </c>
      <c r="D3443" s="9" t="s">
        <v>3139</v>
      </c>
      <c r="E3443" s="9" t="s">
        <v>3131</v>
      </c>
      <c r="F3443" s="9" t="s">
        <v>367</v>
      </c>
      <c r="H3443" s="9"/>
    </row>
    <row r="3444" ht="14.25" customHeight="1">
      <c r="A3444" s="9"/>
      <c r="B3444" s="9"/>
      <c r="C3444" s="9" t="s">
        <v>3138</v>
      </c>
      <c r="D3444" s="9" t="s">
        <v>3139</v>
      </c>
      <c r="E3444" s="9" t="s">
        <v>3131</v>
      </c>
      <c r="F3444" s="9" t="s">
        <v>529</v>
      </c>
      <c r="H3444" s="9"/>
    </row>
    <row r="3445" ht="14.25" customHeight="1">
      <c r="A3445" s="9"/>
      <c r="B3445" s="9"/>
      <c r="C3445" s="9" t="s">
        <v>3138</v>
      </c>
      <c r="D3445" s="9" t="s">
        <v>3139</v>
      </c>
      <c r="E3445" s="9" t="s">
        <v>3131</v>
      </c>
      <c r="F3445" s="9" t="s">
        <v>1435</v>
      </c>
      <c r="H3445" s="9"/>
    </row>
    <row r="3446" ht="14.25" customHeight="1">
      <c r="A3446" s="9"/>
      <c r="B3446" s="9"/>
      <c r="C3446" s="9" t="s">
        <v>3138</v>
      </c>
      <c r="D3446" s="9" t="s">
        <v>3139</v>
      </c>
      <c r="E3446" s="9" t="s">
        <v>3131</v>
      </c>
      <c r="F3446" s="9" t="s">
        <v>1437</v>
      </c>
      <c r="H3446" s="9"/>
    </row>
    <row r="3447" ht="14.25" customHeight="1">
      <c r="A3447" s="9"/>
      <c r="B3447" s="9"/>
      <c r="C3447" s="9" t="s">
        <v>3138</v>
      </c>
      <c r="D3447" s="9" t="s">
        <v>3139</v>
      </c>
      <c r="E3447" s="9" t="s">
        <v>3131</v>
      </c>
      <c r="F3447" s="9" t="s">
        <v>1436</v>
      </c>
      <c r="H3447" s="9"/>
    </row>
    <row r="3448" ht="14.25" customHeight="1">
      <c r="A3448" s="9"/>
      <c r="B3448" s="9"/>
      <c r="C3448" s="9" t="s">
        <v>3138</v>
      </c>
      <c r="D3448" s="9" t="s">
        <v>3139</v>
      </c>
      <c r="E3448" s="9" t="s">
        <v>3131</v>
      </c>
      <c r="F3448" s="9" t="s">
        <v>3134</v>
      </c>
      <c r="H3448" s="9"/>
    </row>
    <row r="3449" ht="14.25" customHeight="1">
      <c r="A3449" s="9"/>
      <c r="B3449" s="9"/>
      <c r="C3449" s="9" t="s">
        <v>3138</v>
      </c>
      <c r="D3449" s="9" t="s">
        <v>3139</v>
      </c>
      <c r="E3449" s="9" t="s">
        <v>3131</v>
      </c>
      <c r="F3449" s="9" t="s">
        <v>1434</v>
      </c>
      <c r="H3449" s="9"/>
    </row>
    <row r="3450" ht="14.25" customHeight="1">
      <c r="A3450" s="9"/>
      <c r="B3450" s="9"/>
      <c r="C3450" s="9" t="s">
        <v>3138</v>
      </c>
      <c r="D3450" s="9" t="s">
        <v>3139</v>
      </c>
      <c r="E3450" s="9" t="s">
        <v>3131</v>
      </c>
      <c r="F3450" s="9" t="s">
        <v>517</v>
      </c>
      <c r="H3450" s="9"/>
    </row>
    <row r="3451" ht="14.25" customHeight="1">
      <c r="A3451" s="9"/>
      <c r="B3451" s="9"/>
      <c r="C3451" s="9" t="s">
        <v>3138</v>
      </c>
      <c r="D3451" s="9" t="s">
        <v>3139</v>
      </c>
      <c r="E3451" s="9" t="s">
        <v>3131</v>
      </c>
      <c r="F3451" s="9" t="s">
        <v>507</v>
      </c>
      <c r="H3451" s="9"/>
    </row>
    <row r="3452" ht="14.25" customHeight="1">
      <c r="A3452" s="9"/>
      <c r="B3452" s="9"/>
      <c r="C3452" s="9" t="s">
        <v>3138</v>
      </c>
      <c r="D3452" s="9" t="s">
        <v>3139</v>
      </c>
      <c r="E3452" s="9" t="s">
        <v>3131</v>
      </c>
      <c r="F3452" s="9" t="s">
        <v>1441</v>
      </c>
      <c r="H3452" s="9"/>
    </row>
    <row r="3453" ht="14.25" customHeight="1">
      <c r="A3453" s="9"/>
      <c r="B3453" s="9"/>
      <c r="C3453" s="9" t="s">
        <v>3138</v>
      </c>
      <c r="D3453" s="9" t="s">
        <v>3139</v>
      </c>
      <c r="E3453" s="9" t="s">
        <v>3131</v>
      </c>
      <c r="F3453" s="9" t="s">
        <v>1438</v>
      </c>
      <c r="H3453" s="9"/>
    </row>
    <row r="3454" ht="14.25" customHeight="1">
      <c r="A3454" s="9"/>
      <c r="B3454" s="9"/>
      <c r="C3454" s="9" t="s">
        <v>3138</v>
      </c>
      <c r="D3454" s="9" t="s">
        <v>3140</v>
      </c>
      <c r="E3454" s="9" t="s">
        <v>3131</v>
      </c>
      <c r="F3454" s="9" t="s">
        <v>1439</v>
      </c>
      <c r="H3454" s="9"/>
    </row>
    <row r="3455" ht="14.25" customHeight="1">
      <c r="A3455" s="9"/>
      <c r="B3455" s="9"/>
      <c r="C3455" s="9" t="s">
        <v>3138</v>
      </c>
      <c r="D3455" s="9" t="s">
        <v>3140</v>
      </c>
      <c r="E3455" s="9" t="s">
        <v>3131</v>
      </c>
      <c r="F3455" s="9" t="s">
        <v>3132</v>
      </c>
      <c r="H3455" s="9"/>
    </row>
    <row r="3456" ht="14.25" customHeight="1">
      <c r="A3456" s="9"/>
      <c r="B3456" s="9"/>
      <c r="C3456" s="9" t="s">
        <v>3138</v>
      </c>
      <c r="D3456" s="9" t="s">
        <v>3140</v>
      </c>
      <c r="E3456" s="9" t="s">
        <v>3131</v>
      </c>
      <c r="F3456" s="9" t="s">
        <v>1440</v>
      </c>
      <c r="H3456" s="9"/>
    </row>
    <row r="3457" ht="14.25" customHeight="1">
      <c r="A3457" s="9"/>
      <c r="B3457" s="9"/>
      <c r="C3457" s="9" t="s">
        <v>3138</v>
      </c>
      <c r="D3457" s="9" t="s">
        <v>3140</v>
      </c>
      <c r="E3457" s="9" t="s">
        <v>3131</v>
      </c>
      <c r="F3457" s="9" t="s">
        <v>482</v>
      </c>
      <c r="H3457" s="9"/>
    </row>
    <row r="3458" ht="14.25" customHeight="1">
      <c r="A3458" s="9"/>
      <c r="B3458" s="9"/>
      <c r="C3458" s="9" t="s">
        <v>3138</v>
      </c>
      <c r="D3458" s="9" t="s">
        <v>3140</v>
      </c>
      <c r="E3458" s="9" t="s">
        <v>3131</v>
      </c>
      <c r="F3458" s="9" t="s">
        <v>3133</v>
      </c>
      <c r="H3458" s="9"/>
    </row>
    <row r="3459" ht="14.25" customHeight="1">
      <c r="A3459" s="9"/>
      <c r="B3459" s="9"/>
      <c r="C3459" s="9" t="s">
        <v>3138</v>
      </c>
      <c r="D3459" s="9" t="s">
        <v>3140</v>
      </c>
      <c r="E3459" s="9" t="s">
        <v>3131</v>
      </c>
      <c r="F3459" s="15" t="s">
        <v>341</v>
      </c>
      <c r="H3459" s="9"/>
    </row>
    <row r="3460" ht="14.25" customHeight="1">
      <c r="A3460" s="9"/>
      <c r="B3460" s="9"/>
      <c r="C3460" s="9" t="s">
        <v>3138</v>
      </c>
      <c r="D3460" s="9" t="s">
        <v>3140</v>
      </c>
      <c r="E3460" s="9" t="s">
        <v>3131</v>
      </c>
      <c r="F3460" s="9" t="s">
        <v>367</v>
      </c>
      <c r="H3460" s="9"/>
    </row>
    <row r="3461" ht="14.25" customHeight="1">
      <c r="A3461" s="9"/>
      <c r="B3461" s="9"/>
      <c r="C3461" s="9" t="s">
        <v>3138</v>
      </c>
      <c r="D3461" s="9" t="s">
        <v>3140</v>
      </c>
      <c r="E3461" s="9" t="s">
        <v>3131</v>
      </c>
      <c r="F3461" s="9" t="s">
        <v>529</v>
      </c>
      <c r="H3461" s="9"/>
    </row>
    <row r="3462" ht="14.25" customHeight="1">
      <c r="A3462" s="9"/>
      <c r="B3462" s="9"/>
      <c r="C3462" s="9" t="s">
        <v>3138</v>
      </c>
      <c r="D3462" s="9" t="s">
        <v>3140</v>
      </c>
      <c r="E3462" s="9" t="s">
        <v>3131</v>
      </c>
      <c r="F3462" s="9" t="s">
        <v>1435</v>
      </c>
      <c r="H3462" s="9"/>
    </row>
    <row r="3463" ht="14.25" customHeight="1">
      <c r="A3463" s="9"/>
      <c r="B3463" s="9"/>
      <c r="C3463" s="9" t="s">
        <v>3138</v>
      </c>
      <c r="D3463" s="9" t="s">
        <v>3140</v>
      </c>
      <c r="E3463" s="9" t="s">
        <v>3131</v>
      </c>
      <c r="F3463" s="9" t="s">
        <v>1437</v>
      </c>
      <c r="H3463" s="9"/>
    </row>
    <row r="3464" ht="14.25" customHeight="1">
      <c r="A3464" s="9"/>
      <c r="B3464" s="9"/>
      <c r="C3464" s="9" t="s">
        <v>3138</v>
      </c>
      <c r="D3464" s="9" t="s">
        <v>3140</v>
      </c>
      <c r="E3464" s="9" t="s">
        <v>3131</v>
      </c>
      <c r="F3464" s="9" t="s">
        <v>1436</v>
      </c>
      <c r="H3464" s="9"/>
    </row>
    <row r="3465" ht="14.25" customHeight="1">
      <c r="A3465" s="9"/>
      <c r="B3465" s="9"/>
      <c r="C3465" s="9" t="s">
        <v>3138</v>
      </c>
      <c r="D3465" s="9" t="s">
        <v>3140</v>
      </c>
      <c r="E3465" s="9" t="s">
        <v>3131</v>
      </c>
      <c r="F3465" s="9" t="s">
        <v>3134</v>
      </c>
      <c r="H3465" s="9"/>
    </row>
    <row r="3466" ht="14.25" customHeight="1">
      <c r="A3466" s="9"/>
      <c r="B3466" s="9"/>
      <c r="C3466" s="198" t="s">
        <v>3138</v>
      </c>
      <c r="D3466" s="9" t="s">
        <v>3140</v>
      </c>
      <c r="E3466" s="9" t="s">
        <v>3131</v>
      </c>
      <c r="F3466" s="9" t="s">
        <v>1434</v>
      </c>
      <c r="H3466" s="9"/>
    </row>
    <row r="3467" ht="14.25" customHeight="1">
      <c r="A3467" s="9"/>
      <c r="B3467" s="9"/>
      <c r="C3467" s="9" t="s">
        <v>3138</v>
      </c>
      <c r="D3467" s="9" t="s">
        <v>3140</v>
      </c>
      <c r="E3467" s="9" t="s">
        <v>3131</v>
      </c>
      <c r="F3467" s="9" t="s">
        <v>517</v>
      </c>
      <c r="H3467" s="9"/>
    </row>
    <row r="3468" ht="14.25" customHeight="1">
      <c r="A3468" s="9"/>
      <c r="B3468" s="9"/>
      <c r="C3468" s="9" t="s">
        <v>3138</v>
      </c>
      <c r="D3468" s="9" t="s">
        <v>3140</v>
      </c>
      <c r="E3468" s="9" t="s">
        <v>3131</v>
      </c>
      <c r="F3468" s="9" t="s">
        <v>507</v>
      </c>
      <c r="H3468" s="9"/>
    </row>
    <row r="3469" ht="14.25" customHeight="1">
      <c r="A3469" s="9"/>
      <c r="B3469" s="9"/>
      <c r="C3469" s="9" t="s">
        <v>3138</v>
      </c>
      <c r="D3469" s="9" t="s">
        <v>3140</v>
      </c>
      <c r="E3469" s="9" t="s">
        <v>3131</v>
      </c>
      <c r="F3469" s="9" t="s">
        <v>1441</v>
      </c>
      <c r="H3469" s="9"/>
    </row>
    <row r="3470" ht="14.25" customHeight="1">
      <c r="A3470" s="9"/>
      <c r="B3470" s="9"/>
      <c r="C3470" s="9" t="s">
        <v>3138</v>
      </c>
      <c r="D3470" s="9" t="s">
        <v>3140</v>
      </c>
      <c r="E3470" s="9" t="s">
        <v>3131</v>
      </c>
      <c r="F3470" s="9" t="s">
        <v>1438</v>
      </c>
      <c r="H3470" s="9"/>
    </row>
    <row r="3471" ht="14.25" customHeight="1">
      <c r="A3471" s="9"/>
      <c r="B3471" s="9"/>
      <c r="C3471" s="9" t="s">
        <v>3141</v>
      </c>
      <c r="D3471" s="9" t="s">
        <v>3141</v>
      </c>
      <c r="E3471" s="9" t="s">
        <v>3131</v>
      </c>
      <c r="F3471" s="9" t="s">
        <v>474</v>
      </c>
      <c r="H3471" s="9"/>
    </row>
    <row r="3472" ht="14.25" customHeight="1">
      <c r="A3472" s="9"/>
      <c r="B3472" s="9"/>
      <c r="C3472" s="9" t="s">
        <v>3141</v>
      </c>
      <c r="D3472" s="9" t="s">
        <v>3141</v>
      </c>
      <c r="E3472" s="9" t="s">
        <v>3131</v>
      </c>
      <c r="F3472" s="9" t="s">
        <v>284</v>
      </c>
      <c r="H3472" s="9"/>
    </row>
    <row r="3473" ht="14.25" customHeight="1">
      <c r="A3473" s="9"/>
      <c r="B3473" s="9"/>
      <c r="C3473" s="9" t="s">
        <v>3141</v>
      </c>
      <c r="D3473" s="9" t="s">
        <v>3141</v>
      </c>
      <c r="E3473" s="9" t="s">
        <v>3131</v>
      </c>
      <c r="F3473" s="9" t="s">
        <v>493</v>
      </c>
      <c r="H3473" s="9"/>
    </row>
    <row r="3474" ht="14.25" customHeight="1">
      <c r="A3474" s="9"/>
      <c r="B3474" s="9"/>
      <c r="C3474" s="9" t="s">
        <v>3141</v>
      </c>
      <c r="D3474" s="9" t="s">
        <v>3141</v>
      </c>
      <c r="E3474" s="9" t="s">
        <v>3131</v>
      </c>
      <c r="F3474" s="9" t="s">
        <v>450</v>
      </c>
      <c r="H3474" s="9"/>
    </row>
    <row r="3475" ht="14.25" customHeight="1">
      <c r="A3475" s="9"/>
      <c r="B3475" s="9"/>
      <c r="C3475" s="9" t="s">
        <v>3141</v>
      </c>
      <c r="D3475" s="9" t="s">
        <v>3141</v>
      </c>
      <c r="E3475" s="9" t="s">
        <v>3131</v>
      </c>
      <c r="F3475" s="9" t="s">
        <v>2296</v>
      </c>
      <c r="H3475" s="9"/>
    </row>
    <row r="3476" ht="14.25" customHeight="1">
      <c r="A3476" s="9"/>
      <c r="B3476" s="9"/>
      <c r="C3476" s="9" t="s">
        <v>3141</v>
      </c>
      <c r="D3476" s="9" t="s">
        <v>3141</v>
      </c>
      <c r="E3476" s="9" t="s">
        <v>3131</v>
      </c>
      <c r="F3476" s="9" t="s">
        <v>276</v>
      </c>
      <c r="H3476" s="9"/>
    </row>
    <row r="3477" ht="14.25" customHeight="1">
      <c r="A3477" s="9"/>
      <c r="B3477" s="9"/>
      <c r="C3477" s="9" t="s">
        <v>3141</v>
      </c>
      <c r="D3477" s="9" t="s">
        <v>3141</v>
      </c>
      <c r="E3477" s="9" t="s">
        <v>3131</v>
      </c>
      <c r="F3477" s="9" t="s">
        <v>431</v>
      </c>
      <c r="H3477" s="9"/>
    </row>
    <row r="3478" ht="14.25" customHeight="1">
      <c r="A3478" s="9"/>
      <c r="B3478" s="9"/>
      <c r="C3478" s="9" t="s">
        <v>3141</v>
      </c>
      <c r="D3478" s="9" t="s">
        <v>3141</v>
      </c>
      <c r="E3478" s="9" t="s">
        <v>3131</v>
      </c>
      <c r="F3478" s="9" t="s">
        <v>1272</v>
      </c>
      <c r="H3478" s="9"/>
    </row>
    <row r="3479" ht="14.25" customHeight="1">
      <c r="A3479" s="9"/>
      <c r="B3479" s="9"/>
      <c r="C3479" s="9" t="s">
        <v>3141</v>
      </c>
      <c r="D3479" s="9" t="s">
        <v>3141</v>
      </c>
      <c r="E3479" s="9" t="s">
        <v>3131</v>
      </c>
      <c r="F3479" s="9" t="s">
        <v>420</v>
      </c>
      <c r="H3479" s="9"/>
    </row>
    <row r="3480" ht="14.25" customHeight="1">
      <c r="A3480" s="9"/>
      <c r="B3480" s="9"/>
      <c r="C3480" s="9" t="s">
        <v>3141</v>
      </c>
      <c r="D3480" s="9" t="s">
        <v>3141</v>
      </c>
      <c r="E3480" s="9" t="s">
        <v>3131</v>
      </c>
      <c r="F3480" s="9" t="s">
        <v>482</v>
      </c>
      <c r="H3480" s="9"/>
    </row>
    <row r="3481" ht="14.25" customHeight="1">
      <c r="A3481" s="9"/>
      <c r="B3481" s="9"/>
      <c r="C3481" s="9" t="s">
        <v>3141</v>
      </c>
      <c r="D3481" s="9" t="s">
        <v>3141</v>
      </c>
      <c r="E3481" s="9" t="s">
        <v>3131</v>
      </c>
      <c r="F3481" s="15" t="s">
        <v>136</v>
      </c>
      <c r="H3481" s="9"/>
    </row>
    <row r="3482" ht="14.25" customHeight="1">
      <c r="A3482" s="9"/>
      <c r="B3482" s="9"/>
      <c r="C3482" s="9" t="s">
        <v>3141</v>
      </c>
      <c r="D3482" s="9" t="s">
        <v>3141</v>
      </c>
      <c r="E3482" s="9" t="s">
        <v>3131</v>
      </c>
      <c r="F3482" s="9" t="s">
        <v>408</v>
      </c>
      <c r="H3482" s="9"/>
    </row>
    <row r="3483" ht="14.25" customHeight="1">
      <c r="A3483" s="9"/>
      <c r="B3483" s="9"/>
      <c r="C3483" s="9" t="s">
        <v>3141</v>
      </c>
      <c r="D3483" s="9" t="s">
        <v>3141</v>
      </c>
      <c r="E3483" s="9" t="s">
        <v>3131</v>
      </c>
      <c r="F3483" s="9" t="s">
        <v>2301</v>
      </c>
      <c r="H3483" s="9"/>
    </row>
    <row r="3484" ht="14.25" customHeight="1">
      <c r="A3484" s="9"/>
      <c r="B3484" s="9"/>
      <c r="C3484" s="9" t="s">
        <v>3141</v>
      </c>
      <c r="D3484" s="9" t="s">
        <v>3141</v>
      </c>
      <c r="E3484" s="9" t="s">
        <v>3131</v>
      </c>
      <c r="F3484" s="9" t="s">
        <v>197</v>
      </c>
      <c r="H3484" s="9"/>
    </row>
    <row r="3485" ht="14.25" customHeight="1">
      <c r="A3485" s="9"/>
      <c r="B3485" s="9"/>
      <c r="C3485" s="9" t="s">
        <v>3141</v>
      </c>
      <c r="D3485" s="9" t="s">
        <v>3141</v>
      </c>
      <c r="E3485" s="9" t="s">
        <v>3131</v>
      </c>
      <c r="F3485" s="9" t="s">
        <v>172</v>
      </c>
      <c r="H3485" s="9"/>
    </row>
    <row r="3486" ht="14.25" customHeight="1">
      <c r="A3486" s="9"/>
      <c r="B3486" s="9"/>
      <c r="C3486" s="9" t="s">
        <v>3141</v>
      </c>
      <c r="D3486" s="9" t="s">
        <v>3141</v>
      </c>
      <c r="E3486" s="9" t="s">
        <v>3131</v>
      </c>
      <c r="F3486" s="9" t="s">
        <v>98</v>
      </c>
      <c r="H3486" s="9"/>
    </row>
    <row r="3487" ht="14.25" customHeight="1">
      <c r="A3487" s="9"/>
      <c r="B3487" s="9"/>
      <c r="C3487" s="9" t="s">
        <v>3141</v>
      </c>
      <c r="D3487" s="9" t="s">
        <v>3141</v>
      </c>
      <c r="E3487" s="9" t="s">
        <v>3131</v>
      </c>
      <c r="F3487" s="9" t="s">
        <v>341</v>
      </c>
      <c r="H3487" s="9"/>
    </row>
    <row r="3488" ht="14.25" customHeight="1">
      <c r="A3488" s="9"/>
      <c r="B3488" s="9"/>
      <c r="C3488" s="9" t="s">
        <v>3141</v>
      </c>
      <c r="D3488" s="9" t="s">
        <v>3141</v>
      </c>
      <c r="E3488" s="9" t="s">
        <v>3131</v>
      </c>
      <c r="F3488" s="9" t="s">
        <v>367</v>
      </c>
      <c r="H3488" s="9"/>
    </row>
    <row r="3489" ht="14.25" customHeight="1">
      <c r="A3489" s="9"/>
      <c r="B3489" s="9"/>
      <c r="C3489" s="9" t="s">
        <v>3141</v>
      </c>
      <c r="D3489" s="9" t="s">
        <v>3141</v>
      </c>
      <c r="E3489" s="9" t="s">
        <v>3131</v>
      </c>
      <c r="F3489" s="9" t="s">
        <v>529</v>
      </c>
      <c r="H3489" s="9"/>
    </row>
    <row r="3490" ht="14.25" customHeight="1">
      <c r="A3490" s="9"/>
      <c r="B3490" s="9"/>
      <c r="C3490" s="9" t="s">
        <v>3141</v>
      </c>
      <c r="D3490" s="9" t="s">
        <v>3141</v>
      </c>
      <c r="E3490" s="9" t="s">
        <v>3131</v>
      </c>
      <c r="F3490" s="9" t="s">
        <v>282</v>
      </c>
      <c r="H3490" s="9"/>
    </row>
    <row r="3491" ht="14.25" customHeight="1">
      <c r="A3491" s="9"/>
      <c r="B3491" s="9"/>
      <c r="C3491" s="9" t="s">
        <v>3141</v>
      </c>
      <c r="D3491" s="9" t="s">
        <v>3141</v>
      </c>
      <c r="E3491" s="9" t="s">
        <v>3131</v>
      </c>
      <c r="F3491" s="9" t="s">
        <v>321</v>
      </c>
      <c r="H3491" s="9"/>
    </row>
    <row r="3492" ht="14.25" customHeight="1">
      <c r="A3492" s="9"/>
      <c r="B3492" s="9"/>
      <c r="C3492" s="9" t="s">
        <v>3141</v>
      </c>
      <c r="D3492" s="9" t="s">
        <v>3141</v>
      </c>
      <c r="E3492" s="9" t="s">
        <v>3131</v>
      </c>
      <c r="F3492" s="9" t="s">
        <v>272</v>
      </c>
      <c r="H3492" s="9"/>
    </row>
    <row r="3493" ht="14.25" customHeight="1">
      <c r="A3493" s="9"/>
      <c r="B3493" s="9"/>
      <c r="C3493" s="9" t="s">
        <v>3141</v>
      </c>
      <c r="D3493" s="9" t="s">
        <v>3141</v>
      </c>
      <c r="E3493" s="9" t="s">
        <v>3131</v>
      </c>
      <c r="F3493" s="9" t="s">
        <v>517</v>
      </c>
      <c r="H3493" s="9"/>
    </row>
    <row r="3494" ht="14.25" customHeight="1">
      <c r="A3494" s="9"/>
      <c r="B3494" s="9"/>
      <c r="C3494" s="9" t="s">
        <v>3141</v>
      </c>
      <c r="D3494" s="9" t="s">
        <v>3141</v>
      </c>
      <c r="E3494" s="9" t="s">
        <v>3131</v>
      </c>
      <c r="F3494" s="9" t="s">
        <v>2309</v>
      </c>
      <c r="H3494" s="9"/>
    </row>
    <row r="3495" ht="14.25" customHeight="1">
      <c r="A3495" s="9"/>
      <c r="B3495" s="9"/>
      <c r="C3495" s="9" t="s">
        <v>3141</v>
      </c>
      <c r="D3495" s="9" t="s">
        <v>3141</v>
      </c>
      <c r="E3495" s="9" t="s">
        <v>3131</v>
      </c>
      <c r="F3495" s="9" t="s">
        <v>507</v>
      </c>
      <c r="H3495" s="9"/>
    </row>
    <row r="3496" ht="14.25" customHeight="1">
      <c r="A3496" s="9"/>
      <c r="B3496" s="9"/>
      <c r="C3496" s="9" t="s">
        <v>3141</v>
      </c>
      <c r="D3496" s="9" t="s">
        <v>3141</v>
      </c>
      <c r="E3496" s="9" t="s">
        <v>3131</v>
      </c>
      <c r="F3496" s="9" t="s">
        <v>336</v>
      </c>
      <c r="H3496" s="9"/>
    </row>
    <row r="3497" ht="14.25" customHeight="1">
      <c r="A3497" s="9"/>
      <c r="B3497" s="9"/>
      <c r="C3497" s="9" t="s">
        <v>3141</v>
      </c>
      <c r="D3497" s="9" t="s">
        <v>3141</v>
      </c>
      <c r="E3497" s="9" t="s">
        <v>3131</v>
      </c>
      <c r="F3497" s="9" t="s">
        <v>235</v>
      </c>
      <c r="H3497" s="9"/>
    </row>
    <row r="3498" ht="14.25" customHeight="1">
      <c r="A3498" s="9"/>
      <c r="B3498" s="9"/>
      <c r="C3498" s="9" t="s">
        <v>3141</v>
      </c>
      <c r="D3498" s="9" t="s">
        <v>3141</v>
      </c>
      <c r="E3498" s="9" t="s">
        <v>3131</v>
      </c>
      <c r="F3498" s="9" t="s">
        <v>327</v>
      </c>
      <c r="H3498" s="9"/>
    </row>
    <row r="3499" ht="14.25" customHeight="1">
      <c r="A3499" s="9"/>
      <c r="B3499" s="9"/>
      <c r="C3499" s="9" t="s">
        <v>3141</v>
      </c>
      <c r="D3499" s="9" t="s">
        <v>3141</v>
      </c>
      <c r="E3499" s="9" t="s">
        <v>3131</v>
      </c>
      <c r="F3499" s="9" t="s">
        <v>264</v>
      </c>
      <c r="H3499" s="9"/>
    </row>
    <row r="3500" ht="14.25" customHeight="1">
      <c r="A3500" s="9"/>
      <c r="B3500" s="9"/>
      <c r="C3500" s="185" t="s">
        <v>3142</v>
      </c>
      <c r="D3500" s="207" t="s">
        <v>3143</v>
      </c>
      <c r="E3500" s="9" t="s">
        <v>3131</v>
      </c>
      <c r="F3500" s="9" t="s">
        <v>474</v>
      </c>
      <c r="H3500" s="9"/>
    </row>
    <row r="3501" ht="14.25" customHeight="1">
      <c r="A3501" s="9"/>
      <c r="B3501" s="9"/>
      <c r="C3501" s="185" t="s">
        <v>3142</v>
      </c>
      <c r="D3501" s="207" t="s">
        <v>3143</v>
      </c>
      <c r="E3501" s="9" t="s">
        <v>3131</v>
      </c>
      <c r="F3501" s="9" t="s">
        <v>284</v>
      </c>
      <c r="H3501" s="9"/>
    </row>
    <row r="3502" ht="14.25" customHeight="1">
      <c r="A3502" s="9"/>
      <c r="B3502" s="9"/>
      <c r="C3502" s="185" t="s">
        <v>3142</v>
      </c>
      <c r="D3502" s="207" t="s">
        <v>3143</v>
      </c>
      <c r="E3502" s="9" t="s">
        <v>3131</v>
      </c>
      <c r="F3502" s="9" t="s">
        <v>493</v>
      </c>
      <c r="H3502" s="9"/>
    </row>
    <row r="3503" ht="14.25" customHeight="1">
      <c r="A3503" s="9"/>
      <c r="B3503" s="9"/>
      <c r="C3503" s="185" t="s">
        <v>3142</v>
      </c>
      <c r="D3503" s="207" t="s">
        <v>3143</v>
      </c>
      <c r="E3503" s="9" t="s">
        <v>3131</v>
      </c>
      <c r="F3503" s="9" t="s">
        <v>450</v>
      </c>
      <c r="H3503" s="9"/>
    </row>
    <row r="3504" ht="14.25" customHeight="1">
      <c r="A3504" s="9"/>
      <c r="B3504" s="9"/>
      <c r="C3504" s="185" t="s">
        <v>3142</v>
      </c>
      <c r="D3504" s="207" t="s">
        <v>3143</v>
      </c>
      <c r="E3504" s="9" t="s">
        <v>3131</v>
      </c>
      <c r="F3504" s="9" t="s">
        <v>2296</v>
      </c>
      <c r="H3504" s="9"/>
    </row>
    <row r="3505" ht="14.25" customHeight="1">
      <c r="A3505" s="9"/>
      <c r="B3505" s="9"/>
      <c r="C3505" s="185" t="s">
        <v>3142</v>
      </c>
      <c r="D3505" s="207" t="s">
        <v>3143</v>
      </c>
      <c r="E3505" s="9" t="s">
        <v>3131</v>
      </c>
      <c r="F3505" s="9" t="s">
        <v>276</v>
      </c>
      <c r="H3505" s="9"/>
    </row>
    <row r="3506" ht="14.25" customHeight="1">
      <c r="A3506" s="9"/>
      <c r="B3506" s="9"/>
      <c r="C3506" s="185" t="s">
        <v>3142</v>
      </c>
      <c r="D3506" s="207" t="s">
        <v>3143</v>
      </c>
      <c r="E3506" s="9" t="s">
        <v>3131</v>
      </c>
      <c r="F3506" s="9" t="s">
        <v>431</v>
      </c>
      <c r="H3506" s="9"/>
    </row>
    <row r="3507" ht="14.25" customHeight="1">
      <c r="A3507" s="9"/>
      <c r="B3507" s="9"/>
      <c r="C3507" s="185" t="s">
        <v>3142</v>
      </c>
      <c r="D3507" s="207" t="s">
        <v>3143</v>
      </c>
      <c r="E3507" s="9" t="s">
        <v>3131</v>
      </c>
      <c r="F3507" s="9" t="s">
        <v>1272</v>
      </c>
      <c r="H3507" s="9"/>
    </row>
    <row r="3508" ht="14.25" customHeight="1">
      <c r="A3508" s="9"/>
      <c r="B3508" s="9"/>
      <c r="C3508" s="185" t="s">
        <v>3142</v>
      </c>
      <c r="D3508" s="207" t="s">
        <v>3143</v>
      </c>
      <c r="E3508" s="9" t="s">
        <v>3131</v>
      </c>
      <c r="F3508" s="9" t="s">
        <v>420</v>
      </c>
      <c r="H3508" s="9"/>
    </row>
    <row r="3509" ht="14.25" customHeight="1">
      <c r="A3509" s="9"/>
      <c r="B3509" s="9"/>
      <c r="C3509" s="185" t="s">
        <v>3142</v>
      </c>
      <c r="D3509" s="207" t="s">
        <v>3143</v>
      </c>
      <c r="E3509" s="9" t="s">
        <v>3131</v>
      </c>
      <c r="F3509" s="9" t="s">
        <v>482</v>
      </c>
      <c r="H3509" s="9"/>
    </row>
    <row r="3510" ht="14.25" customHeight="1">
      <c r="A3510" s="9"/>
      <c r="B3510" s="9"/>
      <c r="C3510" s="185" t="s">
        <v>3142</v>
      </c>
      <c r="D3510" s="207" t="s">
        <v>3143</v>
      </c>
      <c r="E3510" s="9" t="s">
        <v>3131</v>
      </c>
      <c r="F3510" s="15" t="s">
        <v>136</v>
      </c>
      <c r="H3510" s="9"/>
    </row>
    <row r="3511" ht="14.25" customHeight="1">
      <c r="A3511" s="9"/>
      <c r="B3511" s="9"/>
      <c r="C3511" s="185" t="s">
        <v>3142</v>
      </c>
      <c r="D3511" s="207" t="s">
        <v>3143</v>
      </c>
      <c r="E3511" s="9" t="s">
        <v>3131</v>
      </c>
      <c r="F3511" s="9" t="s">
        <v>408</v>
      </c>
      <c r="H3511" s="9"/>
    </row>
    <row r="3512" ht="14.25" customHeight="1">
      <c r="A3512" s="9"/>
      <c r="B3512" s="9"/>
      <c r="C3512" s="185" t="s">
        <v>3142</v>
      </c>
      <c r="D3512" s="207" t="s">
        <v>3143</v>
      </c>
      <c r="E3512" s="9" t="s">
        <v>3131</v>
      </c>
      <c r="F3512" s="9" t="s">
        <v>2301</v>
      </c>
      <c r="H3512" s="9"/>
    </row>
    <row r="3513" ht="14.25" customHeight="1">
      <c r="A3513" s="9"/>
      <c r="B3513" s="9"/>
      <c r="C3513" s="185" t="s">
        <v>3142</v>
      </c>
      <c r="D3513" s="207" t="s">
        <v>3143</v>
      </c>
      <c r="E3513" s="9" t="s">
        <v>3131</v>
      </c>
      <c r="F3513" s="9" t="s">
        <v>197</v>
      </c>
      <c r="H3513" s="9"/>
    </row>
    <row r="3514" ht="14.25" customHeight="1">
      <c r="A3514" s="9"/>
      <c r="B3514" s="9"/>
      <c r="C3514" s="185" t="s">
        <v>3142</v>
      </c>
      <c r="D3514" s="207" t="s">
        <v>3143</v>
      </c>
      <c r="E3514" s="9" t="s">
        <v>3131</v>
      </c>
      <c r="F3514" s="9" t="s">
        <v>172</v>
      </c>
      <c r="H3514" s="9"/>
    </row>
    <row r="3515" ht="14.25" customHeight="1">
      <c r="A3515" s="9"/>
      <c r="B3515" s="9"/>
      <c r="C3515" s="185" t="s">
        <v>3142</v>
      </c>
      <c r="D3515" s="207" t="s">
        <v>3143</v>
      </c>
      <c r="E3515" s="9" t="s">
        <v>3131</v>
      </c>
      <c r="F3515" s="9" t="s">
        <v>98</v>
      </c>
      <c r="H3515" s="9"/>
    </row>
    <row r="3516" ht="14.25" customHeight="1">
      <c r="A3516" s="9"/>
      <c r="B3516" s="9"/>
      <c r="C3516" s="185" t="s">
        <v>3142</v>
      </c>
      <c r="D3516" s="207" t="s">
        <v>3143</v>
      </c>
      <c r="E3516" s="9" t="s">
        <v>3131</v>
      </c>
      <c r="F3516" s="9" t="s">
        <v>341</v>
      </c>
      <c r="H3516" s="9"/>
    </row>
    <row r="3517" ht="14.25" customHeight="1">
      <c r="A3517" s="9"/>
      <c r="B3517" s="9"/>
      <c r="C3517" s="185" t="s">
        <v>3142</v>
      </c>
      <c r="D3517" s="207" t="s">
        <v>3143</v>
      </c>
      <c r="E3517" s="9" t="s">
        <v>3131</v>
      </c>
      <c r="F3517" s="9" t="s">
        <v>367</v>
      </c>
      <c r="H3517" s="9"/>
    </row>
    <row r="3518" ht="14.25" customHeight="1">
      <c r="A3518" s="9"/>
      <c r="B3518" s="9"/>
      <c r="C3518" s="185" t="s">
        <v>3142</v>
      </c>
      <c r="D3518" s="207" t="s">
        <v>3143</v>
      </c>
      <c r="E3518" s="9" t="s">
        <v>3131</v>
      </c>
      <c r="F3518" s="9" t="s">
        <v>529</v>
      </c>
      <c r="H3518" s="9"/>
    </row>
    <row r="3519" ht="14.25" customHeight="1">
      <c r="A3519" s="9"/>
      <c r="B3519" s="9"/>
      <c r="C3519" s="185" t="s">
        <v>3142</v>
      </c>
      <c r="D3519" s="207" t="s">
        <v>3143</v>
      </c>
      <c r="E3519" s="9" t="s">
        <v>3131</v>
      </c>
      <c r="F3519" s="9" t="s">
        <v>282</v>
      </c>
      <c r="H3519" s="9"/>
    </row>
    <row r="3520" ht="14.25" customHeight="1">
      <c r="A3520" s="9"/>
      <c r="B3520" s="9"/>
      <c r="C3520" s="185" t="s">
        <v>3142</v>
      </c>
      <c r="D3520" s="207" t="s">
        <v>3143</v>
      </c>
      <c r="E3520" s="9" t="s">
        <v>3131</v>
      </c>
      <c r="F3520" s="9" t="s">
        <v>321</v>
      </c>
      <c r="H3520" s="9"/>
    </row>
    <row r="3521" ht="14.25" customHeight="1">
      <c r="A3521" s="9"/>
      <c r="B3521" s="9"/>
      <c r="C3521" s="185" t="s">
        <v>3142</v>
      </c>
      <c r="D3521" s="207" t="s">
        <v>3143</v>
      </c>
      <c r="E3521" s="9" t="s">
        <v>3131</v>
      </c>
      <c r="F3521" s="9" t="s">
        <v>272</v>
      </c>
      <c r="H3521" s="9"/>
    </row>
    <row r="3522" ht="14.25" customHeight="1">
      <c r="A3522" s="9"/>
      <c r="B3522" s="9"/>
      <c r="C3522" s="185" t="s">
        <v>3142</v>
      </c>
      <c r="D3522" s="207" t="s">
        <v>3143</v>
      </c>
      <c r="E3522" s="9" t="s">
        <v>3131</v>
      </c>
      <c r="F3522" s="9" t="s">
        <v>517</v>
      </c>
      <c r="H3522" s="9"/>
    </row>
    <row r="3523" ht="14.25" customHeight="1">
      <c r="A3523" s="9"/>
      <c r="B3523" s="9"/>
      <c r="C3523" s="185" t="s">
        <v>3142</v>
      </c>
      <c r="D3523" s="207" t="s">
        <v>3143</v>
      </c>
      <c r="E3523" s="9" t="s">
        <v>3131</v>
      </c>
      <c r="F3523" s="9" t="s">
        <v>2309</v>
      </c>
      <c r="H3523" s="9"/>
    </row>
    <row r="3524" ht="14.25" customHeight="1">
      <c r="A3524" s="9"/>
      <c r="B3524" s="9"/>
      <c r="C3524" s="185" t="s">
        <v>3142</v>
      </c>
      <c r="D3524" s="207" t="s">
        <v>3143</v>
      </c>
      <c r="E3524" s="9" t="s">
        <v>3131</v>
      </c>
      <c r="F3524" s="9" t="s">
        <v>507</v>
      </c>
      <c r="H3524" s="9"/>
    </row>
    <row r="3525" ht="14.25" customHeight="1">
      <c r="A3525" s="9"/>
      <c r="B3525" s="9"/>
      <c r="C3525" s="185" t="s">
        <v>3142</v>
      </c>
      <c r="D3525" s="207" t="s">
        <v>3143</v>
      </c>
      <c r="E3525" s="9" t="s">
        <v>3131</v>
      </c>
      <c r="F3525" s="9" t="s">
        <v>336</v>
      </c>
      <c r="H3525" s="9"/>
    </row>
    <row r="3526" ht="14.25" customHeight="1">
      <c r="A3526" s="9"/>
      <c r="B3526" s="9"/>
      <c r="C3526" s="185" t="s">
        <v>3142</v>
      </c>
      <c r="D3526" s="207" t="s">
        <v>3143</v>
      </c>
      <c r="E3526" s="9" t="s">
        <v>3131</v>
      </c>
      <c r="F3526" s="9" t="s">
        <v>235</v>
      </c>
      <c r="H3526" s="9"/>
    </row>
    <row r="3527" ht="14.25" customHeight="1">
      <c r="A3527" s="9"/>
      <c r="B3527" s="9"/>
      <c r="C3527" s="185" t="s">
        <v>3142</v>
      </c>
      <c r="D3527" s="207" t="s">
        <v>3143</v>
      </c>
      <c r="E3527" s="9" t="s">
        <v>3131</v>
      </c>
      <c r="F3527" s="9" t="s">
        <v>327</v>
      </c>
      <c r="H3527" s="9"/>
    </row>
    <row r="3528" ht="14.25" customHeight="1">
      <c r="A3528" s="9"/>
      <c r="B3528" s="9"/>
      <c r="C3528" s="185" t="s">
        <v>3142</v>
      </c>
      <c r="D3528" s="207" t="s">
        <v>3143</v>
      </c>
      <c r="E3528" s="9" t="s">
        <v>3131</v>
      </c>
      <c r="F3528" s="9" t="s">
        <v>264</v>
      </c>
      <c r="H3528" s="9"/>
    </row>
    <row r="3529" ht="14.25" customHeight="1">
      <c r="A3529" s="9"/>
      <c r="B3529" s="9"/>
      <c r="C3529" s="9" t="s">
        <v>3142</v>
      </c>
      <c r="D3529" s="9" t="s">
        <v>3144</v>
      </c>
      <c r="E3529" s="9" t="s">
        <v>3131</v>
      </c>
      <c r="F3529" s="9" t="s">
        <v>474</v>
      </c>
      <c r="H3529" s="9"/>
    </row>
    <row r="3530" ht="14.25" customHeight="1">
      <c r="A3530" s="9"/>
      <c r="B3530" s="9"/>
      <c r="C3530" s="9" t="s">
        <v>3142</v>
      </c>
      <c r="D3530" s="9" t="s">
        <v>3144</v>
      </c>
      <c r="E3530" s="9" t="s">
        <v>3131</v>
      </c>
      <c r="F3530" s="9" t="s">
        <v>284</v>
      </c>
      <c r="H3530" s="9"/>
    </row>
    <row r="3531" ht="14.25" customHeight="1">
      <c r="A3531" s="9"/>
      <c r="B3531" s="9"/>
      <c r="C3531" s="9" t="s">
        <v>3142</v>
      </c>
      <c r="D3531" s="9" t="s">
        <v>3144</v>
      </c>
      <c r="E3531" s="9" t="s">
        <v>3131</v>
      </c>
      <c r="F3531" s="9" t="s">
        <v>493</v>
      </c>
      <c r="H3531" s="9"/>
    </row>
    <row r="3532" ht="14.25" customHeight="1">
      <c r="A3532" s="9"/>
      <c r="B3532" s="9"/>
      <c r="C3532" s="9" t="s">
        <v>3142</v>
      </c>
      <c r="D3532" s="9" t="s">
        <v>3144</v>
      </c>
      <c r="E3532" s="9" t="s">
        <v>3131</v>
      </c>
      <c r="F3532" s="9" t="s">
        <v>450</v>
      </c>
      <c r="H3532" s="9"/>
    </row>
    <row r="3533" ht="14.25" customHeight="1">
      <c r="A3533" s="9"/>
      <c r="B3533" s="9"/>
      <c r="C3533" s="9" t="s">
        <v>3142</v>
      </c>
      <c r="D3533" s="9" t="s">
        <v>3144</v>
      </c>
      <c r="E3533" s="9" t="s">
        <v>3131</v>
      </c>
      <c r="F3533" s="9" t="s">
        <v>2296</v>
      </c>
      <c r="H3533" s="9"/>
    </row>
    <row r="3534" ht="14.25" customHeight="1">
      <c r="A3534" s="9"/>
      <c r="B3534" s="9"/>
      <c r="C3534" s="9" t="s">
        <v>3142</v>
      </c>
      <c r="D3534" s="9" t="s">
        <v>3144</v>
      </c>
      <c r="E3534" s="9" t="s">
        <v>3131</v>
      </c>
      <c r="F3534" s="9" t="s">
        <v>276</v>
      </c>
      <c r="H3534" s="9"/>
    </row>
    <row r="3535" ht="14.25" customHeight="1">
      <c r="A3535" s="9"/>
      <c r="B3535" s="9"/>
      <c r="C3535" s="9" t="s">
        <v>3142</v>
      </c>
      <c r="D3535" s="9" t="s">
        <v>3144</v>
      </c>
      <c r="E3535" s="9" t="s">
        <v>3131</v>
      </c>
      <c r="F3535" s="9" t="s">
        <v>431</v>
      </c>
      <c r="H3535" s="9"/>
    </row>
    <row r="3536" ht="14.25" customHeight="1">
      <c r="A3536" s="9"/>
      <c r="B3536" s="9"/>
      <c r="C3536" s="9" t="s">
        <v>3142</v>
      </c>
      <c r="D3536" s="9" t="s">
        <v>3144</v>
      </c>
      <c r="E3536" s="9" t="s">
        <v>3131</v>
      </c>
      <c r="F3536" s="9" t="s">
        <v>1272</v>
      </c>
      <c r="H3536" s="9"/>
    </row>
    <row r="3537" ht="14.25" customHeight="1">
      <c r="A3537" s="9"/>
      <c r="B3537" s="9"/>
      <c r="C3537" s="9" t="s">
        <v>3142</v>
      </c>
      <c r="D3537" s="9" t="s">
        <v>3144</v>
      </c>
      <c r="E3537" s="9" t="s">
        <v>3131</v>
      </c>
      <c r="F3537" s="9" t="s">
        <v>420</v>
      </c>
      <c r="H3537" s="9"/>
    </row>
    <row r="3538" ht="14.25" customHeight="1">
      <c r="A3538" s="9"/>
      <c r="B3538" s="9"/>
      <c r="C3538" s="9" t="s">
        <v>3142</v>
      </c>
      <c r="D3538" s="9" t="s">
        <v>3144</v>
      </c>
      <c r="E3538" s="9" t="s">
        <v>3131</v>
      </c>
      <c r="F3538" s="9" t="s">
        <v>482</v>
      </c>
      <c r="H3538" s="9"/>
    </row>
    <row r="3539" ht="14.25" customHeight="1">
      <c r="A3539" s="9"/>
      <c r="B3539" s="9"/>
      <c r="C3539" s="9" t="s">
        <v>3142</v>
      </c>
      <c r="D3539" s="9" t="s">
        <v>3144</v>
      </c>
      <c r="E3539" s="9" t="s">
        <v>3131</v>
      </c>
      <c r="F3539" s="15" t="s">
        <v>136</v>
      </c>
      <c r="H3539" s="9"/>
    </row>
    <row r="3540" ht="14.25" customHeight="1">
      <c r="A3540" s="9"/>
      <c r="B3540" s="9"/>
      <c r="C3540" s="9" t="s">
        <v>3142</v>
      </c>
      <c r="D3540" s="9" t="s">
        <v>3144</v>
      </c>
      <c r="E3540" s="9" t="s">
        <v>3131</v>
      </c>
      <c r="F3540" s="9" t="s">
        <v>408</v>
      </c>
      <c r="H3540" s="9"/>
    </row>
    <row r="3541" ht="14.25" customHeight="1">
      <c r="A3541" s="9"/>
      <c r="B3541" s="9"/>
      <c r="C3541" s="9" t="s">
        <v>3142</v>
      </c>
      <c r="D3541" s="9" t="s">
        <v>3144</v>
      </c>
      <c r="E3541" s="9" t="s">
        <v>3131</v>
      </c>
      <c r="F3541" s="9" t="s">
        <v>2301</v>
      </c>
      <c r="H3541" s="9"/>
    </row>
    <row r="3542" ht="14.25" customHeight="1">
      <c r="A3542" s="9"/>
      <c r="B3542" s="9"/>
      <c r="C3542" s="9" t="s">
        <v>3142</v>
      </c>
      <c r="D3542" s="9" t="s">
        <v>3144</v>
      </c>
      <c r="E3542" s="9" t="s">
        <v>3131</v>
      </c>
      <c r="F3542" s="9" t="s">
        <v>197</v>
      </c>
      <c r="H3542" s="9"/>
    </row>
    <row r="3543" ht="14.25" customHeight="1">
      <c r="A3543" s="9"/>
      <c r="B3543" s="9"/>
      <c r="C3543" s="9" t="s">
        <v>3142</v>
      </c>
      <c r="D3543" s="9" t="s">
        <v>3144</v>
      </c>
      <c r="E3543" s="9" t="s">
        <v>3131</v>
      </c>
      <c r="F3543" s="9" t="s">
        <v>172</v>
      </c>
      <c r="H3543" s="9"/>
    </row>
    <row r="3544" ht="14.25" customHeight="1">
      <c r="A3544" s="9"/>
      <c r="B3544" s="9"/>
      <c r="C3544" s="9" t="s">
        <v>3142</v>
      </c>
      <c r="D3544" s="9" t="s">
        <v>3144</v>
      </c>
      <c r="E3544" s="9" t="s">
        <v>3131</v>
      </c>
      <c r="F3544" s="9" t="s">
        <v>98</v>
      </c>
      <c r="H3544" s="9"/>
    </row>
    <row r="3545" ht="14.25" customHeight="1">
      <c r="A3545" s="9"/>
      <c r="B3545" s="9"/>
      <c r="C3545" s="9" t="s">
        <v>3142</v>
      </c>
      <c r="D3545" s="9" t="s">
        <v>3144</v>
      </c>
      <c r="E3545" s="9" t="s">
        <v>3131</v>
      </c>
      <c r="F3545" s="9" t="s">
        <v>341</v>
      </c>
      <c r="H3545" s="9"/>
    </row>
    <row r="3546" ht="14.25" customHeight="1">
      <c r="A3546" s="9"/>
      <c r="B3546" s="9"/>
      <c r="C3546" s="9" t="s">
        <v>3142</v>
      </c>
      <c r="D3546" s="9" t="s">
        <v>3144</v>
      </c>
      <c r="E3546" s="9" t="s">
        <v>3131</v>
      </c>
      <c r="F3546" s="9" t="s">
        <v>367</v>
      </c>
      <c r="H3546" s="9"/>
    </row>
    <row r="3547" ht="14.25" customHeight="1">
      <c r="A3547" s="9"/>
      <c r="B3547" s="9"/>
      <c r="C3547" s="9" t="s">
        <v>3142</v>
      </c>
      <c r="D3547" s="9" t="s">
        <v>3144</v>
      </c>
      <c r="E3547" s="9" t="s">
        <v>3131</v>
      </c>
      <c r="F3547" s="9" t="s">
        <v>529</v>
      </c>
      <c r="H3547" s="9"/>
    </row>
    <row r="3548" ht="14.25" customHeight="1">
      <c r="A3548" s="9"/>
      <c r="B3548" s="9"/>
      <c r="C3548" s="9" t="s">
        <v>3142</v>
      </c>
      <c r="D3548" s="9" t="s">
        <v>3144</v>
      </c>
      <c r="E3548" s="9" t="s">
        <v>3131</v>
      </c>
      <c r="F3548" s="9" t="s">
        <v>282</v>
      </c>
      <c r="H3548" s="9"/>
    </row>
    <row r="3549" ht="14.25" customHeight="1">
      <c r="A3549" s="9"/>
      <c r="B3549" s="9"/>
      <c r="C3549" s="9" t="s">
        <v>3142</v>
      </c>
      <c r="D3549" s="9" t="s">
        <v>3144</v>
      </c>
      <c r="E3549" s="9" t="s">
        <v>3131</v>
      </c>
      <c r="F3549" s="9" t="s">
        <v>321</v>
      </c>
      <c r="H3549" s="9"/>
    </row>
    <row r="3550" ht="14.25" customHeight="1">
      <c r="A3550" s="9"/>
      <c r="B3550" s="9"/>
      <c r="C3550" s="9" t="s">
        <v>3142</v>
      </c>
      <c r="D3550" s="9" t="s">
        <v>3144</v>
      </c>
      <c r="E3550" s="9" t="s">
        <v>3131</v>
      </c>
      <c r="F3550" s="9" t="s">
        <v>272</v>
      </c>
      <c r="H3550" s="9"/>
    </row>
    <row r="3551" ht="14.25" customHeight="1">
      <c r="A3551" s="9"/>
      <c r="B3551" s="9"/>
      <c r="C3551" s="9" t="s">
        <v>3142</v>
      </c>
      <c r="D3551" s="9" t="s">
        <v>3144</v>
      </c>
      <c r="E3551" s="9" t="s">
        <v>3131</v>
      </c>
      <c r="F3551" s="9" t="s">
        <v>517</v>
      </c>
      <c r="H3551" s="9"/>
    </row>
    <row r="3552" ht="14.25" customHeight="1">
      <c r="A3552" s="9"/>
      <c r="B3552" s="9"/>
      <c r="C3552" s="9" t="s">
        <v>3142</v>
      </c>
      <c r="D3552" s="9" t="s">
        <v>3144</v>
      </c>
      <c r="E3552" s="9" t="s">
        <v>3131</v>
      </c>
      <c r="F3552" s="9" t="s">
        <v>2309</v>
      </c>
      <c r="H3552" s="9"/>
    </row>
    <row r="3553" ht="14.25" customHeight="1">
      <c r="A3553" s="9"/>
      <c r="B3553" s="9"/>
      <c r="C3553" s="9" t="s">
        <v>3142</v>
      </c>
      <c r="D3553" s="9" t="s">
        <v>3144</v>
      </c>
      <c r="E3553" s="9" t="s">
        <v>3131</v>
      </c>
      <c r="F3553" s="9" t="s">
        <v>507</v>
      </c>
      <c r="H3553" s="9"/>
    </row>
    <row r="3554" ht="14.25" customHeight="1">
      <c r="A3554" s="9"/>
      <c r="B3554" s="9"/>
      <c r="C3554" s="9" t="s">
        <v>3142</v>
      </c>
      <c r="D3554" s="9" t="s">
        <v>3144</v>
      </c>
      <c r="E3554" s="9" t="s">
        <v>3131</v>
      </c>
      <c r="F3554" s="9" t="s">
        <v>336</v>
      </c>
      <c r="H3554" s="9"/>
    </row>
    <row r="3555" ht="14.25" customHeight="1">
      <c r="A3555" s="9"/>
      <c r="B3555" s="9"/>
      <c r="C3555" s="9" t="s">
        <v>3142</v>
      </c>
      <c r="D3555" s="9" t="s">
        <v>3144</v>
      </c>
      <c r="E3555" s="9" t="s">
        <v>3131</v>
      </c>
      <c r="F3555" s="9" t="s">
        <v>235</v>
      </c>
      <c r="H3555" s="9"/>
    </row>
    <row r="3556" ht="14.25" customHeight="1">
      <c r="A3556" s="9"/>
      <c r="B3556" s="9"/>
      <c r="C3556" s="9" t="s">
        <v>3142</v>
      </c>
      <c r="D3556" s="9" t="s">
        <v>3144</v>
      </c>
      <c r="E3556" s="9" t="s">
        <v>3131</v>
      </c>
      <c r="F3556" s="9" t="s">
        <v>327</v>
      </c>
      <c r="H3556" s="9"/>
    </row>
    <row r="3557" ht="14.25" customHeight="1">
      <c r="A3557" s="9"/>
      <c r="B3557" s="9"/>
      <c r="C3557" s="9" t="s">
        <v>3142</v>
      </c>
      <c r="D3557" s="9" t="s">
        <v>3144</v>
      </c>
      <c r="E3557" s="9" t="s">
        <v>3131</v>
      </c>
      <c r="F3557" s="9" t="s">
        <v>264</v>
      </c>
      <c r="H3557" s="9"/>
    </row>
    <row r="3558" ht="14.25" customHeight="1">
      <c r="A3558" s="9"/>
      <c r="B3558" s="9"/>
      <c r="C3558" s="9" t="s">
        <v>3145</v>
      </c>
      <c r="D3558" s="9" t="s">
        <v>3146</v>
      </c>
      <c r="E3558" s="9" t="s">
        <v>3131</v>
      </c>
      <c r="F3558" s="9" t="s">
        <v>474</v>
      </c>
      <c r="H3558" s="9"/>
    </row>
    <row r="3559" ht="14.25" customHeight="1">
      <c r="A3559" s="9"/>
      <c r="B3559" s="9"/>
      <c r="C3559" s="9" t="s">
        <v>3145</v>
      </c>
      <c r="D3559" s="9" t="s">
        <v>3146</v>
      </c>
      <c r="E3559" s="9" t="s">
        <v>3131</v>
      </c>
      <c r="F3559" s="9" t="s">
        <v>284</v>
      </c>
      <c r="H3559" s="9"/>
    </row>
    <row r="3560" ht="14.25" customHeight="1">
      <c r="A3560" s="9"/>
      <c r="B3560" s="9"/>
      <c r="C3560" s="9" t="s">
        <v>3145</v>
      </c>
      <c r="D3560" s="9" t="s">
        <v>3146</v>
      </c>
      <c r="E3560" s="9" t="s">
        <v>3131</v>
      </c>
      <c r="F3560" s="9" t="s">
        <v>493</v>
      </c>
      <c r="H3560" s="9"/>
    </row>
    <row r="3561" ht="14.25" customHeight="1">
      <c r="A3561" s="9"/>
      <c r="B3561" s="9"/>
      <c r="C3561" s="9" t="s">
        <v>3145</v>
      </c>
      <c r="D3561" s="9" t="s">
        <v>3146</v>
      </c>
      <c r="E3561" s="9" t="s">
        <v>3131</v>
      </c>
      <c r="F3561" s="9" t="s">
        <v>450</v>
      </c>
      <c r="H3561" s="9"/>
    </row>
    <row r="3562" ht="14.25" customHeight="1">
      <c r="A3562" s="9"/>
      <c r="B3562" s="9"/>
      <c r="C3562" s="9" t="s">
        <v>3145</v>
      </c>
      <c r="D3562" s="9" t="s">
        <v>3146</v>
      </c>
      <c r="E3562" s="9" t="s">
        <v>3131</v>
      </c>
      <c r="F3562" s="9" t="s">
        <v>2296</v>
      </c>
      <c r="H3562" s="9"/>
    </row>
    <row r="3563" ht="14.25" customHeight="1">
      <c r="A3563" s="9"/>
      <c r="B3563" s="9"/>
      <c r="C3563" s="9" t="s">
        <v>3145</v>
      </c>
      <c r="D3563" s="9" t="s">
        <v>3146</v>
      </c>
      <c r="E3563" s="9" t="s">
        <v>3131</v>
      </c>
      <c r="F3563" s="9" t="s">
        <v>276</v>
      </c>
      <c r="H3563" s="9"/>
    </row>
    <row r="3564" ht="14.25" customHeight="1">
      <c r="A3564" s="9"/>
      <c r="B3564" s="9"/>
      <c r="C3564" s="9" t="s">
        <v>3145</v>
      </c>
      <c r="D3564" s="9" t="s">
        <v>3146</v>
      </c>
      <c r="E3564" s="9" t="s">
        <v>3131</v>
      </c>
      <c r="F3564" s="9" t="s">
        <v>431</v>
      </c>
      <c r="H3564" s="9"/>
    </row>
    <row r="3565" ht="14.25" customHeight="1">
      <c r="A3565" s="9"/>
      <c r="B3565" s="9"/>
      <c r="C3565" s="9" t="s">
        <v>3145</v>
      </c>
      <c r="D3565" s="9" t="s">
        <v>3146</v>
      </c>
      <c r="E3565" s="9" t="s">
        <v>3131</v>
      </c>
      <c r="F3565" s="9" t="s">
        <v>1272</v>
      </c>
      <c r="H3565" s="9"/>
    </row>
    <row r="3566" ht="14.25" customHeight="1">
      <c r="A3566" s="9"/>
      <c r="B3566" s="9"/>
      <c r="C3566" s="9" t="s">
        <v>3145</v>
      </c>
      <c r="D3566" s="9" t="s">
        <v>3146</v>
      </c>
      <c r="E3566" s="9" t="s">
        <v>3131</v>
      </c>
      <c r="F3566" s="9" t="s">
        <v>420</v>
      </c>
      <c r="H3566" s="9"/>
    </row>
    <row r="3567" ht="14.25" customHeight="1">
      <c r="A3567" s="9"/>
      <c r="B3567" s="9"/>
      <c r="C3567" s="9" t="s">
        <v>3145</v>
      </c>
      <c r="D3567" s="9" t="s">
        <v>3146</v>
      </c>
      <c r="E3567" s="9" t="s">
        <v>3131</v>
      </c>
      <c r="F3567" s="9" t="s">
        <v>482</v>
      </c>
      <c r="H3567" s="9"/>
    </row>
    <row r="3568" ht="14.25" customHeight="1">
      <c r="A3568" s="9"/>
      <c r="B3568" s="9"/>
      <c r="C3568" s="9" t="s">
        <v>3145</v>
      </c>
      <c r="D3568" s="9" t="s">
        <v>3146</v>
      </c>
      <c r="E3568" s="9" t="s">
        <v>3131</v>
      </c>
      <c r="F3568" s="15" t="s">
        <v>136</v>
      </c>
      <c r="H3568" s="9"/>
    </row>
    <row r="3569" ht="14.25" customHeight="1">
      <c r="A3569" s="9"/>
      <c r="B3569" s="9"/>
      <c r="C3569" s="9" t="s">
        <v>3145</v>
      </c>
      <c r="D3569" s="9" t="s">
        <v>3146</v>
      </c>
      <c r="E3569" s="9" t="s">
        <v>3131</v>
      </c>
      <c r="F3569" s="9" t="s">
        <v>408</v>
      </c>
      <c r="H3569" s="9"/>
    </row>
    <row r="3570" ht="14.25" customHeight="1">
      <c r="A3570" s="9"/>
      <c r="B3570" s="9"/>
      <c r="C3570" s="9" t="s">
        <v>3145</v>
      </c>
      <c r="D3570" s="9" t="s">
        <v>3146</v>
      </c>
      <c r="E3570" s="9" t="s">
        <v>3131</v>
      </c>
      <c r="F3570" s="9" t="s">
        <v>2301</v>
      </c>
      <c r="H3570" s="9"/>
    </row>
    <row r="3571" ht="14.25" customHeight="1">
      <c r="A3571" s="9"/>
      <c r="B3571" s="9"/>
      <c r="C3571" s="9" t="s">
        <v>3145</v>
      </c>
      <c r="D3571" s="9" t="s">
        <v>3146</v>
      </c>
      <c r="E3571" s="9" t="s">
        <v>3131</v>
      </c>
      <c r="F3571" s="9" t="s">
        <v>197</v>
      </c>
      <c r="H3571" s="9"/>
    </row>
    <row r="3572" ht="14.25" customHeight="1">
      <c r="A3572" s="9"/>
      <c r="B3572" s="9"/>
      <c r="C3572" s="9" t="s">
        <v>3145</v>
      </c>
      <c r="D3572" s="9" t="s">
        <v>3146</v>
      </c>
      <c r="E3572" s="9" t="s">
        <v>3131</v>
      </c>
      <c r="F3572" s="9" t="s">
        <v>172</v>
      </c>
      <c r="H3572" s="9"/>
    </row>
    <row r="3573" ht="14.25" customHeight="1">
      <c r="A3573" s="9"/>
      <c r="B3573" s="9"/>
      <c r="C3573" s="9" t="s">
        <v>3145</v>
      </c>
      <c r="D3573" s="9" t="s">
        <v>3146</v>
      </c>
      <c r="E3573" s="9" t="s">
        <v>3131</v>
      </c>
      <c r="F3573" s="9" t="s">
        <v>98</v>
      </c>
      <c r="H3573" s="9"/>
    </row>
    <row r="3574" ht="14.25" customHeight="1">
      <c r="A3574" s="9"/>
      <c r="B3574" s="9"/>
      <c r="C3574" s="9" t="s">
        <v>3145</v>
      </c>
      <c r="D3574" s="9" t="s">
        <v>3146</v>
      </c>
      <c r="E3574" s="9" t="s">
        <v>3131</v>
      </c>
      <c r="F3574" s="9" t="s">
        <v>341</v>
      </c>
      <c r="H3574" s="9"/>
    </row>
    <row r="3575" ht="14.25" customHeight="1">
      <c r="A3575" s="9"/>
      <c r="B3575" s="9"/>
      <c r="C3575" s="9" t="s">
        <v>3145</v>
      </c>
      <c r="D3575" s="9" t="s">
        <v>3146</v>
      </c>
      <c r="E3575" s="9" t="s">
        <v>3131</v>
      </c>
      <c r="F3575" s="9" t="s">
        <v>367</v>
      </c>
      <c r="H3575" s="9"/>
    </row>
    <row r="3576" ht="14.25" customHeight="1">
      <c r="A3576" s="9"/>
      <c r="B3576" s="9"/>
      <c r="C3576" s="9" t="s">
        <v>3145</v>
      </c>
      <c r="D3576" s="9" t="s">
        <v>3146</v>
      </c>
      <c r="E3576" s="9" t="s">
        <v>3131</v>
      </c>
      <c r="F3576" s="9" t="s">
        <v>529</v>
      </c>
      <c r="H3576" s="9"/>
    </row>
    <row r="3577" ht="14.25" customHeight="1">
      <c r="A3577" s="9"/>
      <c r="B3577" s="9"/>
      <c r="C3577" s="9" t="s">
        <v>3145</v>
      </c>
      <c r="D3577" s="9" t="s">
        <v>3146</v>
      </c>
      <c r="E3577" s="9" t="s">
        <v>3131</v>
      </c>
      <c r="F3577" s="9" t="s">
        <v>282</v>
      </c>
      <c r="H3577" s="9"/>
    </row>
    <row r="3578" ht="14.25" customHeight="1">
      <c r="A3578" s="9"/>
      <c r="B3578" s="9"/>
      <c r="C3578" s="9" t="s">
        <v>3145</v>
      </c>
      <c r="D3578" s="9" t="s">
        <v>3146</v>
      </c>
      <c r="E3578" s="9" t="s">
        <v>3131</v>
      </c>
      <c r="F3578" s="9" t="s">
        <v>321</v>
      </c>
      <c r="H3578" s="9"/>
    </row>
    <row r="3579" ht="14.25" customHeight="1">
      <c r="A3579" s="9"/>
      <c r="B3579" s="9"/>
      <c r="C3579" s="9" t="s">
        <v>3145</v>
      </c>
      <c r="D3579" s="9" t="s">
        <v>3146</v>
      </c>
      <c r="E3579" s="9" t="s">
        <v>3131</v>
      </c>
      <c r="F3579" s="9" t="s">
        <v>272</v>
      </c>
      <c r="H3579" s="9"/>
    </row>
    <row r="3580" ht="14.25" customHeight="1">
      <c r="A3580" s="9"/>
      <c r="B3580" s="9"/>
      <c r="C3580" s="9" t="s">
        <v>3145</v>
      </c>
      <c r="D3580" s="9" t="s">
        <v>3146</v>
      </c>
      <c r="E3580" s="9" t="s">
        <v>3131</v>
      </c>
      <c r="F3580" s="9" t="s">
        <v>517</v>
      </c>
      <c r="H3580" s="9"/>
    </row>
    <row r="3581" ht="14.25" customHeight="1">
      <c r="A3581" s="9"/>
      <c r="B3581" s="9"/>
      <c r="C3581" s="9" t="s">
        <v>3145</v>
      </c>
      <c r="D3581" s="9" t="s">
        <v>3146</v>
      </c>
      <c r="E3581" s="9" t="s">
        <v>3131</v>
      </c>
      <c r="F3581" s="9" t="s">
        <v>2309</v>
      </c>
      <c r="H3581" s="9"/>
    </row>
    <row r="3582" ht="14.25" customHeight="1">
      <c r="A3582" s="9"/>
      <c r="B3582" s="9"/>
      <c r="C3582" s="9" t="s">
        <v>3145</v>
      </c>
      <c r="D3582" s="9" t="s">
        <v>3146</v>
      </c>
      <c r="E3582" s="9" t="s">
        <v>3131</v>
      </c>
      <c r="F3582" s="9" t="s">
        <v>507</v>
      </c>
      <c r="H3582" s="9"/>
    </row>
    <row r="3583" ht="14.25" customHeight="1">
      <c r="A3583" s="9"/>
      <c r="B3583" s="9"/>
      <c r="C3583" s="9" t="s">
        <v>3145</v>
      </c>
      <c r="D3583" s="9" t="s">
        <v>3146</v>
      </c>
      <c r="E3583" s="9" t="s">
        <v>3131</v>
      </c>
      <c r="F3583" s="9" t="s">
        <v>336</v>
      </c>
      <c r="H3583" s="9"/>
    </row>
    <row r="3584" ht="14.25" customHeight="1">
      <c r="A3584" s="9"/>
      <c r="B3584" s="9"/>
      <c r="C3584" s="9" t="s">
        <v>3145</v>
      </c>
      <c r="D3584" s="9" t="s">
        <v>3146</v>
      </c>
      <c r="E3584" s="9" t="s">
        <v>3131</v>
      </c>
      <c r="F3584" s="9" t="s">
        <v>235</v>
      </c>
      <c r="H3584" s="9"/>
    </row>
    <row r="3585" ht="14.25" customHeight="1">
      <c r="A3585" s="9"/>
      <c r="B3585" s="9"/>
      <c r="C3585" s="9" t="s">
        <v>3145</v>
      </c>
      <c r="D3585" s="9" t="s">
        <v>3146</v>
      </c>
      <c r="E3585" s="9" t="s">
        <v>3131</v>
      </c>
      <c r="F3585" s="9" t="s">
        <v>327</v>
      </c>
      <c r="H3585" s="9"/>
    </row>
    <row r="3586" ht="14.25" customHeight="1">
      <c r="A3586" s="9"/>
      <c r="B3586" s="9"/>
      <c r="C3586" s="9" t="s">
        <v>3145</v>
      </c>
      <c r="D3586" s="9" t="s">
        <v>3146</v>
      </c>
      <c r="E3586" s="9" t="s">
        <v>3131</v>
      </c>
      <c r="F3586" s="9" t="s">
        <v>264</v>
      </c>
      <c r="H3586" s="9"/>
    </row>
    <row r="3587" ht="14.25" customHeight="1">
      <c r="A3587" s="9"/>
      <c r="B3587" s="9"/>
      <c r="C3587" s="9" t="s">
        <v>693</v>
      </c>
      <c r="D3587" s="9" t="s">
        <v>3147</v>
      </c>
      <c r="E3587" s="9" t="s">
        <v>3131</v>
      </c>
      <c r="F3587" s="9" t="s">
        <v>474</v>
      </c>
      <c r="H3587" s="9"/>
    </row>
    <row r="3588" ht="14.25" customHeight="1">
      <c r="A3588" s="9"/>
      <c r="B3588" s="9"/>
      <c r="C3588" s="9" t="s">
        <v>693</v>
      </c>
      <c r="D3588" s="9" t="s">
        <v>3147</v>
      </c>
      <c r="E3588" s="9" t="s">
        <v>3131</v>
      </c>
      <c r="F3588" s="9" t="s">
        <v>284</v>
      </c>
      <c r="H3588" s="9"/>
    </row>
    <row r="3589" ht="14.25" customHeight="1">
      <c r="A3589" s="9"/>
      <c r="B3589" s="9"/>
      <c r="C3589" s="9" t="s">
        <v>693</v>
      </c>
      <c r="D3589" s="9" t="s">
        <v>3147</v>
      </c>
      <c r="E3589" s="9" t="s">
        <v>3131</v>
      </c>
      <c r="F3589" s="9" t="s">
        <v>493</v>
      </c>
      <c r="H3589" s="9"/>
    </row>
    <row r="3590" ht="14.25" customHeight="1">
      <c r="A3590" s="9"/>
      <c r="B3590" s="9"/>
      <c r="C3590" s="9" t="s">
        <v>693</v>
      </c>
      <c r="D3590" s="9" t="s">
        <v>3147</v>
      </c>
      <c r="E3590" s="9" t="s">
        <v>3131</v>
      </c>
      <c r="F3590" s="9" t="s">
        <v>450</v>
      </c>
      <c r="H3590" s="9"/>
    </row>
    <row r="3591" ht="14.25" customHeight="1">
      <c r="A3591" s="9"/>
      <c r="B3591" s="9"/>
      <c r="C3591" s="9" t="s">
        <v>693</v>
      </c>
      <c r="D3591" s="9" t="s">
        <v>3147</v>
      </c>
      <c r="E3591" s="9" t="s">
        <v>3131</v>
      </c>
      <c r="F3591" s="9" t="s">
        <v>2296</v>
      </c>
      <c r="H3591" s="9"/>
    </row>
    <row r="3592" ht="14.25" customHeight="1">
      <c r="A3592" s="9"/>
      <c r="B3592" s="9"/>
      <c r="C3592" s="9" t="s">
        <v>693</v>
      </c>
      <c r="D3592" s="9" t="s">
        <v>3147</v>
      </c>
      <c r="E3592" s="9" t="s">
        <v>3131</v>
      </c>
      <c r="F3592" s="9" t="s">
        <v>276</v>
      </c>
      <c r="H3592" s="9"/>
    </row>
    <row r="3593" ht="14.25" customHeight="1">
      <c r="A3593" s="9"/>
      <c r="B3593" s="9"/>
      <c r="C3593" s="9" t="s">
        <v>693</v>
      </c>
      <c r="D3593" s="9" t="s">
        <v>3147</v>
      </c>
      <c r="E3593" s="9" t="s">
        <v>3131</v>
      </c>
      <c r="F3593" s="9" t="s">
        <v>431</v>
      </c>
      <c r="H3593" s="9"/>
    </row>
    <row r="3594" ht="14.25" customHeight="1">
      <c r="A3594" s="9"/>
      <c r="B3594" s="9"/>
      <c r="C3594" s="9" t="s">
        <v>693</v>
      </c>
      <c r="D3594" s="9" t="s">
        <v>3147</v>
      </c>
      <c r="E3594" s="9" t="s">
        <v>3131</v>
      </c>
      <c r="F3594" s="9" t="s">
        <v>1272</v>
      </c>
      <c r="H3594" s="9"/>
    </row>
    <row r="3595" ht="14.25" customHeight="1">
      <c r="A3595" s="9"/>
      <c r="B3595" s="9"/>
      <c r="C3595" s="9" t="s">
        <v>693</v>
      </c>
      <c r="D3595" s="9" t="s">
        <v>3147</v>
      </c>
      <c r="E3595" s="9" t="s">
        <v>3131</v>
      </c>
      <c r="F3595" s="9" t="s">
        <v>420</v>
      </c>
      <c r="H3595" s="9"/>
    </row>
    <row r="3596" ht="14.25" customHeight="1">
      <c r="A3596" s="9"/>
      <c r="B3596" s="9"/>
      <c r="C3596" s="9" t="s">
        <v>693</v>
      </c>
      <c r="D3596" s="9" t="s">
        <v>3147</v>
      </c>
      <c r="E3596" s="9" t="s">
        <v>3131</v>
      </c>
      <c r="F3596" s="9" t="s">
        <v>482</v>
      </c>
      <c r="H3596" s="9"/>
    </row>
    <row r="3597" ht="14.25" customHeight="1">
      <c r="A3597" s="9"/>
      <c r="B3597" s="9"/>
      <c r="C3597" s="9" t="s">
        <v>693</v>
      </c>
      <c r="D3597" s="9" t="s">
        <v>3147</v>
      </c>
      <c r="E3597" s="9" t="s">
        <v>3131</v>
      </c>
      <c r="F3597" s="15" t="s">
        <v>136</v>
      </c>
      <c r="H3597" s="9"/>
    </row>
    <row r="3598" ht="14.25" customHeight="1">
      <c r="A3598" s="9"/>
      <c r="B3598" s="9"/>
      <c r="C3598" s="9" t="s">
        <v>693</v>
      </c>
      <c r="D3598" s="9" t="s">
        <v>3147</v>
      </c>
      <c r="E3598" s="9" t="s">
        <v>3131</v>
      </c>
      <c r="F3598" s="9" t="s">
        <v>408</v>
      </c>
      <c r="H3598" s="9"/>
    </row>
    <row r="3599" ht="14.25" customHeight="1">
      <c r="A3599" s="9"/>
      <c r="B3599" s="9"/>
      <c r="C3599" s="9" t="s">
        <v>693</v>
      </c>
      <c r="D3599" s="9" t="s">
        <v>3147</v>
      </c>
      <c r="E3599" s="9" t="s">
        <v>3131</v>
      </c>
      <c r="F3599" s="9" t="s">
        <v>2301</v>
      </c>
      <c r="H3599" s="9"/>
    </row>
    <row r="3600" ht="14.25" customHeight="1">
      <c r="A3600" s="9"/>
      <c r="B3600" s="9"/>
      <c r="C3600" s="9" t="s">
        <v>693</v>
      </c>
      <c r="D3600" s="9" t="s">
        <v>3147</v>
      </c>
      <c r="E3600" s="9" t="s">
        <v>3131</v>
      </c>
      <c r="F3600" s="9" t="s">
        <v>197</v>
      </c>
      <c r="H3600" s="9"/>
    </row>
    <row r="3601" ht="14.25" customHeight="1">
      <c r="A3601" s="9"/>
      <c r="B3601" s="9"/>
      <c r="C3601" s="9" t="s">
        <v>693</v>
      </c>
      <c r="D3601" s="9" t="s">
        <v>3147</v>
      </c>
      <c r="E3601" s="9" t="s">
        <v>3131</v>
      </c>
      <c r="F3601" s="9" t="s">
        <v>172</v>
      </c>
      <c r="H3601" s="9"/>
    </row>
    <row r="3602" ht="14.25" customHeight="1">
      <c r="A3602" s="9"/>
      <c r="B3602" s="9"/>
      <c r="C3602" s="9" t="s">
        <v>693</v>
      </c>
      <c r="D3602" s="9" t="s">
        <v>3147</v>
      </c>
      <c r="E3602" s="9" t="s">
        <v>3131</v>
      </c>
      <c r="F3602" s="9" t="s">
        <v>98</v>
      </c>
      <c r="H3602" s="9"/>
    </row>
    <row r="3603" ht="14.25" customHeight="1">
      <c r="A3603" s="9"/>
      <c r="B3603" s="9"/>
      <c r="C3603" s="9" t="s">
        <v>693</v>
      </c>
      <c r="D3603" s="9" t="s">
        <v>3147</v>
      </c>
      <c r="E3603" s="9" t="s">
        <v>3131</v>
      </c>
      <c r="F3603" s="9" t="s">
        <v>341</v>
      </c>
      <c r="H3603" s="9"/>
    </row>
    <row r="3604" ht="14.25" customHeight="1">
      <c r="A3604" s="9"/>
      <c r="B3604" s="9"/>
      <c r="C3604" s="9" t="s">
        <v>693</v>
      </c>
      <c r="D3604" s="9" t="s">
        <v>3147</v>
      </c>
      <c r="E3604" s="9" t="s">
        <v>3131</v>
      </c>
      <c r="F3604" s="9" t="s">
        <v>367</v>
      </c>
      <c r="H3604" s="9"/>
    </row>
    <row r="3605" ht="14.25" customHeight="1">
      <c r="A3605" s="9"/>
      <c r="B3605" s="9"/>
      <c r="C3605" s="9" t="s">
        <v>693</v>
      </c>
      <c r="D3605" s="9" t="s">
        <v>3147</v>
      </c>
      <c r="E3605" s="9" t="s">
        <v>3131</v>
      </c>
      <c r="F3605" s="9" t="s">
        <v>529</v>
      </c>
      <c r="H3605" s="9"/>
    </row>
    <row r="3606" ht="14.25" customHeight="1">
      <c r="A3606" s="9"/>
      <c r="B3606" s="9"/>
      <c r="C3606" s="9" t="s">
        <v>693</v>
      </c>
      <c r="D3606" s="9" t="s">
        <v>3147</v>
      </c>
      <c r="E3606" s="9" t="s">
        <v>3131</v>
      </c>
      <c r="F3606" s="9" t="s">
        <v>282</v>
      </c>
      <c r="H3606" s="9"/>
    </row>
    <row r="3607" ht="14.25" customHeight="1">
      <c r="A3607" s="9"/>
      <c r="B3607" s="9"/>
      <c r="C3607" s="9" t="s">
        <v>693</v>
      </c>
      <c r="D3607" s="9" t="s">
        <v>3147</v>
      </c>
      <c r="E3607" s="9" t="s">
        <v>3131</v>
      </c>
      <c r="F3607" s="9" t="s">
        <v>321</v>
      </c>
      <c r="H3607" s="9"/>
    </row>
    <row r="3608" ht="14.25" customHeight="1">
      <c r="A3608" s="9"/>
      <c r="B3608" s="9"/>
      <c r="C3608" s="9" t="s">
        <v>693</v>
      </c>
      <c r="D3608" s="9" t="s">
        <v>3147</v>
      </c>
      <c r="E3608" s="9" t="s">
        <v>3131</v>
      </c>
      <c r="F3608" s="9" t="s">
        <v>272</v>
      </c>
      <c r="H3608" s="9"/>
    </row>
    <row r="3609" ht="14.25" customHeight="1">
      <c r="A3609" s="9"/>
      <c r="B3609" s="9"/>
      <c r="C3609" s="9" t="s">
        <v>693</v>
      </c>
      <c r="D3609" s="9" t="s">
        <v>3147</v>
      </c>
      <c r="E3609" s="9" t="s">
        <v>3131</v>
      </c>
      <c r="F3609" s="9" t="s">
        <v>517</v>
      </c>
      <c r="H3609" s="9"/>
    </row>
    <row r="3610" ht="14.25" customHeight="1">
      <c r="A3610" s="9"/>
      <c r="B3610" s="9"/>
      <c r="C3610" s="9" t="s">
        <v>693</v>
      </c>
      <c r="D3610" s="9" t="s">
        <v>3147</v>
      </c>
      <c r="E3610" s="9" t="s">
        <v>3131</v>
      </c>
      <c r="F3610" s="9" t="s">
        <v>2309</v>
      </c>
      <c r="H3610" s="9"/>
    </row>
    <row r="3611" ht="14.25" customHeight="1">
      <c r="A3611" s="9"/>
      <c r="B3611" s="9"/>
      <c r="C3611" s="9" t="s">
        <v>693</v>
      </c>
      <c r="D3611" s="9" t="s">
        <v>3147</v>
      </c>
      <c r="E3611" s="9" t="s">
        <v>3131</v>
      </c>
      <c r="F3611" s="9" t="s">
        <v>507</v>
      </c>
      <c r="H3611" s="9"/>
    </row>
    <row r="3612" ht="14.25" customHeight="1">
      <c r="A3612" s="9"/>
      <c r="B3612" s="9"/>
      <c r="C3612" s="9" t="s">
        <v>693</v>
      </c>
      <c r="D3612" s="9" t="s">
        <v>3147</v>
      </c>
      <c r="E3612" s="9" t="s">
        <v>3131</v>
      </c>
      <c r="F3612" s="9" t="s">
        <v>336</v>
      </c>
      <c r="H3612" s="9"/>
    </row>
    <row r="3613" ht="14.25" customHeight="1">
      <c r="A3613" s="9"/>
      <c r="B3613" s="9"/>
      <c r="C3613" s="9" t="s">
        <v>693</v>
      </c>
      <c r="D3613" s="9" t="s">
        <v>3147</v>
      </c>
      <c r="E3613" s="9" t="s">
        <v>3131</v>
      </c>
      <c r="F3613" s="9" t="s">
        <v>235</v>
      </c>
      <c r="H3613" s="9"/>
    </row>
    <row r="3614" ht="14.25" customHeight="1">
      <c r="A3614" s="9"/>
      <c r="B3614" s="9"/>
      <c r="C3614" s="9" t="s">
        <v>693</v>
      </c>
      <c r="D3614" s="9" t="s">
        <v>3147</v>
      </c>
      <c r="E3614" s="9" t="s">
        <v>3131</v>
      </c>
      <c r="F3614" s="9" t="s">
        <v>327</v>
      </c>
      <c r="H3614" s="9"/>
    </row>
    <row r="3615" ht="14.25" customHeight="1">
      <c r="A3615" s="9"/>
      <c r="B3615" s="9"/>
      <c r="C3615" s="9" t="s">
        <v>693</v>
      </c>
      <c r="D3615" s="9" t="s">
        <v>3147</v>
      </c>
      <c r="E3615" s="9" t="s">
        <v>3131</v>
      </c>
      <c r="F3615" s="9" t="s">
        <v>264</v>
      </c>
      <c r="H3615" s="9"/>
    </row>
    <row r="3616" ht="14.25" customHeight="1">
      <c r="A3616" s="9"/>
      <c r="B3616" s="9"/>
      <c r="C3616" s="9" t="s">
        <v>694</v>
      </c>
      <c r="D3616" s="9" t="s">
        <v>3148</v>
      </c>
      <c r="E3616" s="9" t="s">
        <v>3131</v>
      </c>
      <c r="F3616" s="9" t="s">
        <v>474</v>
      </c>
      <c r="H3616" s="9"/>
    </row>
    <row r="3617" ht="14.25" customHeight="1">
      <c r="A3617" s="9"/>
      <c r="B3617" s="9"/>
      <c r="C3617" s="9" t="s">
        <v>694</v>
      </c>
      <c r="D3617" s="9" t="s">
        <v>3148</v>
      </c>
      <c r="E3617" s="9" t="s">
        <v>3131</v>
      </c>
      <c r="F3617" s="9" t="s">
        <v>284</v>
      </c>
      <c r="H3617" s="9"/>
    </row>
    <row r="3618" ht="14.25" customHeight="1">
      <c r="A3618" s="9"/>
      <c r="B3618" s="9"/>
      <c r="C3618" s="9" t="s">
        <v>694</v>
      </c>
      <c r="D3618" s="9" t="s">
        <v>3148</v>
      </c>
      <c r="E3618" s="9" t="s">
        <v>3131</v>
      </c>
      <c r="F3618" s="9" t="s">
        <v>493</v>
      </c>
      <c r="H3618" s="9"/>
    </row>
    <row r="3619" ht="14.25" customHeight="1">
      <c r="A3619" s="9"/>
      <c r="B3619" s="9"/>
      <c r="C3619" s="9" t="s">
        <v>694</v>
      </c>
      <c r="D3619" s="9" t="s">
        <v>3148</v>
      </c>
      <c r="E3619" s="9" t="s">
        <v>3131</v>
      </c>
      <c r="F3619" s="9" t="s">
        <v>450</v>
      </c>
      <c r="H3619" s="9"/>
    </row>
    <row r="3620" ht="14.25" customHeight="1">
      <c r="A3620" s="9"/>
      <c r="B3620" s="9"/>
      <c r="C3620" s="9" t="s">
        <v>694</v>
      </c>
      <c r="D3620" s="9" t="s">
        <v>3148</v>
      </c>
      <c r="E3620" s="9" t="s">
        <v>3131</v>
      </c>
      <c r="F3620" s="9" t="s">
        <v>2296</v>
      </c>
      <c r="H3620" s="9"/>
    </row>
    <row r="3621" ht="14.25" customHeight="1">
      <c r="A3621" s="9"/>
      <c r="B3621" s="9"/>
      <c r="C3621" s="9" t="s">
        <v>694</v>
      </c>
      <c r="D3621" s="9" t="s">
        <v>3148</v>
      </c>
      <c r="E3621" s="9" t="s">
        <v>3131</v>
      </c>
      <c r="F3621" s="9" t="s">
        <v>276</v>
      </c>
      <c r="H3621" s="9"/>
    </row>
    <row r="3622" ht="14.25" customHeight="1">
      <c r="A3622" s="9"/>
      <c r="B3622" s="9"/>
      <c r="C3622" s="9" t="s">
        <v>694</v>
      </c>
      <c r="D3622" s="9" t="s">
        <v>3148</v>
      </c>
      <c r="E3622" s="9" t="s">
        <v>3131</v>
      </c>
      <c r="F3622" s="9" t="s">
        <v>431</v>
      </c>
      <c r="H3622" s="9"/>
    </row>
    <row r="3623" ht="14.25" customHeight="1">
      <c r="A3623" s="9"/>
      <c r="B3623" s="9"/>
      <c r="C3623" s="9" t="s">
        <v>694</v>
      </c>
      <c r="D3623" s="9" t="s">
        <v>3148</v>
      </c>
      <c r="E3623" s="9" t="s">
        <v>3131</v>
      </c>
      <c r="F3623" s="9" t="s">
        <v>1272</v>
      </c>
      <c r="H3623" s="9"/>
    </row>
    <row r="3624" ht="14.25" customHeight="1">
      <c r="A3624" s="9"/>
      <c r="B3624" s="9"/>
      <c r="C3624" s="9" t="s">
        <v>694</v>
      </c>
      <c r="D3624" s="9" t="s">
        <v>3148</v>
      </c>
      <c r="E3624" s="9" t="s">
        <v>3131</v>
      </c>
      <c r="F3624" s="9" t="s">
        <v>420</v>
      </c>
      <c r="H3624" s="9"/>
    </row>
    <row r="3625" ht="14.25" customHeight="1">
      <c r="A3625" s="9"/>
      <c r="B3625" s="9"/>
      <c r="C3625" s="9" t="s">
        <v>694</v>
      </c>
      <c r="D3625" s="9" t="s">
        <v>3148</v>
      </c>
      <c r="E3625" s="9" t="s">
        <v>3131</v>
      </c>
      <c r="F3625" s="9" t="s">
        <v>482</v>
      </c>
      <c r="H3625" s="9"/>
    </row>
    <row r="3626" ht="14.25" customHeight="1">
      <c r="A3626" s="9"/>
      <c r="B3626" s="9"/>
      <c r="C3626" s="9" t="s">
        <v>694</v>
      </c>
      <c r="D3626" s="9" t="s">
        <v>3148</v>
      </c>
      <c r="E3626" s="9" t="s">
        <v>3131</v>
      </c>
      <c r="F3626" s="9" t="s">
        <v>136</v>
      </c>
      <c r="H3626" s="9"/>
    </row>
    <row r="3627" ht="14.25" customHeight="1">
      <c r="A3627" s="9"/>
      <c r="B3627" s="9"/>
      <c r="C3627" s="9" t="s">
        <v>694</v>
      </c>
      <c r="D3627" s="9" t="s">
        <v>3148</v>
      </c>
      <c r="E3627" s="9" t="s">
        <v>3131</v>
      </c>
      <c r="F3627" s="9" t="s">
        <v>408</v>
      </c>
      <c r="H3627" s="9"/>
    </row>
    <row r="3628" ht="14.25" customHeight="1">
      <c r="A3628" s="9"/>
      <c r="B3628" s="9"/>
      <c r="C3628" s="9" t="s">
        <v>694</v>
      </c>
      <c r="D3628" s="9" t="s">
        <v>3148</v>
      </c>
      <c r="E3628" s="9" t="s">
        <v>3131</v>
      </c>
      <c r="F3628" s="9" t="s">
        <v>2301</v>
      </c>
      <c r="H3628" s="9"/>
    </row>
    <row r="3629" ht="14.25" customHeight="1">
      <c r="A3629" s="9"/>
      <c r="B3629" s="9"/>
      <c r="C3629" s="9" t="s">
        <v>694</v>
      </c>
      <c r="D3629" s="9" t="s">
        <v>3148</v>
      </c>
      <c r="E3629" s="9" t="s">
        <v>3131</v>
      </c>
      <c r="F3629" s="9" t="s">
        <v>197</v>
      </c>
      <c r="H3629" s="9"/>
    </row>
    <row r="3630" ht="14.25" customHeight="1">
      <c r="A3630" s="9"/>
      <c r="B3630" s="9"/>
      <c r="C3630" s="9" t="s">
        <v>694</v>
      </c>
      <c r="D3630" s="9" t="s">
        <v>3148</v>
      </c>
      <c r="E3630" s="9" t="s">
        <v>3131</v>
      </c>
      <c r="F3630" s="9" t="s">
        <v>172</v>
      </c>
      <c r="H3630" s="9"/>
    </row>
    <row r="3631" ht="14.25" customHeight="1">
      <c r="A3631" s="9"/>
      <c r="B3631" s="9"/>
      <c r="C3631" s="9" t="s">
        <v>694</v>
      </c>
      <c r="D3631" s="9" t="s">
        <v>3148</v>
      </c>
      <c r="E3631" s="9" t="s">
        <v>3131</v>
      </c>
      <c r="F3631" s="9" t="s">
        <v>98</v>
      </c>
      <c r="H3631" s="9"/>
    </row>
    <row r="3632" ht="14.25" customHeight="1">
      <c r="A3632" s="9"/>
      <c r="B3632" s="9"/>
      <c r="C3632" s="9" t="s">
        <v>694</v>
      </c>
      <c r="D3632" s="9" t="s">
        <v>3148</v>
      </c>
      <c r="E3632" s="9" t="s">
        <v>3131</v>
      </c>
      <c r="F3632" s="9" t="s">
        <v>341</v>
      </c>
      <c r="H3632" s="9"/>
    </row>
    <row r="3633" ht="14.25" customHeight="1">
      <c r="A3633" s="9"/>
      <c r="B3633" s="9"/>
      <c r="C3633" s="9" t="s">
        <v>694</v>
      </c>
      <c r="D3633" s="9" t="s">
        <v>3148</v>
      </c>
      <c r="E3633" s="9" t="s">
        <v>3131</v>
      </c>
      <c r="F3633" s="9" t="s">
        <v>367</v>
      </c>
      <c r="H3633" s="9"/>
    </row>
    <row r="3634" ht="14.25" customHeight="1">
      <c r="A3634" s="9"/>
      <c r="B3634" s="9"/>
      <c r="C3634" s="9" t="s">
        <v>694</v>
      </c>
      <c r="D3634" s="9" t="s">
        <v>3148</v>
      </c>
      <c r="E3634" s="9" t="s">
        <v>3131</v>
      </c>
      <c r="F3634" s="9" t="s">
        <v>529</v>
      </c>
      <c r="H3634" s="9"/>
    </row>
    <row r="3635" ht="14.25" customHeight="1">
      <c r="A3635" s="9"/>
      <c r="B3635" s="9"/>
      <c r="C3635" s="9" t="s">
        <v>694</v>
      </c>
      <c r="D3635" s="9" t="s">
        <v>3148</v>
      </c>
      <c r="E3635" s="9" t="s">
        <v>3131</v>
      </c>
      <c r="F3635" s="9" t="s">
        <v>282</v>
      </c>
      <c r="H3635" s="9"/>
    </row>
    <row r="3636" ht="14.25" customHeight="1">
      <c r="A3636" s="9"/>
      <c r="B3636" s="9"/>
      <c r="C3636" s="9" t="s">
        <v>694</v>
      </c>
      <c r="D3636" s="9" t="s">
        <v>3148</v>
      </c>
      <c r="E3636" s="9" t="s">
        <v>3131</v>
      </c>
      <c r="F3636" s="9" t="s">
        <v>321</v>
      </c>
      <c r="H3636" s="9"/>
    </row>
    <row r="3637" ht="14.25" customHeight="1">
      <c r="A3637" s="9"/>
      <c r="B3637" s="9"/>
      <c r="C3637" s="9" t="s">
        <v>694</v>
      </c>
      <c r="D3637" s="9" t="s">
        <v>3148</v>
      </c>
      <c r="E3637" s="9" t="s">
        <v>3131</v>
      </c>
      <c r="F3637" s="9" t="s">
        <v>272</v>
      </c>
      <c r="H3637" s="9"/>
    </row>
    <row r="3638" ht="14.25" customHeight="1">
      <c r="A3638" s="9"/>
      <c r="B3638" s="9"/>
      <c r="C3638" s="9" t="s">
        <v>694</v>
      </c>
      <c r="D3638" s="9" t="s">
        <v>3148</v>
      </c>
      <c r="E3638" s="9" t="s">
        <v>3131</v>
      </c>
      <c r="F3638" s="9" t="s">
        <v>517</v>
      </c>
      <c r="H3638" s="9"/>
    </row>
    <row r="3639" ht="14.25" customHeight="1">
      <c r="A3639" s="9"/>
      <c r="B3639" s="9"/>
      <c r="C3639" s="9" t="s">
        <v>694</v>
      </c>
      <c r="D3639" s="9" t="s">
        <v>3148</v>
      </c>
      <c r="E3639" s="9" t="s">
        <v>3131</v>
      </c>
      <c r="F3639" s="9" t="s">
        <v>2309</v>
      </c>
      <c r="H3639" s="9"/>
    </row>
    <row r="3640" ht="14.25" customHeight="1">
      <c r="A3640" s="9"/>
      <c r="B3640" s="9"/>
      <c r="C3640" s="9" t="s">
        <v>694</v>
      </c>
      <c r="D3640" s="9" t="s">
        <v>3148</v>
      </c>
      <c r="E3640" s="9" t="s">
        <v>3131</v>
      </c>
      <c r="F3640" s="9" t="s">
        <v>507</v>
      </c>
      <c r="H3640" s="9"/>
    </row>
    <row r="3641" ht="14.25" customHeight="1">
      <c r="A3641" s="9"/>
      <c r="B3641" s="9"/>
      <c r="C3641" s="9" t="s">
        <v>694</v>
      </c>
      <c r="D3641" s="9" t="s">
        <v>3148</v>
      </c>
      <c r="E3641" s="9" t="s">
        <v>3131</v>
      </c>
      <c r="F3641" s="9" t="s">
        <v>336</v>
      </c>
      <c r="H3641" s="9"/>
    </row>
    <row r="3642" ht="14.25" customHeight="1">
      <c r="A3642" s="9"/>
      <c r="B3642" s="9"/>
      <c r="C3642" s="9" t="s">
        <v>694</v>
      </c>
      <c r="D3642" s="9" t="s">
        <v>3148</v>
      </c>
      <c r="E3642" s="9" t="s">
        <v>3131</v>
      </c>
      <c r="F3642" s="9" t="s">
        <v>235</v>
      </c>
      <c r="H3642" s="9"/>
    </row>
    <row r="3643" ht="14.25" customHeight="1">
      <c r="A3643" s="9"/>
      <c r="B3643" s="9"/>
      <c r="C3643" s="9" t="s">
        <v>694</v>
      </c>
      <c r="D3643" s="9" t="s">
        <v>3148</v>
      </c>
      <c r="E3643" s="9" t="s">
        <v>3131</v>
      </c>
      <c r="F3643" s="9" t="s">
        <v>327</v>
      </c>
      <c r="H3643" s="9"/>
    </row>
    <row r="3644" ht="14.25" customHeight="1">
      <c r="A3644" s="9"/>
      <c r="B3644" s="9"/>
      <c r="C3644" s="9" t="s">
        <v>694</v>
      </c>
      <c r="D3644" s="9" t="s">
        <v>3148</v>
      </c>
      <c r="E3644" s="9" t="s">
        <v>3131</v>
      </c>
      <c r="F3644" s="9" t="s">
        <v>264</v>
      </c>
      <c r="H3644" s="9"/>
    </row>
    <row r="3645" ht="14.25" customHeight="1">
      <c r="A3645" s="9"/>
      <c r="B3645" s="9"/>
      <c r="C3645" s="9" t="s">
        <v>694</v>
      </c>
      <c r="D3645" s="9" t="s">
        <v>3149</v>
      </c>
      <c r="E3645" s="9" t="s">
        <v>3131</v>
      </c>
      <c r="F3645" s="9" t="s">
        <v>474</v>
      </c>
      <c r="H3645" s="9"/>
    </row>
    <row r="3646" ht="14.25" customHeight="1">
      <c r="A3646" s="9"/>
      <c r="B3646" s="9"/>
      <c r="C3646" s="9" t="s">
        <v>694</v>
      </c>
      <c r="D3646" s="9" t="s">
        <v>3149</v>
      </c>
      <c r="E3646" s="9" t="s">
        <v>3131</v>
      </c>
      <c r="F3646" s="9" t="s">
        <v>284</v>
      </c>
      <c r="H3646" s="9"/>
    </row>
    <row r="3647" ht="14.25" customHeight="1">
      <c r="A3647" s="9"/>
      <c r="B3647" s="9"/>
      <c r="C3647" s="9" t="s">
        <v>694</v>
      </c>
      <c r="D3647" s="9" t="s">
        <v>3149</v>
      </c>
      <c r="E3647" s="9" t="s">
        <v>3131</v>
      </c>
      <c r="F3647" s="9" t="s">
        <v>493</v>
      </c>
      <c r="H3647" s="9"/>
    </row>
    <row r="3648" ht="14.25" customHeight="1">
      <c r="A3648" s="9"/>
      <c r="B3648" s="9"/>
      <c r="C3648" s="9" t="s">
        <v>694</v>
      </c>
      <c r="D3648" s="9" t="s">
        <v>3149</v>
      </c>
      <c r="E3648" s="9" t="s">
        <v>3131</v>
      </c>
      <c r="F3648" s="9" t="s">
        <v>450</v>
      </c>
      <c r="H3648" s="9"/>
    </row>
    <row r="3649" ht="14.25" customHeight="1">
      <c r="A3649" s="9"/>
      <c r="B3649" s="9"/>
      <c r="C3649" s="9" t="s">
        <v>694</v>
      </c>
      <c r="D3649" s="9" t="s">
        <v>3149</v>
      </c>
      <c r="E3649" s="9" t="s">
        <v>3131</v>
      </c>
      <c r="F3649" s="9" t="s">
        <v>2296</v>
      </c>
      <c r="H3649" s="9"/>
    </row>
    <row r="3650" ht="14.25" customHeight="1">
      <c r="A3650" s="9"/>
      <c r="B3650" s="9"/>
      <c r="C3650" s="9" t="s">
        <v>694</v>
      </c>
      <c r="D3650" s="9" t="s">
        <v>3149</v>
      </c>
      <c r="E3650" s="9" t="s">
        <v>3131</v>
      </c>
      <c r="F3650" s="9" t="s">
        <v>276</v>
      </c>
      <c r="H3650" s="9"/>
    </row>
    <row r="3651" ht="14.25" customHeight="1">
      <c r="A3651" s="9"/>
      <c r="B3651" s="9"/>
      <c r="C3651" s="9" t="s">
        <v>694</v>
      </c>
      <c r="D3651" s="9" t="s">
        <v>3149</v>
      </c>
      <c r="E3651" s="9" t="s">
        <v>3131</v>
      </c>
      <c r="F3651" s="9" t="s">
        <v>431</v>
      </c>
      <c r="H3651" s="9"/>
    </row>
    <row r="3652" ht="14.25" customHeight="1">
      <c r="A3652" s="9"/>
      <c r="B3652" s="9"/>
      <c r="C3652" s="9" t="s">
        <v>694</v>
      </c>
      <c r="D3652" s="9" t="s">
        <v>3149</v>
      </c>
      <c r="E3652" s="9" t="s">
        <v>3131</v>
      </c>
      <c r="F3652" s="9" t="s">
        <v>1272</v>
      </c>
      <c r="H3652" s="9"/>
    </row>
    <row r="3653" ht="14.25" customHeight="1">
      <c r="A3653" s="9"/>
      <c r="B3653" s="9"/>
      <c r="C3653" s="9" t="s">
        <v>694</v>
      </c>
      <c r="D3653" s="9" t="s">
        <v>3149</v>
      </c>
      <c r="E3653" s="9" t="s">
        <v>3131</v>
      </c>
      <c r="F3653" s="9" t="s">
        <v>420</v>
      </c>
      <c r="H3653" s="9"/>
    </row>
    <row r="3654" ht="14.25" customHeight="1">
      <c r="A3654" s="9"/>
      <c r="B3654" s="9"/>
      <c r="C3654" s="9" t="s">
        <v>694</v>
      </c>
      <c r="D3654" s="9" t="s">
        <v>3149</v>
      </c>
      <c r="E3654" s="9" t="s">
        <v>3131</v>
      </c>
      <c r="F3654" s="9" t="s">
        <v>482</v>
      </c>
      <c r="H3654" s="9"/>
    </row>
    <row r="3655" ht="14.25" customHeight="1">
      <c r="A3655" s="9"/>
      <c r="B3655" s="9"/>
      <c r="C3655" s="9" t="s">
        <v>694</v>
      </c>
      <c r="D3655" s="9" t="s">
        <v>3149</v>
      </c>
      <c r="E3655" s="9" t="s">
        <v>3131</v>
      </c>
      <c r="F3655" s="9" t="s">
        <v>136</v>
      </c>
      <c r="H3655" s="9"/>
    </row>
    <row r="3656" ht="14.25" customHeight="1">
      <c r="A3656" s="9"/>
      <c r="B3656" s="9"/>
      <c r="C3656" s="9" t="s">
        <v>694</v>
      </c>
      <c r="D3656" s="9" t="s">
        <v>3149</v>
      </c>
      <c r="E3656" s="9" t="s">
        <v>3131</v>
      </c>
      <c r="F3656" s="9" t="s">
        <v>408</v>
      </c>
      <c r="H3656" s="9"/>
    </row>
    <row r="3657" ht="14.25" customHeight="1">
      <c r="A3657" s="9"/>
      <c r="B3657" s="9"/>
      <c r="C3657" s="9" t="s">
        <v>694</v>
      </c>
      <c r="D3657" s="9" t="s">
        <v>3149</v>
      </c>
      <c r="E3657" s="9" t="s">
        <v>3131</v>
      </c>
      <c r="F3657" s="9" t="s">
        <v>2301</v>
      </c>
      <c r="H3657" s="9"/>
    </row>
    <row r="3658" ht="14.25" customHeight="1">
      <c r="A3658" s="9"/>
      <c r="B3658" s="9"/>
      <c r="C3658" s="9" t="s">
        <v>694</v>
      </c>
      <c r="D3658" s="9" t="s">
        <v>3149</v>
      </c>
      <c r="E3658" s="9" t="s">
        <v>3131</v>
      </c>
      <c r="F3658" s="9" t="s">
        <v>197</v>
      </c>
      <c r="H3658" s="9"/>
    </row>
    <row r="3659" ht="14.25" customHeight="1">
      <c r="A3659" s="9"/>
      <c r="B3659" s="9"/>
      <c r="C3659" s="9" t="s">
        <v>694</v>
      </c>
      <c r="D3659" s="9" t="s">
        <v>3149</v>
      </c>
      <c r="E3659" s="9" t="s">
        <v>3131</v>
      </c>
      <c r="F3659" s="9" t="s">
        <v>172</v>
      </c>
      <c r="H3659" s="9"/>
    </row>
    <row r="3660" ht="14.25" customHeight="1">
      <c r="A3660" s="9"/>
      <c r="B3660" s="9"/>
      <c r="C3660" s="9" t="s">
        <v>694</v>
      </c>
      <c r="D3660" s="9" t="s">
        <v>3149</v>
      </c>
      <c r="E3660" s="9" t="s">
        <v>3131</v>
      </c>
      <c r="F3660" s="9" t="s">
        <v>98</v>
      </c>
      <c r="H3660" s="9"/>
    </row>
    <row r="3661" ht="14.25" customHeight="1">
      <c r="A3661" s="9"/>
      <c r="B3661" s="9"/>
      <c r="C3661" s="9" t="s">
        <v>694</v>
      </c>
      <c r="D3661" s="9" t="s">
        <v>3149</v>
      </c>
      <c r="E3661" s="9" t="s">
        <v>3131</v>
      </c>
      <c r="F3661" s="9" t="s">
        <v>341</v>
      </c>
      <c r="H3661" s="9"/>
    </row>
    <row r="3662" ht="14.25" customHeight="1">
      <c r="A3662" s="9"/>
      <c r="B3662" s="9"/>
      <c r="C3662" s="9" t="s">
        <v>694</v>
      </c>
      <c r="D3662" s="9" t="s">
        <v>3149</v>
      </c>
      <c r="E3662" s="9" t="s">
        <v>3131</v>
      </c>
      <c r="F3662" s="9" t="s">
        <v>367</v>
      </c>
      <c r="H3662" s="9"/>
    </row>
    <row r="3663" ht="14.25" customHeight="1">
      <c r="A3663" s="9"/>
      <c r="B3663" s="9"/>
      <c r="C3663" s="9" t="s">
        <v>694</v>
      </c>
      <c r="D3663" s="9" t="s">
        <v>3149</v>
      </c>
      <c r="E3663" s="9" t="s">
        <v>3131</v>
      </c>
      <c r="F3663" s="9" t="s">
        <v>529</v>
      </c>
      <c r="H3663" s="9"/>
    </row>
    <row r="3664" ht="14.25" customHeight="1">
      <c r="A3664" s="9"/>
      <c r="B3664" s="9"/>
      <c r="C3664" s="9" t="s">
        <v>694</v>
      </c>
      <c r="D3664" s="9" t="s">
        <v>3149</v>
      </c>
      <c r="E3664" s="9" t="s">
        <v>3131</v>
      </c>
      <c r="F3664" s="9" t="s">
        <v>282</v>
      </c>
      <c r="H3664" s="9"/>
    </row>
    <row r="3665" ht="14.25" customHeight="1">
      <c r="A3665" s="9"/>
      <c r="B3665" s="9"/>
      <c r="C3665" s="9" t="s">
        <v>694</v>
      </c>
      <c r="D3665" s="9" t="s">
        <v>3149</v>
      </c>
      <c r="E3665" s="9" t="s">
        <v>3131</v>
      </c>
      <c r="F3665" s="9" t="s">
        <v>321</v>
      </c>
      <c r="H3665" s="9"/>
    </row>
    <row r="3666" ht="14.25" customHeight="1">
      <c r="A3666" s="9"/>
      <c r="B3666" s="9"/>
      <c r="C3666" s="9" t="s">
        <v>694</v>
      </c>
      <c r="D3666" s="9" t="s">
        <v>3149</v>
      </c>
      <c r="E3666" s="9" t="s">
        <v>3131</v>
      </c>
      <c r="F3666" s="9" t="s">
        <v>272</v>
      </c>
      <c r="H3666" s="9"/>
    </row>
    <row r="3667" ht="14.25" customHeight="1">
      <c r="A3667" s="9"/>
      <c r="B3667" s="9"/>
      <c r="C3667" s="9" t="s">
        <v>694</v>
      </c>
      <c r="D3667" s="9" t="s">
        <v>3149</v>
      </c>
      <c r="E3667" s="9" t="s">
        <v>3131</v>
      </c>
      <c r="F3667" s="9" t="s">
        <v>517</v>
      </c>
      <c r="H3667" s="9"/>
    </row>
    <row r="3668" ht="14.25" customHeight="1">
      <c r="A3668" s="9"/>
      <c r="B3668" s="9"/>
      <c r="C3668" s="9" t="s">
        <v>694</v>
      </c>
      <c r="D3668" s="9" t="s">
        <v>3149</v>
      </c>
      <c r="E3668" s="9" t="s">
        <v>3131</v>
      </c>
      <c r="F3668" s="9" t="s">
        <v>2309</v>
      </c>
      <c r="H3668" s="9"/>
    </row>
    <row r="3669" ht="14.25" customHeight="1">
      <c r="A3669" s="9"/>
      <c r="B3669" s="9"/>
      <c r="C3669" s="9" t="s">
        <v>694</v>
      </c>
      <c r="D3669" s="9" t="s">
        <v>3149</v>
      </c>
      <c r="E3669" s="9" t="s">
        <v>3131</v>
      </c>
      <c r="F3669" s="9" t="s">
        <v>507</v>
      </c>
      <c r="H3669" s="9"/>
    </row>
    <row r="3670" ht="14.25" customHeight="1">
      <c r="A3670" s="9"/>
      <c r="B3670" s="9"/>
      <c r="C3670" s="9" t="s">
        <v>694</v>
      </c>
      <c r="D3670" s="9" t="s">
        <v>3149</v>
      </c>
      <c r="E3670" s="9" t="s">
        <v>3131</v>
      </c>
      <c r="F3670" s="9" t="s">
        <v>336</v>
      </c>
      <c r="H3670" s="9"/>
    </row>
    <row r="3671" ht="14.25" customHeight="1">
      <c r="A3671" s="9"/>
      <c r="B3671" s="9"/>
      <c r="C3671" s="9" t="s">
        <v>694</v>
      </c>
      <c r="D3671" s="9" t="s">
        <v>3149</v>
      </c>
      <c r="E3671" s="9" t="s">
        <v>3131</v>
      </c>
      <c r="F3671" s="9" t="s">
        <v>235</v>
      </c>
      <c r="H3671" s="9"/>
    </row>
    <row r="3672" ht="14.25" customHeight="1">
      <c r="A3672" s="9"/>
      <c r="B3672" s="9"/>
      <c r="C3672" s="9" t="s">
        <v>694</v>
      </c>
      <c r="D3672" s="9" t="s">
        <v>3149</v>
      </c>
      <c r="E3672" s="9" t="s">
        <v>3131</v>
      </c>
      <c r="F3672" s="9" t="s">
        <v>327</v>
      </c>
      <c r="H3672" s="9"/>
    </row>
    <row r="3673" ht="14.25" customHeight="1">
      <c r="A3673" s="9"/>
      <c r="B3673" s="9"/>
      <c r="C3673" s="9" t="s">
        <v>694</v>
      </c>
      <c r="D3673" s="9" t="s">
        <v>3149</v>
      </c>
      <c r="E3673" s="9" t="s">
        <v>3131</v>
      </c>
      <c r="F3673" s="9" t="s">
        <v>264</v>
      </c>
      <c r="H3673" s="9"/>
    </row>
    <row r="3674" ht="14.25" customHeight="1">
      <c r="A3674" s="9"/>
      <c r="B3674" s="9"/>
      <c r="C3674" s="9" t="s">
        <v>214</v>
      </c>
      <c r="D3674" s="9" t="s">
        <v>3150</v>
      </c>
      <c r="E3674" s="9" t="s">
        <v>3151</v>
      </c>
      <c r="F3674" s="9" t="s">
        <v>1439</v>
      </c>
      <c r="H3674" s="9"/>
    </row>
    <row r="3675" ht="14.25" customHeight="1">
      <c r="A3675" s="9"/>
      <c r="B3675" s="9"/>
      <c r="C3675" s="9" t="s">
        <v>214</v>
      </c>
      <c r="D3675" s="9" t="s">
        <v>3150</v>
      </c>
      <c r="E3675" s="9" t="s">
        <v>3151</v>
      </c>
      <c r="F3675" s="9" t="s">
        <v>3132</v>
      </c>
      <c r="H3675" s="9"/>
    </row>
    <row r="3676" ht="14.25" customHeight="1">
      <c r="A3676" s="9"/>
      <c r="B3676" s="9"/>
      <c r="C3676" s="9" t="s">
        <v>214</v>
      </c>
      <c r="D3676" s="9" t="s">
        <v>3150</v>
      </c>
      <c r="E3676" s="9" t="s">
        <v>3151</v>
      </c>
      <c r="F3676" s="9" t="s">
        <v>1440</v>
      </c>
      <c r="H3676" s="9"/>
    </row>
    <row r="3677" ht="14.25" customHeight="1">
      <c r="A3677" s="9"/>
      <c r="B3677" s="9"/>
      <c r="C3677" s="9" t="s">
        <v>214</v>
      </c>
      <c r="D3677" s="9" t="s">
        <v>3150</v>
      </c>
      <c r="E3677" s="9" t="s">
        <v>3151</v>
      </c>
      <c r="F3677" s="9" t="s">
        <v>482</v>
      </c>
      <c r="H3677" s="9"/>
    </row>
    <row r="3678" ht="14.25" customHeight="1">
      <c r="A3678" s="9"/>
      <c r="B3678" s="9"/>
      <c r="C3678" s="9" t="s">
        <v>214</v>
      </c>
      <c r="D3678" s="9" t="s">
        <v>3150</v>
      </c>
      <c r="E3678" s="9" t="s">
        <v>3151</v>
      </c>
      <c r="F3678" s="9" t="s">
        <v>3133</v>
      </c>
      <c r="H3678" s="9"/>
    </row>
    <row r="3679" ht="14.25" customHeight="1">
      <c r="A3679" s="9"/>
      <c r="B3679" s="9"/>
      <c r="C3679" s="9" t="s">
        <v>214</v>
      </c>
      <c r="D3679" s="9" t="s">
        <v>3150</v>
      </c>
      <c r="E3679" s="9" t="s">
        <v>3151</v>
      </c>
      <c r="F3679" s="9" t="s">
        <v>3152</v>
      </c>
      <c r="H3679" s="9"/>
    </row>
    <row r="3680" ht="14.25" customHeight="1">
      <c r="A3680" s="9"/>
      <c r="B3680" s="9"/>
      <c r="C3680" s="9" t="s">
        <v>214</v>
      </c>
      <c r="D3680" s="9" t="s">
        <v>3150</v>
      </c>
      <c r="E3680" s="9" t="s">
        <v>3151</v>
      </c>
      <c r="F3680" s="9" t="s">
        <v>341</v>
      </c>
      <c r="H3680" s="9"/>
    </row>
    <row r="3681" ht="14.25" customHeight="1">
      <c r="A3681" s="9"/>
      <c r="B3681" s="9"/>
      <c r="C3681" s="9" t="s">
        <v>214</v>
      </c>
      <c r="D3681" s="9" t="s">
        <v>3150</v>
      </c>
      <c r="E3681" s="9" t="s">
        <v>3151</v>
      </c>
      <c r="F3681" s="9" t="s">
        <v>367</v>
      </c>
      <c r="H3681" s="9"/>
    </row>
    <row r="3682" ht="14.25" customHeight="1">
      <c r="A3682" s="9"/>
      <c r="B3682" s="9"/>
      <c r="C3682" s="9" t="s">
        <v>214</v>
      </c>
      <c r="D3682" s="9" t="s">
        <v>3150</v>
      </c>
      <c r="E3682" s="9" t="s">
        <v>3151</v>
      </c>
      <c r="F3682" s="9" t="s">
        <v>529</v>
      </c>
      <c r="H3682" s="9"/>
    </row>
    <row r="3683" ht="14.25" customHeight="1">
      <c r="A3683" s="9"/>
      <c r="B3683" s="9"/>
      <c r="C3683" s="9" t="s">
        <v>214</v>
      </c>
      <c r="D3683" s="9" t="s">
        <v>3150</v>
      </c>
      <c r="E3683" s="9" t="s">
        <v>3151</v>
      </c>
      <c r="F3683" s="9" t="s">
        <v>1435</v>
      </c>
      <c r="H3683" s="9"/>
    </row>
    <row r="3684" ht="14.25" customHeight="1">
      <c r="A3684" s="9"/>
      <c r="B3684" s="9"/>
      <c r="C3684" s="9" t="s">
        <v>214</v>
      </c>
      <c r="D3684" s="9" t="s">
        <v>3150</v>
      </c>
      <c r="E3684" s="9" t="s">
        <v>3151</v>
      </c>
      <c r="F3684" s="9" t="s">
        <v>1437</v>
      </c>
      <c r="H3684" s="9"/>
    </row>
    <row r="3685" ht="14.25" customHeight="1">
      <c r="A3685" s="9"/>
      <c r="B3685" s="9"/>
      <c r="C3685" s="9" t="s">
        <v>214</v>
      </c>
      <c r="D3685" s="9" t="s">
        <v>3150</v>
      </c>
      <c r="E3685" s="9" t="s">
        <v>3151</v>
      </c>
      <c r="F3685" s="9" t="s">
        <v>1436</v>
      </c>
      <c r="H3685" s="9"/>
    </row>
    <row r="3686" ht="14.25" customHeight="1">
      <c r="A3686" s="9"/>
      <c r="B3686" s="9"/>
      <c r="C3686" s="9" t="s">
        <v>214</v>
      </c>
      <c r="D3686" s="9" t="s">
        <v>3150</v>
      </c>
      <c r="E3686" s="9" t="s">
        <v>3151</v>
      </c>
      <c r="F3686" s="9" t="s">
        <v>3134</v>
      </c>
      <c r="H3686" s="9"/>
    </row>
    <row r="3687" ht="14.25" customHeight="1">
      <c r="A3687" s="9"/>
      <c r="B3687" s="9"/>
      <c r="C3687" s="9" t="s">
        <v>214</v>
      </c>
      <c r="D3687" s="9" t="s">
        <v>3150</v>
      </c>
      <c r="E3687" s="9" t="s">
        <v>3151</v>
      </c>
      <c r="F3687" s="9" t="s">
        <v>1434</v>
      </c>
      <c r="H3687" s="9"/>
    </row>
    <row r="3688" ht="14.25" customHeight="1">
      <c r="A3688" s="9"/>
      <c r="B3688" s="9"/>
      <c r="C3688" s="9" t="s">
        <v>214</v>
      </c>
      <c r="D3688" s="9" t="s">
        <v>3150</v>
      </c>
      <c r="E3688" s="9" t="s">
        <v>3151</v>
      </c>
      <c r="F3688" s="9" t="s">
        <v>517</v>
      </c>
      <c r="H3688" s="9"/>
    </row>
    <row r="3689" ht="14.25" customHeight="1">
      <c r="A3689" s="9"/>
      <c r="B3689" s="9"/>
      <c r="C3689" s="9" t="s">
        <v>214</v>
      </c>
      <c r="D3689" s="9" t="s">
        <v>3150</v>
      </c>
      <c r="E3689" s="9" t="s">
        <v>3151</v>
      </c>
      <c r="F3689" s="9" t="s">
        <v>507</v>
      </c>
      <c r="H3689" s="9"/>
    </row>
    <row r="3690" ht="14.25" customHeight="1">
      <c r="A3690" s="9"/>
      <c r="B3690" s="9"/>
      <c r="C3690" s="9" t="s">
        <v>214</v>
      </c>
      <c r="D3690" s="9" t="s">
        <v>3150</v>
      </c>
      <c r="E3690" s="9" t="s">
        <v>3151</v>
      </c>
      <c r="F3690" s="9" t="s">
        <v>1441</v>
      </c>
      <c r="H3690" s="9"/>
    </row>
    <row r="3691" ht="14.25" customHeight="1">
      <c r="A3691" s="9"/>
      <c r="B3691" s="9"/>
      <c r="C3691" s="9" t="s">
        <v>214</v>
      </c>
      <c r="D3691" s="9" t="s">
        <v>3150</v>
      </c>
      <c r="E3691" s="9" t="s">
        <v>3151</v>
      </c>
      <c r="F3691" s="9" t="s">
        <v>1438</v>
      </c>
      <c r="H3691" s="9"/>
    </row>
    <row r="3692" ht="14.25" customHeight="1">
      <c r="A3692" s="9"/>
      <c r="B3692" s="9"/>
      <c r="C3692" s="9" t="s">
        <v>214</v>
      </c>
      <c r="D3692" s="9" t="s">
        <v>3153</v>
      </c>
      <c r="E3692" s="9" t="s">
        <v>3151</v>
      </c>
      <c r="F3692" s="9" t="s">
        <v>1439</v>
      </c>
      <c r="H3692" s="9"/>
    </row>
    <row r="3693" ht="14.25" customHeight="1">
      <c r="A3693" s="9"/>
      <c r="B3693" s="9"/>
      <c r="C3693" s="9" t="s">
        <v>214</v>
      </c>
      <c r="D3693" s="9" t="s">
        <v>3153</v>
      </c>
      <c r="E3693" s="9" t="s">
        <v>3151</v>
      </c>
      <c r="F3693" s="9" t="s">
        <v>3132</v>
      </c>
      <c r="H3693" s="9"/>
    </row>
    <row r="3694" ht="14.25" customHeight="1">
      <c r="A3694" s="9"/>
      <c r="B3694" s="9"/>
      <c r="C3694" s="9" t="s">
        <v>214</v>
      </c>
      <c r="D3694" s="9" t="s">
        <v>3153</v>
      </c>
      <c r="E3694" s="9" t="s">
        <v>3151</v>
      </c>
      <c r="F3694" s="9" t="s">
        <v>1440</v>
      </c>
      <c r="H3694" s="9"/>
    </row>
    <row r="3695" ht="14.25" customHeight="1">
      <c r="A3695" s="9"/>
      <c r="B3695" s="9"/>
      <c r="C3695" s="9" t="s">
        <v>214</v>
      </c>
      <c r="D3695" s="9" t="s">
        <v>3153</v>
      </c>
      <c r="E3695" s="9" t="s">
        <v>3151</v>
      </c>
      <c r="F3695" s="9" t="s">
        <v>482</v>
      </c>
      <c r="H3695" s="9"/>
    </row>
    <row r="3696" ht="14.25" customHeight="1">
      <c r="A3696" s="9"/>
      <c r="B3696" s="9"/>
      <c r="C3696" s="9" t="s">
        <v>214</v>
      </c>
      <c r="D3696" s="9" t="s">
        <v>3153</v>
      </c>
      <c r="E3696" s="9" t="s">
        <v>3151</v>
      </c>
      <c r="F3696" s="9" t="s">
        <v>3133</v>
      </c>
      <c r="H3696" s="9"/>
    </row>
    <row r="3697" ht="14.25" customHeight="1">
      <c r="A3697" s="9"/>
      <c r="B3697" s="9"/>
      <c r="C3697" s="9" t="s">
        <v>214</v>
      </c>
      <c r="D3697" s="9" t="s">
        <v>3153</v>
      </c>
      <c r="E3697" s="9" t="s">
        <v>3151</v>
      </c>
      <c r="F3697" s="9" t="s">
        <v>3152</v>
      </c>
      <c r="H3697" s="9"/>
    </row>
    <row r="3698" ht="14.25" customHeight="1">
      <c r="A3698" s="9"/>
      <c r="B3698" s="9"/>
      <c r="C3698" s="9" t="s">
        <v>214</v>
      </c>
      <c r="D3698" s="9" t="s">
        <v>3153</v>
      </c>
      <c r="E3698" s="9" t="s">
        <v>3151</v>
      </c>
      <c r="F3698" s="9" t="s">
        <v>341</v>
      </c>
      <c r="H3698" s="9"/>
    </row>
    <row r="3699" ht="14.25" customHeight="1">
      <c r="A3699" s="9"/>
      <c r="B3699" s="9"/>
      <c r="C3699" s="9" t="s">
        <v>214</v>
      </c>
      <c r="D3699" s="9" t="s">
        <v>3153</v>
      </c>
      <c r="E3699" s="9" t="s">
        <v>3151</v>
      </c>
      <c r="F3699" s="9" t="s">
        <v>367</v>
      </c>
      <c r="H3699" s="9"/>
    </row>
    <row r="3700" ht="14.25" customHeight="1">
      <c r="A3700" s="9"/>
      <c r="B3700" s="9"/>
      <c r="C3700" s="9" t="s">
        <v>214</v>
      </c>
      <c r="D3700" s="9" t="s">
        <v>3153</v>
      </c>
      <c r="E3700" s="9" t="s">
        <v>3151</v>
      </c>
      <c r="F3700" s="9" t="s">
        <v>529</v>
      </c>
      <c r="H3700" s="9"/>
    </row>
    <row r="3701" ht="14.25" customHeight="1">
      <c r="A3701" s="9"/>
      <c r="B3701" s="9"/>
      <c r="C3701" s="9" t="s">
        <v>214</v>
      </c>
      <c r="D3701" s="9" t="s">
        <v>3153</v>
      </c>
      <c r="E3701" s="9" t="s">
        <v>3151</v>
      </c>
      <c r="F3701" s="9" t="s">
        <v>1435</v>
      </c>
      <c r="H3701" s="9"/>
    </row>
    <row r="3702" ht="14.25" customHeight="1">
      <c r="A3702" s="9"/>
      <c r="B3702" s="9"/>
      <c r="C3702" s="9" t="s">
        <v>214</v>
      </c>
      <c r="D3702" s="9" t="s">
        <v>3153</v>
      </c>
      <c r="E3702" s="9" t="s">
        <v>3151</v>
      </c>
      <c r="F3702" s="9" t="s">
        <v>1437</v>
      </c>
      <c r="H3702" s="9"/>
    </row>
    <row r="3703" ht="14.25" customHeight="1">
      <c r="A3703" s="9"/>
      <c r="B3703" s="9"/>
      <c r="C3703" s="9" t="s">
        <v>214</v>
      </c>
      <c r="D3703" s="9" t="s">
        <v>3153</v>
      </c>
      <c r="E3703" s="9" t="s">
        <v>3151</v>
      </c>
      <c r="F3703" s="9" t="s">
        <v>1436</v>
      </c>
      <c r="H3703" s="9"/>
    </row>
    <row r="3704" ht="14.25" customHeight="1">
      <c r="A3704" s="9"/>
      <c r="B3704" s="9"/>
      <c r="C3704" s="9" t="s">
        <v>214</v>
      </c>
      <c r="D3704" s="9" t="s">
        <v>3153</v>
      </c>
      <c r="E3704" s="9" t="s">
        <v>3151</v>
      </c>
      <c r="F3704" s="9" t="s">
        <v>3134</v>
      </c>
      <c r="H3704" s="9"/>
    </row>
    <row r="3705" ht="14.25" customHeight="1">
      <c r="A3705" s="9"/>
      <c r="B3705" s="9"/>
      <c r="C3705" s="9" t="s">
        <v>214</v>
      </c>
      <c r="D3705" s="9" t="s">
        <v>3153</v>
      </c>
      <c r="E3705" s="9" t="s">
        <v>3151</v>
      </c>
      <c r="F3705" s="9" t="s">
        <v>1434</v>
      </c>
      <c r="H3705" s="9"/>
    </row>
    <row r="3706" ht="14.25" customHeight="1">
      <c r="A3706" s="9"/>
      <c r="B3706" s="9"/>
      <c r="C3706" s="9" t="s">
        <v>214</v>
      </c>
      <c r="D3706" s="9" t="s">
        <v>3153</v>
      </c>
      <c r="E3706" s="9" t="s">
        <v>3151</v>
      </c>
      <c r="F3706" s="9" t="s">
        <v>517</v>
      </c>
      <c r="H3706" s="9"/>
    </row>
    <row r="3707" ht="14.25" customHeight="1">
      <c r="A3707" s="9"/>
      <c r="B3707" s="9"/>
      <c r="C3707" s="9" t="s">
        <v>214</v>
      </c>
      <c r="D3707" s="9" t="s">
        <v>3153</v>
      </c>
      <c r="E3707" s="9" t="s">
        <v>3151</v>
      </c>
      <c r="F3707" s="9" t="s">
        <v>507</v>
      </c>
      <c r="H3707" s="9"/>
    </row>
    <row r="3708" ht="14.25" customHeight="1">
      <c r="A3708" s="9"/>
      <c r="B3708" s="9"/>
      <c r="C3708" s="9" t="s">
        <v>214</v>
      </c>
      <c r="D3708" s="9" t="s">
        <v>3153</v>
      </c>
      <c r="E3708" s="9" t="s">
        <v>3151</v>
      </c>
      <c r="F3708" s="9" t="s">
        <v>1441</v>
      </c>
      <c r="H3708" s="9"/>
    </row>
    <row r="3709" ht="14.25" customHeight="1">
      <c r="A3709" s="9"/>
      <c r="B3709" s="9"/>
      <c r="C3709" s="9" t="s">
        <v>214</v>
      </c>
      <c r="D3709" s="9" t="s">
        <v>3153</v>
      </c>
      <c r="E3709" s="9" t="s">
        <v>3151</v>
      </c>
      <c r="F3709" s="9" t="s">
        <v>1438</v>
      </c>
      <c r="H3709" s="9"/>
    </row>
    <row r="3710" ht="14.25" customHeight="1">
      <c r="A3710" s="9"/>
      <c r="B3710" s="9"/>
      <c r="C3710" s="9" t="s">
        <v>214</v>
      </c>
      <c r="D3710" s="9" t="s">
        <v>3154</v>
      </c>
      <c r="E3710" s="9" t="s">
        <v>3151</v>
      </c>
      <c r="F3710" s="9" t="s">
        <v>474</v>
      </c>
      <c r="H3710" s="9"/>
    </row>
    <row r="3711" ht="14.25" customHeight="1">
      <c r="A3711" s="9"/>
      <c r="B3711" s="9"/>
      <c r="C3711" s="9" t="s">
        <v>214</v>
      </c>
      <c r="D3711" s="9" t="s">
        <v>3154</v>
      </c>
      <c r="E3711" s="9" t="s">
        <v>3151</v>
      </c>
      <c r="F3711" s="9" t="s">
        <v>284</v>
      </c>
      <c r="H3711" s="9"/>
    </row>
    <row r="3712" ht="14.25" customHeight="1">
      <c r="A3712" s="9"/>
      <c r="B3712" s="9"/>
      <c r="C3712" s="9" t="s">
        <v>214</v>
      </c>
      <c r="D3712" s="9" t="s">
        <v>3154</v>
      </c>
      <c r="E3712" s="9" t="s">
        <v>3151</v>
      </c>
      <c r="F3712" s="9" t="s">
        <v>493</v>
      </c>
      <c r="H3712" s="9"/>
    </row>
    <row r="3713" ht="14.25" customHeight="1">
      <c r="A3713" s="9"/>
      <c r="B3713" s="9"/>
      <c r="C3713" s="9" t="s">
        <v>214</v>
      </c>
      <c r="D3713" s="9" t="s">
        <v>3154</v>
      </c>
      <c r="E3713" s="9" t="s">
        <v>3151</v>
      </c>
      <c r="F3713" s="9" t="s">
        <v>450</v>
      </c>
      <c r="H3713" s="9"/>
    </row>
    <row r="3714" ht="14.25" customHeight="1">
      <c r="A3714" s="9"/>
      <c r="B3714" s="9"/>
      <c r="C3714" s="9" t="s">
        <v>214</v>
      </c>
      <c r="D3714" s="9" t="s">
        <v>3154</v>
      </c>
      <c r="E3714" s="9" t="s">
        <v>3151</v>
      </c>
      <c r="F3714" s="9" t="s">
        <v>395</v>
      </c>
      <c r="H3714" s="9"/>
    </row>
    <row r="3715" ht="14.25" customHeight="1">
      <c r="A3715" s="9"/>
      <c r="B3715" s="9"/>
      <c r="C3715" s="9" t="s">
        <v>214</v>
      </c>
      <c r="D3715" s="9" t="s">
        <v>3154</v>
      </c>
      <c r="E3715" s="9" t="s">
        <v>3151</v>
      </c>
      <c r="F3715" s="9" t="s">
        <v>276</v>
      </c>
      <c r="H3715" s="9"/>
    </row>
    <row r="3716" ht="14.25" customHeight="1">
      <c r="A3716" s="9"/>
      <c r="B3716" s="9"/>
      <c r="C3716" s="9" t="s">
        <v>214</v>
      </c>
      <c r="D3716" s="9" t="s">
        <v>3154</v>
      </c>
      <c r="E3716" s="9" t="s">
        <v>3151</v>
      </c>
      <c r="F3716" s="9" t="s">
        <v>431</v>
      </c>
      <c r="H3716" s="9"/>
    </row>
    <row r="3717" ht="14.25" customHeight="1">
      <c r="A3717" s="9"/>
      <c r="B3717" s="9"/>
      <c r="C3717" s="9" t="s">
        <v>214</v>
      </c>
      <c r="D3717" s="9" t="s">
        <v>3154</v>
      </c>
      <c r="E3717" s="9" t="s">
        <v>3151</v>
      </c>
      <c r="F3717" s="9" t="s">
        <v>1272</v>
      </c>
      <c r="H3717" s="9"/>
    </row>
    <row r="3718" ht="14.25" customHeight="1">
      <c r="A3718" s="9"/>
      <c r="B3718" s="9"/>
      <c r="C3718" s="9" t="s">
        <v>214</v>
      </c>
      <c r="D3718" s="9" t="s">
        <v>3154</v>
      </c>
      <c r="E3718" s="9" t="s">
        <v>3151</v>
      </c>
      <c r="F3718" s="9" t="s">
        <v>420</v>
      </c>
      <c r="H3718" s="9"/>
    </row>
    <row r="3719" ht="14.25" customHeight="1">
      <c r="A3719" s="9"/>
      <c r="B3719" s="9"/>
      <c r="C3719" s="9" t="s">
        <v>214</v>
      </c>
      <c r="D3719" s="9" t="s">
        <v>3154</v>
      </c>
      <c r="E3719" s="9" t="s">
        <v>3151</v>
      </c>
      <c r="F3719" s="9" t="s">
        <v>482</v>
      </c>
      <c r="H3719" s="9"/>
    </row>
    <row r="3720" ht="14.25" customHeight="1">
      <c r="A3720" s="9"/>
      <c r="B3720" s="9"/>
      <c r="C3720" s="9" t="s">
        <v>214</v>
      </c>
      <c r="D3720" s="9" t="s">
        <v>3154</v>
      </c>
      <c r="E3720" s="9" t="s">
        <v>3151</v>
      </c>
      <c r="F3720" s="15" t="s">
        <v>136</v>
      </c>
      <c r="H3720" s="9"/>
    </row>
    <row r="3721" ht="14.25" customHeight="1">
      <c r="A3721" s="9"/>
      <c r="B3721" s="9"/>
      <c r="C3721" s="9" t="s">
        <v>214</v>
      </c>
      <c r="D3721" s="9" t="s">
        <v>3154</v>
      </c>
      <c r="E3721" s="9" t="s">
        <v>3151</v>
      </c>
      <c r="F3721" s="9" t="s">
        <v>408</v>
      </c>
      <c r="H3721" s="9"/>
    </row>
    <row r="3722" ht="14.25" customHeight="1">
      <c r="A3722" s="9"/>
      <c r="B3722" s="9"/>
      <c r="C3722" s="9" t="s">
        <v>214</v>
      </c>
      <c r="D3722" s="9" t="s">
        <v>3154</v>
      </c>
      <c r="E3722" s="9" t="s">
        <v>3151</v>
      </c>
      <c r="F3722" s="9" t="s">
        <v>2589</v>
      </c>
      <c r="H3722" s="9"/>
    </row>
    <row r="3723" ht="14.25" customHeight="1">
      <c r="A3723" s="9"/>
      <c r="B3723" s="9"/>
      <c r="C3723" s="9" t="s">
        <v>214</v>
      </c>
      <c r="D3723" s="9" t="s">
        <v>3154</v>
      </c>
      <c r="E3723" s="9" t="s">
        <v>3151</v>
      </c>
      <c r="F3723" s="9" t="s">
        <v>197</v>
      </c>
      <c r="H3723" s="9"/>
    </row>
    <row r="3724" ht="14.25" customHeight="1">
      <c r="A3724" s="9"/>
      <c r="B3724" s="9"/>
      <c r="C3724" s="9" t="s">
        <v>214</v>
      </c>
      <c r="D3724" s="9" t="s">
        <v>3154</v>
      </c>
      <c r="E3724" s="9" t="s">
        <v>3151</v>
      </c>
      <c r="F3724" s="9" t="s">
        <v>172</v>
      </c>
      <c r="H3724" s="9"/>
    </row>
    <row r="3725" ht="14.25" customHeight="1">
      <c r="A3725" s="9"/>
      <c r="B3725" s="9"/>
      <c r="C3725" s="9" t="s">
        <v>214</v>
      </c>
      <c r="D3725" s="9" t="s">
        <v>3154</v>
      </c>
      <c r="E3725" s="9" t="s">
        <v>3151</v>
      </c>
      <c r="F3725" s="9" t="s">
        <v>98</v>
      </c>
      <c r="H3725" s="9"/>
    </row>
    <row r="3726" ht="14.25" customHeight="1">
      <c r="A3726" s="9"/>
      <c r="B3726" s="9"/>
      <c r="C3726" s="9" t="s">
        <v>214</v>
      </c>
      <c r="D3726" s="9" t="s">
        <v>3154</v>
      </c>
      <c r="E3726" s="9" t="s">
        <v>3151</v>
      </c>
      <c r="F3726" s="9" t="s">
        <v>341</v>
      </c>
      <c r="H3726" s="9"/>
    </row>
    <row r="3727" ht="14.25" customHeight="1">
      <c r="A3727" s="9"/>
      <c r="B3727" s="9"/>
      <c r="C3727" s="9" t="s">
        <v>214</v>
      </c>
      <c r="D3727" s="9" t="s">
        <v>3154</v>
      </c>
      <c r="E3727" s="9" t="s">
        <v>3151</v>
      </c>
      <c r="F3727" s="9" t="s">
        <v>367</v>
      </c>
      <c r="H3727" s="9"/>
    </row>
    <row r="3728" ht="14.25" customHeight="1">
      <c r="A3728" s="9"/>
      <c r="B3728" s="9"/>
      <c r="C3728" s="9" t="s">
        <v>214</v>
      </c>
      <c r="D3728" s="9" t="s">
        <v>3154</v>
      </c>
      <c r="E3728" s="9" t="s">
        <v>3151</v>
      </c>
      <c r="F3728" s="9" t="s">
        <v>529</v>
      </c>
      <c r="H3728" s="9"/>
    </row>
    <row r="3729" ht="14.25" customHeight="1">
      <c r="A3729" s="9"/>
      <c r="B3729" s="9"/>
      <c r="C3729" s="9" t="s">
        <v>214</v>
      </c>
      <c r="D3729" s="9" t="s">
        <v>3154</v>
      </c>
      <c r="E3729" s="9" t="s">
        <v>3151</v>
      </c>
      <c r="F3729" s="9" t="s">
        <v>282</v>
      </c>
      <c r="H3729" s="9"/>
    </row>
    <row r="3730" ht="14.25" customHeight="1">
      <c r="A3730" s="9"/>
      <c r="B3730" s="9"/>
      <c r="C3730" s="9" t="s">
        <v>214</v>
      </c>
      <c r="D3730" s="9" t="s">
        <v>3154</v>
      </c>
      <c r="E3730" s="9" t="s">
        <v>3151</v>
      </c>
      <c r="F3730" s="9" t="s">
        <v>321</v>
      </c>
      <c r="H3730" s="9"/>
    </row>
    <row r="3731" ht="14.25" customHeight="1">
      <c r="A3731" s="9"/>
      <c r="B3731" s="9"/>
      <c r="C3731" s="9" t="s">
        <v>214</v>
      </c>
      <c r="D3731" s="9" t="s">
        <v>3154</v>
      </c>
      <c r="E3731" s="9" t="s">
        <v>3151</v>
      </c>
      <c r="F3731" s="9" t="s">
        <v>272</v>
      </c>
      <c r="H3731" s="9"/>
    </row>
    <row r="3732" ht="14.25" customHeight="1">
      <c r="A3732" s="9"/>
      <c r="B3732" s="9"/>
      <c r="C3732" s="9" t="s">
        <v>214</v>
      </c>
      <c r="D3732" s="9" t="s">
        <v>3154</v>
      </c>
      <c r="E3732" s="9" t="s">
        <v>3151</v>
      </c>
      <c r="F3732" s="9" t="s">
        <v>517</v>
      </c>
      <c r="H3732" s="9"/>
    </row>
    <row r="3733" ht="14.25" customHeight="1">
      <c r="A3733" s="9"/>
      <c r="B3733" s="9"/>
      <c r="C3733" s="9" t="s">
        <v>214</v>
      </c>
      <c r="D3733" s="9" t="s">
        <v>3154</v>
      </c>
      <c r="E3733" s="9" t="s">
        <v>3151</v>
      </c>
      <c r="F3733" s="9" t="s">
        <v>2593</v>
      </c>
      <c r="H3733" s="9"/>
    </row>
    <row r="3734" ht="14.25" customHeight="1">
      <c r="A3734" s="9"/>
      <c r="B3734" s="9"/>
      <c r="C3734" s="9" t="s">
        <v>214</v>
      </c>
      <c r="D3734" s="9" t="s">
        <v>3154</v>
      </c>
      <c r="E3734" s="9" t="s">
        <v>3151</v>
      </c>
      <c r="F3734" s="9" t="s">
        <v>507</v>
      </c>
      <c r="H3734" s="9"/>
    </row>
    <row r="3735" ht="14.25" customHeight="1">
      <c r="A3735" s="9"/>
      <c r="B3735" s="9"/>
      <c r="C3735" s="9" t="s">
        <v>214</v>
      </c>
      <c r="D3735" s="9" t="s">
        <v>3154</v>
      </c>
      <c r="E3735" s="9" t="s">
        <v>3151</v>
      </c>
      <c r="F3735" s="9" t="s">
        <v>336</v>
      </c>
      <c r="H3735" s="9"/>
    </row>
    <row r="3736" ht="14.25" customHeight="1">
      <c r="A3736" s="9"/>
      <c r="B3736" s="9"/>
      <c r="C3736" s="9" t="s">
        <v>214</v>
      </c>
      <c r="D3736" s="9" t="s">
        <v>3154</v>
      </c>
      <c r="E3736" s="9" t="s">
        <v>3151</v>
      </c>
      <c r="F3736" s="9" t="s">
        <v>235</v>
      </c>
      <c r="H3736" s="9"/>
    </row>
    <row r="3737" ht="14.25" customHeight="1">
      <c r="A3737" s="9"/>
      <c r="B3737" s="9"/>
      <c r="C3737" s="9" t="s">
        <v>214</v>
      </c>
      <c r="D3737" s="9" t="s">
        <v>3154</v>
      </c>
      <c r="E3737" s="9" t="s">
        <v>3151</v>
      </c>
      <c r="F3737" s="9" t="s">
        <v>327</v>
      </c>
      <c r="H3737" s="9"/>
    </row>
    <row r="3738" ht="14.25" customHeight="1">
      <c r="A3738" s="9"/>
      <c r="B3738" s="9"/>
      <c r="C3738" s="9" t="s">
        <v>214</v>
      </c>
      <c r="D3738" s="9" t="s">
        <v>3154</v>
      </c>
      <c r="E3738" s="9" t="s">
        <v>3151</v>
      </c>
      <c r="F3738" s="9" t="s">
        <v>264</v>
      </c>
      <c r="H3738" s="9"/>
    </row>
    <row r="3739" ht="14.25" customHeight="1">
      <c r="A3739" s="9"/>
      <c r="B3739" s="9"/>
      <c r="C3739" s="200" t="s">
        <v>3155</v>
      </c>
      <c r="D3739" s="208" t="s">
        <v>3156</v>
      </c>
      <c r="E3739" s="9" t="s">
        <v>3151</v>
      </c>
      <c r="F3739" s="209" t="s">
        <v>474</v>
      </c>
      <c r="H3739" s="9"/>
    </row>
    <row r="3740" ht="14.25" customHeight="1">
      <c r="A3740" s="9"/>
      <c r="B3740" s="9"/>
      <c r="C3740" s="200" t="s">
        <v>3155</v>
      </c>
      <c r="D3740" s="208" t="s">
        <v>3156</v>
      </c>
      <c r="E3740" s="9" t="s">
        <v>3151</v>
      </c>
      <c r="F3740" s="209" t="s">
        <v>3045</v>
      </c>
      <c r="H3740" s="9"/>
    </row>
    <row r="3741" ht="14.25" customHeight="1">
      <c r="A3741" s="9"/>
      <c r="B3741" s="9"/>
      <c r="C3741" s="200" t="s">
        <v>3155</v>
      </c>
      <c r="D3741" s="208" t="s">
        <v>3156</v>
      </c>
      <c r="E3741" s="9" t="s">
        <v>3151</v>
      </c>
      <c r="F3741" s="209" t="s">
        <v>284</v>
      </c>
      <c r="H3741" s="9"/>
    </row>
    <row r="3742" ht="14.25" customHeight="1">
      <c r="A3742" s="9"/>
      <c r="B3742" s="9"/>
      <c r="C3742" s="200" t="s">
        <v>3155</v>
      </c>
      <c r="D3742" s="208" t="s">
        <v>3156</v>
      </c>
      <c r="E3742" s="9" t="s">
        <v>3151</v>
      </c>
      <c r="F3742" s="209" t="s">
        <v>493</v>
      </c>
      <c r="H3742" s="9"/>
    </row>
    <row r="3743" ht="14.25" customHeight="1">
      <c r="A3743" s="9"/>
      <c r="B3743" s="9"/>
      <c r="C3743" s="200" t="s">
        <v>3155</v>
      </c>
      <c r="D3743" s="208" t="s">
        <v>3156</v>
      </c>
      <c r="E3743" s="9" t="s">
        <v>3151</v>
      </c>
      <c r="F3743" s="209" t="s">
        <v>450</v>
      </c>
      <c r="H3743" s="9"/>
    </row>
    <row r="3744" ht="14.25" customHeight="1">
      <c r="A3744" s="9"/>
      <c r="B3744" s="9"/>
      <c r="C3744" s="200" t="s">
        <v>3155</v>
      </c>
      <c r="D3744" s="208" t="s">
        <v>3156</v>
      </c>
      <c r="E3744" s="9" t="s">
        <v>3151</v>
      </c>
      <c r="F3744" s="209" t="s">
        <v>395</v>
      </c>
      <c r="H3744" s="9"/>
    </row>
    <row r="3745" ht="14.25" customHeight="1">
      <c r="A3745" s="9"/>
      <c r="B3745" s="9"/>
      <c r="C3745" s="200" t="s">
        <v>3155</v>
      </c>
      <c r="D3745" s="208" t="s">
        <v>3156</v>
      </c>
      <c r="E3745" s="9" t="s">
        <v>3151</v>
      </c>
      <c r="F3745" s="209" t="s">
        <v>276</v>
      </c>
      <c r="H3745" s="9"/>
    </row>
    <row r="3746" ht="14.25" customHeight="1">
      <c r="A3746" s="9"/>
      <c r="B3746" s="9"/>
      <c r="C3746" s="200" t="s">
        <v>3155</v>
      </c>
      <c r="D3746" s="208" t="s">
        <v>3156</v>
      </c>
      <c r="E3746" s="9" t="s">
        <v>3151</v>
      </c>
      <c r="F3746" s="209" t="s">
        <v>431</v>
      </c>
      <c r="H3746" s="9"/>
    </row>
    <row r="3747" ht="14.25" customHeight="1">
      <c r="A3747" s="9"/>
      <c r="B3747" s="9"/>
      <c r="C3747" s="200" t="s">
        <v>3155</v>
      </c>
      <c r="D3747" s="208" t="s">
        <v>3156</v>
      </c>
      <c r="E3747" s="9" t="s">
        <v>3151</v>
      </c>
      <c r="F3747" s="209" t="s">
        <v>26</v>
      </c>
      <c r="H3747" s="9"/>
    </row>
    <row r="3748" ht="14.25" customHeight="1">
      <c r="A3748" s="9"/>
      <c r="B3748" s="9"/>
      <c r="C3748" s="200" t="s">
        <v>3155</v>
      </c>
      <c r="D3748" s="208" t="s">
        <v>3156</v>
      </c>
      <c r="E3748" s="9" t="s">
        <v>3151</v>
      </c>
      <c r="F3748" s="209" t="s">
        <v>420</v>
      </c>
      <c r="H3748" s="9"/>
    </row>
    <row r="3749" ht="14.25" customHeight="1">
      <c r="A3749" s="9"/>
      <c r="B3749" s="9"/>
      <c r="C3749" s="200" t="s">
        <v>3155</v>
      </c>
      <c r="D3749" s="208" t="s">
        <v>3156</v>
      </c>
      <c r="E3749" s="9" t="s">
        <v>3151</v>
      </c>
      <c r="F3749" s="209" t="s">
        <v>482</v>
      </c>
      <c r="H3749" s="9"/>
    </row>
    <row r="3750" ht="14.25" customHeight="1">
      <c r="A3750" s="9"/>
      <c r="B3750" s="9"/>
      <c r="C3750" s="200" t="s">
        <v>3155</v>
      </c>
      <c r="D3750" s="208" t="s">
        <v>3156</v>
      </c>
      <c r="E3750" s="9" t="s">
        <v>3151</v>
      </c>
      <c r="F3750" s="209" t="s">
        <v>136</v>
      </c>
      <c r="H3750" s="9"/>
    </row>
    <row r="3751" ht="14.25" customHeight="1">
      <c r="A3751" s="9"/>
      <c r="B3751" s="9"/>
      <c r="C3751" s="200" t="s">
        <v>3155</v>
      </c>
      <c r="D3751" s="208" t="s">
        <v>3156</v>
      </c>
      <c r="E3751" s="9" t="s">
        <v>3151</v>
      </c>
      <c r="F3751" s="209" t="s">
        <v>408</v>
      </c>
      <c r="H3751" s="9"/>
    </row>
    <row r="3752" ht="14.25" customHeight="1">
      <c r="A3752" s="9"/>
      <c r="B3752" s="9"/>
      <c r="C3752" s="200" t="s">
        <v>3155</v>
      </c>
      <c r="D3752" s="208" t="s">
        <v>3156</v>
      </c>
      <c r="E3752" s="9" t="s">
        <v>3151</v>
      </c>
      <c r="F3752" s="209" t="s">
        <v>2589</v>
      </c>
      <c r="H3752" s="9"/>
    </row>
    <row r="3753" ht="14.25" customHeight="1">
      <c r="A3753" s="9"/>
      <c r="B3753" s="9"/>
      <c r="C3753" s="200" t="s">
        <v>3155</v>
      </c>
      <c r="D3753" s="208" t="s">
        <v>3156</v>
      </c>
      <c r="E3753" s="9" t="s">
        <v>3151</v>
      </c>
      <c r="F3753" s="209" t="s">
        <v>197</v>
      </c>
      <c r="H3753" s="9"/>
    </row>
    <row r="3754" ht="14.25" customHeight="1">
      <c r="A3754" s="9"/>
      <c r="B3754" s="9"/>
      <c r="C3754" s="200" t="s">
        <v>3155</v>
      </c>
      <c r="D3754" s="208" t="s">
        <v>3156</v>
      </c>
      <c r="E3754" s="9" t="s">
        <v>3151</v>
      </c>
      <c r="F3754" s="209" t="s">
        <v>172</v>
      </c>
      <c r="H3754" s="9"/>
    </row>
    <row r="3755" ht="14.25" customHeight="1">
      <c r="A3755" s="9"/>
      <c r="B3755" s="9"/>
      <c r="C3755" s="200" t="s">
        <v>3155</v>
      </c>
      <c r="D3755" s="208" t="s">
        <v>3156</v>
      </c>
      <c r="E3755" s="9" t="s">
        <v>3151</v>
      </c>
      <c r="F3755" s="209" t="s">
        <v>98</v>
      </c>
      <c r="H3755" s="9"/>
    </row>
    <row r="3756" ht="14.25" customHeight="1">
      <c r="A3756" s="9"/>
      <c r="B3756" s="9"/>
      <c r="C3756" s="200" t="s">
        <v>3155</v>
      </c>
      <c r="D3756" s="208" t="s">
        <v>3156</v>
      </c>
      <c r="E3756" s="9" t="s">
        <v>3151</v>
      </c>
      <c r="F3756" s="209" t="s">
        <v>341</v>
      </c>
      <c r="H3756" s="9"/>
    </row>
    <row r="3757" ht="14.25" customHeight="1">
      <c r="A3757" s="9"/>
      <c r="B3757" s="9"/>
      <c r="C3757" s="200" t="s">
        <v>3155</v>
      </c>
      <c r="D3757" s="208" t="s">
        <v>3156</v>
      </c>
      <c r="E3757" s="9" t="s">
        <v>3151</v>
      </c>
      <c r="F3757" s="210" t="s">
        <v>3033</v>
      </c>
      <c r="H3757" s="9"/>
    </row>
    <row r="3758" ht="14.25" customHeight="1">
      <c r="A3758" s="9"/>
      <c r="B3758" s="9"/>
      <c r="C3758" s="200" t="s">
        <v>3155</v>
      </c>
      <c r="D3758" s="208" t="s">
        <v>3156</v>
      </c>
      <c r="E3758" s="9" t="s">
        <v>3151</v>
      </c>
      <c r="F3758" s="209" t="s">
        <v>367</v>
      </c>
      <c r="H3758" s="9"/>
    </row>
    <row r="3759" ht="14.25" customHeight="1">
      <c r="A3759" s="9"/>
      <c r="B3759" s="9"/>
      <c r="C3759" s="200" t="s">
        <v>3155</v>
      </c>
      <c r="D3759" s="208" t="s">
        <v>3156</v>
      </c>
      <c r="E3759" s="9" t="s">
        <v>3151</v>
      </c>
      <c r="F3759" s="209" t="s">
        <v>529</v>
      </c>
      <c r="H3759" s="9"/>
    </row>
    <row r="3760" ht="14.25" customHeight="1">
      <c r="A3760" s="9"/>
      <c r="B3760" s="9"/>
      <c r="C3760" s="200" t="s">
        <v>3155</v>
      </c>
      <c r="D3760" s="208" t="s">
        <v>3156</v>
      </c>
      <c r="E3760" s="9" t="s">
        <v>3151</v>
      </c>
      <c r="F3760" s="209" t="s">
        <v>282</v>
      </c>
      <c r="H3760" s="9"/>
    </row>
    <row r="3761" ht="14.25" customHeight="1">
      <c r="A3761" s="9"/>
      <c r="B3761" s="9"/>
      <c r="C3761" s="200" t="s">
        <v>3155</v>
      </c>
      <c r="D3761" s="208" t="s">
        <v>3156</v>
      </c>
      <c r="E3761" s="9" t="s">
        <v>3151</v>
      </c>
      <c r="F3761" s="209" t="s">
        <v>321</v>
      </c>
      <c r="H3761" s="9"/>
    </row>
    <row r="3762" ht="14.25" customHeight="1">
      <c r="A3762" s="9"/>
      <c r="B3762" s="9"/>
      <c r="C3762" s="200" t="s">
        <v>3155</v>
      </c>
      <c r="D3762" s="208" t="s">
        <v>3156</v>
      </c>
      <c r="E3762" s="9" t="s">
        <v>3151</v>
      </c>
      <c r="F3762" s="209" t="s">
        <v>479</v>
      </c>
      <c r="H3762" s="9"/>
    </row>
    <row r="3763" ht="14.25" customHeight="1">
      <c r="A3763" s="9"/>
      <c r="B3763" s="9"/>
      <c r="C3763" s="200" t="s">
        <v>3155</v>
      </c>
      <c r="D3763" s="208" t="s">
        <v>3156</v>
      </c>
      <c r="E3763" s="9" t="s">
        <v>3151</v>
      </c>
      <c r="F3763" s="209" t="s">
        <v>517</v>
      </c>
      <c r="H3763" s="9"/>
    </row>
    <row r="3764" ht="14.25" customHeight="1">
      <c r="A3764" s="9"/>
      <c r="B3764" s="9"/>
      <c r="C3764" s="200" t="s">
        <v>3155</v>
      </c>
      <c r="D3764" s="208" t="s">
        <v>3156</v>
      </c>
      <c r="E3764" s="9" t="s">
        <v>3151</v>
      </c>
      <c r="F3764" s="209" t="s">
        <v>2593</v>
      </c>
      <c r="H3764" s="9"/>
    </row>
    <row r="3765" ht="14.25" customHeight="1">
      <c r="A3765" s="9"/>
      <c r="B3765" s="9"/>
      <c r="C3765" s="200" t="s">
        <v>3155</v>
      </c>
      <c r="D3765" s="208" t="s">
        <v>3156</v>
      </c>
      <c r="E3765" s="9" t="s">
        <v>3151</v>
      </c>
      <c r="F3765" s="209" t="s">
        <v>507</v>
      </c>
      <c r="H3765" s="9"/>
    </row>
    <row r="3766" ht="14.25" customHeight="1">
      <c r="A3766" s="9"/>
      <c r="B3766" s="9"/>
      <c r="C3766" s="200" t="s">
        <v>3155</v>
      </c>
      <c r="D3766" s="208" t="s">
        <v>3156</v>
      </c>
      <c r="E3766" s="9" t="s">
        <v>3151</v>
      </c>
      <c r="F3766" s="209" t="s">
        <v>336</v>
      </c>
      <c r="H3766" s="9"/>
    </row>
    <row r="3767" ht="14.25" customHeight="1">
      <c r="A3767" s="9"/>
      <c r="B3767" s="9"/>
      <c r="C3767" s="200" t="s">
        <v>3155</v>
      </c>
      <c r="D3767" s="208" t="s">
        <v>3156</v>
      </c>
      <c r="E3767" s="9" t="s">
        <v>3151</v>
      </c>
      <c r="F3767" s="209" t="s">
        <v>235</v>
      </c>
      <c r="H3767" s="9"/>
    </row>
    <row r="3768" ht="14.25" customHeight="1">
      <c r="A3768" s="9"/>
      <c r="B3768" s="9"/>
      <c r="C3768" s="200" t="s">
        <v>3155</v>
      </c>
      <c r="D3768" s="208" t="s">
        <v>3156</v>
      </c>
      <c r="E3768" s="9" t="s">
        <v>3151</v>
      </c>
      <c r="F3768" s="209" t="s">
        <v>2957</v>
      </c>
      <c r="H3768" s="9"/>
    </row>
    <row r="3769" ht="14.25" customHeight="1">
      <c r="A3769" s="9"/>
      <c r="B3769" s="9"/>
      <c r="C3769" s="200" t="s">
        <v>3155</v>
      </c>
      <c r="D3769" s="208" t="s">
        <v>3156</v>
      </c>
      <c r="E3769" s="9" t="s">
        <v>3151</v>
      </c>
      <c r="F3769" s="209" t="s">
        <v>264</v>
      </c>
      <c r="H3769" s="9"/>
    </row>
    <row r="3770" ht="14.25" customHeight="1">
      <c r="A3770" s="9"/>
      <c r="B3770" s="9"/>
      <c r="C3770" s="9" t="s">
        <v>3157</v>
      </c>
      <c r="D3770" s="9" t="s">
        <v>3158</v>
      </c>
      <c r="E3770" s="9" t="s">
        <v>3151</v>
      </c>
      <c r="F3770" s="9" t="s">
        <v>474</v>
      </c>
      <c r="H3770" s="9"/>
    </row>
    <row r="3771" ht="14.25" customHeight="1">
      <c r="A3771" s="9"/>
      <c r="B3771" s="9"/>
      <c r="C3771" s="9" t="s">
        <v>3157</v>
      </c>
      <c r="D3771" s="9" t="s">
        <v>3158</v>
      </c>
      <c r="E3771" s="9" t="s">
        <v>3151</v>
      </c>
      <c r="F3771" s="9" t="s">
        <v>284</v>
      </c>
      <c r="H3771" s="9"/>
    </row>
    <row r="3772" ht="14.25" customHeight="1">
      <c r="A3772" s="9"/>
      <c r="B3772" s="9"/>
      <c r="C3772" s="9" t="s">
        <v>3157</v>
      </c>
      <c r="D3772" s="9" t="s">
        <v>3158</v>
      </c>
      <c r="E3772" s="9" t="s">
        <v>3151</v>
      </c>
      <c r="F3772" s="9" t="s">
        <v>493</v>
      </c>
      <c r="H3772" s="9"/>
    </row>
    <row r="3773" ht="14.25" customHeight="1">
      <c r="A3773" s="9"/>
      <c r="B3773" s="9"/>
      <c r="C3773" s="9" t="s">
        <v>3157</v>
      </c>
      <c r="D3773" s="9" t="s">
        <v>3158</v>
      </c>
      <c r="E3773" s="9" t="s">
        <v>3151</v>
      </c>
      <c r="F3773" s="9" t="s">
        <v>450</v>
      </c>
      <c r="H3773" s="9"/>
    </row>
    <row r="3774" ht="14.25" customHeight="1">
      <c r="A3774" s="9"/>
      <c r="B3774" s="9"/>
      <c r="C3774" s="9" t="s">
        <v>3157</v>
      </c>
      <c r="D3774" s="9" t="s">
        <v>3158</v>
      </c>
      <c r="E3774" s="9" t="s">
        <v>3151</v>
      </c>
      <c r="F3774" s="9" t="s">
        <v>395</v>
      </c>
      <c r="H3774" s="9"/>
    </row>
    <row r="3775" ht="14.25" customHeight="1">
      <c r="A3775" s="9"/>
      <c r="B3775" s="9"/>
      <c r="C3775" s="9" t="s">
        <v>3157</v>
      </c>
      <c r="D3775" s="9" t="s">
        <v>3158</v>
      </c>
      <c r="E3775" s="9" t="s">
        <v>3151</v>
      </c>
      <c r="F3775" s="9" t="s">
        <v>276</v>
      </c>
      <c r="H3775" s="9"/>
    </row>
    <row r="3776" ht="14.25" customHeight="1">
      <c r="A3776" s="9"/>
      <c r="B3776" s="9"/>
      <c r="C3776" s="9" t="s">
        <v>3157</v>
      </c>
      <c r="D3776" s="9" t="s">
        <v>3158</v>
      </c>
      <c r="E3776" s="9" t="s">
        <v>3151</v>
      </c>
      <c r="F3776" s="9" t="s">
        <v>431</v>
      </c>
      <c r="H3776" s="9"/>
    </row>
    <row r="3777" ht="14.25" customHeight="1">
      <c r="A3777" s="9"/>
      <c r="B3777" s="9"/>
      <c r="C3777" s="9" t="s">
        <v>3157</v>
      </c>
      <c r="D3777" s="9" t="s">
        <v>3158</v>
      </c>
      <c r="E3777" s="9" t="s">
        <v>3151</v>
      </c>
      <c r="F3777" s="9" t="s">
        <v>1272</v>
      </c>
      <c r="H3777" s="9"/>
    </row>
    <row r="3778" ht="14.25" customHeight="1">
      <c r="A3778" s="9"/>
      <c r="B3778" s="9"/>
      <c r="C3778" s="9" t="s">
        <v>3157</v>
      </c>
      <c r="D3778" s="9" t="s">
        <v>3158</v>
      </c>
      <c r="E3778" s="9" t="s">
        <v>3151</v>
      </c>
      <c r="F3778" s="9" t="s">
        <v>420</v>
      </c>
      <c r="H3778" s="9"/>
    </row>
    <row r="3779" ht="14.25" customHeight="1">
      <c r="A3779" s="9"/>
      <c r="B3779" s="9"/>
      <c r="C3779" s="9" t="s">
        <v>3157</v>
      </c>
      <c r="D3779" s="9" t="s">
        <v>3158</v>
      </c>
      <c r="E3779" s="9" t="s">
        <v>3151</v>
      </c>
      <c r="F3779" s="9" t="s">
        <v>482</v>
      </c>
      <c r="H3779" s="9"/>
    </row>
    <row r="3780" ht="14.25" customHeight="1">
      <c r="A3780" s="9"/>
      <c r="B3780" s="9"/>
      <c r="C3780" s="9" t="s">
        <v>3157</v>
      </c>
      <c r="D3780" s="9" t="s">
        <v>3158</v>
      </c>
      <c r="E3780" s="9" t="s">
        <v>3151</v>
      </c>
      <c r="F3780" s="15" t="s">
        <v>136</v>
      </c>
      <c r="H3780" s="9"/>
    </row>
    <row r="3781" ht="14.25" customHeight="1">
      <c r="A3781" s="9"/>
      <c r="B3781" s="9"/>
      <c r="C3781" s="9" t="s">
        <v>3157</v>
      </c>
      <c r="D3781" s="9" t="s">
        <v>3158</v>
      </c>
      <c r="E3781" s="9" t="s">
        <v>3151</v>
      </c>
      <c r="F3781" s="9" t="s">
        <v>408</v>
      </c>
      <c r="H3781" s="9"/>
    </row>
    <row r="3782" ht="14.25" customHeight="1">
      <c r="A3782" s="9"/>
      <c r="B3782" s="9"/>
      <c r="C3782" s="9" t="s">
        <v>3157</v>
      </c>
      <c r="D3782" s="9" t="s">
        <v>3158</v>
      </c>
      <c r="E3782" s="9" t="s">
        <v>3151</v>
      </c>
      <c r="F3782" s="9" t="s">
        <v>2589</v>
      </c>
      <c r="H3782" s="9"/>
    </row>
    <row r="3783" ht="14.25" customHeight="1">
      <c r="A3783" s="9"/>
      <c r="B3783" s="9"/>
      <c r="C3783" s="9" t="s">
        <v>3157</v>
      </c>
      <c r="D3783" s="9" t="s">
        <v>3158</v>
      </c>
      <c r="E3783" s="9" t="s">
        <v>3151</v>
      </c>
      <c r="F3783" s="9" t="s">
        <v>197</v>
      </c>
      <c r="H3783" s="9"/>
    </row>
    <row r="3784" ht="14.25" customHeight="1">
      <c r="A3784" s="9"/>
      <c r="B3784" s="9"/>
      <c r="C3784" s="9" t="s">
        <v>3157</v>
      </c>
      <c r="D3784" s="9" t="s">
        <v>3158</v>
      </c>
      <c r="E3784" s="9" t="s">
        <v>3151</v>
      </c>
      <c r="F3784" s="9" t="s">
        <v>172</v>
      </c>
      <c r="H3784" s="9"/>
    </row>
    <row r="3785" ht="14.25" customHeight="1">
      <c r="A3785" s="9"/>
      <c r="B3785" s="9"/>
      <c r="C3785" s="9" t="s">
        <v>3157</v>
      </c>
      <c r="D3785" s="9" t="s">
        <v>3158</v>
      </c>
      <c r="E3785" s="9" t="s">
        <v>3151</v>
      </c>
      <c r="F3785" s="9" t="s">
        <v>98</v>
      </c>
      <c r="H3785" s="9"/>
    </row>
    <row r="3786" ht="14.25" customHeight="1">
      <c r="A3786" s="9"/>
      <c r="B3786" s="9"/>
      <c r="C3786" s="9" t="s">
        <v>3157</v>
      </c>
      <c r="D3786" s="9" t="s">
        <v>3158</v>
      </c>
      <c r="E3786" s="9" t="s">
        <v>3151</v>
      </c>
      <c r="F3786" s="9" t="s">
        <v>341</v>
      </c>
      <c r="H3786" s="9"/>
    </row>
    <row r="3787" ht="14.25" customHeight="1">
      <c r="A3787" s="9"/>
      <c r="B3787" s="9"/>
      <c r="C3787" s="9" t="s">
        <v>3157</v>
      </c>
      <c r="D3787" s="9" t="s">
        <v>3158</v>
      </c>
      <c r="E3787" s="9" t="s">
        <v>3151</v>
      </c>
      <c r="F3787" s="9" t="s">
        <v>367</v>
      </c>
      <c r="H3787" s="9"/>
    </row>
    <row r="3788" ht="14.25" customHeight="1">
      <c r="A3788" s="9"/>
      <c r="B3788" s="9"/>
      <c r="C3788" s="9" t="s">
        <v>3157</v>
      </c>
      <c r="D3788" s="9" t="s">
        <v>3158</v>
      </c>
      <c r="E3788" s="9" t="s">
        <v>3151</v>
      </c>
      <c r="F3788" s="9" t="s">
        <v>529</v>
      </c>
      <c r="H3788" s="9"/>
    </row>
    <row r="3789" ht="14.25" customHeight="1">
      <c r="A3789" s="9"/>
      <c r="B3789" s="9"/>
      <c r="C3789" s="9" t="s">
        <v>3157</v>
      </c>
      <c r="D3789" s="9" t="s">
        <v>3158</v>
      </c>
      <c r="E3789" s="9" t="s">
        <v>3151</v>
      </c>
      <c r="F3789" s="9" t="s">
        <v>282</v>
      </c>
      <c r="H3789" s="9"/>
    </row>
    <row r="3790" ht="14.25" customHeight="1">
      <c r="A3790" s="9"/>
      <c r="B3790" s="9"/>
      <c r="C3790" s="9" t="s">
        <v>3157</v>
      </c>
      <c r="D3790" s="9" t="s">
        <v>3158</v>
      </c>
      <c r="E3790" s="9" t="s">
        <v>3151</v>
      </c>
      <c r="F3790" s="9" t="s">
        <v>321</v>
      </c>
      <c r="H3790" s="9"/>
    </row>
    <row r="3791" ht="14.25" customHeight="1">
      <c r="A3791" s="9"/>
      <c r="B3791" s="9"/>
      <c r="C3791" s="9" t="s">
        <v>3157</v>
      </c>
      <c r="D3791" s="9" t="s">
        <v>3158</v>
      </c>
      <c r="E3791" s="9" t="s">
        <v>3151</v>
      </c>
      <c r="F3791" s="9" t="s">
        <v>272</v>
      </c>
      <c r="H3791" s="9"/>
    </row>
    <row r="3792" ht="14.25" customHeight="1">
      <c r="A3792" s="9"/>
      <c r="B3792" s="9"/>
      <c r="C3792" s="9" t="s">
        <v>3157</v>
      </c>
      <c r="D3792" s="9" t="s">
        <v>3158</v>
      </c>
      <c r="E3792" s="9" t="s">
        <v>3151</v>
      </c>
      <c r="F3792" s="9" t="s">
        <v>517</v>
      </c>
      <c r="H3792" s="9"/>
    </row>
    <row r="3793" ht="14.25" customHeight="1">
      <c r="A3793" s="9"/>
      <c r="B3793" s="9"/>
      <c r="C3793" s="9" t="s">
        <v>3157</v>
      </c>
      <c r="D3793" s="9" t="s">
        <v>3158</v>
      </c>
      <c r="E3793" s="9" t="s">
        <v>3151</v>
      </c>
      <c r="F3793" s="9" t="s">
        <v>2593</v>
      </c>
      <c r="H3793" s="9"/>
    </row>
    <row r="3794" ht="14.25" customHeight="1">
      <c r="A3794" s="9"/>
      <c r="B3794" s="9"/>
      <c r="C3794" s="9" t="s">
        <v>3157</v>
      </c>
      <c r="D3794" s="9" t="s">
        <v>3158</v>
      </c>
      <c r="E3794" s="9" t="s">
        <v>3151</v>
      </c>
      <c r="F3794" s="9" t="s">
        <v>507</v>
      </c>
      <c r="H3794" s="9"/>
    </row>
    <row r="3795" ht="14.25" customHeight="1">
      <c r="A3795" s="9"/>
      <c r="B3795" s="9"/>
      <c r="C3795" s="9" t="s">
        <v>3157</v>
      </c>
      <c r="D3795" s="9" t="s">
        <v>3158</v>
      </c>
      <c r="E3795" s="9" t="s">
        <v>3151</v>
      </c>
      <c r="F3795" s="9" t="s">
        <v>336</v>
      </c>
      <c r="H3795" s="9"/>
    </row>
    <row r="3796" ht="14.25" customHeight="1">
      <c r="A3796" s="9"/>
      <c r="B3796" s="9"/>
      <c r="C3796" s="9" t="s">
        <v>3157</v>
      </c>
      <c r="D3796" s="9" t="s">
        <v>3158</v>
      </c>
      <c r="E3796" s="9" t="s">
        <v>3151</v>
      </c>
      <c r="F3796" s="9" t="s">
        <v>235</v>
      </c>
      <c r="H3796" s="9"/>
    </row>
    <row r="3797" ht="14.25" customHeight="1">
      <c r="A3797" s="9"/>
      <c r="B3797" s="9"/>
      <c r="C3797" s="9" t="s">
        <v>3157</v>
      </c>
      <c r="D3797" s="9" t="s">
        <v>3158</v>
      </c>
      <c r="E3797" s="9" t="s">
        <v>3151</v>
      </c>
      <c r="F3797" s="9" t="s">
        <v>327</v>
      </c>
      <c r="H3797" s="9"/>
    </row>
    <row r="3798" ht="14.25" customHeight="1">
      <c r="A3798" s="9"/>
      <c r="B3798" s="9"/>
      <c r="C3798" s="9" t="s">
        <v>3157</v>
      </c>
      <c r="D3798" s="9" t="s">
        <v>3158</v>
      </c>
      <c r="E3798" s="9" t="s">
        <v>3151</v>
      </c>
      <c r="F3798" s="9" t="s">
        <v>264</v>
      </c>
      <c r="H3798" s="9"/>
    </row>
    <row r="3799" ht="14.25" customHeight="1">
      <c r="A3799" s="9"/>
      <c r="B3799" s="9"/>
      <c r="C3799" s="9" t="s">
        <v>3157</v>
      </c>
      <c r="D3799" s="9" t="s">
        <v>3159</v>
      </c>
      <c r="E3799" s="9" t="s">
        <v>3151</v>
      </c>
      <c r="F3799" s="9" t="s">
        <v>474</v>
      </c>
      <c r="H3799" s="9"/>
    </row>
    <row r="3800" ht="14.25" customHeight="1">
      <c r="A3800" s="9"/>
      <c r="B3800" s="9"/>
      <c r="C3800" s="9" t="s">
        <v>3157</v>
      </c>
      <c r="D3800" s="9" t="s">
        <v>3159</v>
      </c>
      <c r="E3800" s="9" t="s">
        <v>3151</v>
      </c>
      <c r="F3800" s="9" t="s">
        <v>284</v>
      </c>
      <c r="H3800" s="9"/>
    </row>
    <row r="3801" ht="14.25" customHeight="1">
      <c r="A3801" s="9"/>
      <c r="B3801" s="9"/>
      <c r="C3801" s="9" t="s">
        <v>3157</v>
      </c>
      <c r="D3801" s="9" t="s">
        <v>3159</v>
      </c>
      <c r="E3801" s="9" t="s">
        <v>3151</v>
      </c>
      <c r="F3801" s="9" t="s">
        <v>493</v>
      </c>
      <c r="H3801" s="9"/>
    </row>
    <row r="3802" ht="14.25" customHeight="1">
      <c r="A3802" s="9"/>
      <c r="B3802" s="9"/>
      <c r="C3802" s="9" t="s">
        <v>3157</v>
      </c>
      <c r="D3802" s="9" t="s">
        <v>3159</v>
      </c>
      <c r="E3802" s="9" t="s">
        <v>3151</v>
      </c>
      <c r="F3802" s="9" t="s">
        <v>450</v>
      </c>
      <c r="H3802" s="9"/>
    </row>
    <row r="3803" ht="14.25" customHeight="1">
      <c r="A3803" s="9"/>
      <c r="B3803" s="9"/>
      <c r="C3803" s="9" t="s">
        <v>3157</v>
      </c>
      <c r="D3803" s="9" t="s">
        <v>3159</v>
      </c>
      <c r="E3803" s="9" t="s">
        <v>3151</v>
      </c>
      <c r="F3803" s="9" t="s">
        <v>395</v>
      </c>
      <c r="H3803" s="9"/>
    </row>
    <row r="3804" ht="14.25" customHeight="1">
      <c r="A3804" s="9"/>
      <c r="B3804" s="9"/>
      <c r="C3804" s="9" t="s">
        <v>3157</v>
      </c>
      <c r="D3804" s="9" t="s">
        <v>3159</v>
      </c>
      <c r="E3804" s="9" t="s">
        <v>3151</v>
      </c>
      <c r="F3804" s="9" t="s">
        <v>276</v>
      </c>
      <c r="H3804" s="9"/>
    </row>
    <row r="3805" ht="14.25" customHeight="1">
      <c r="A3805" s="9"/>
      <c r="B3805" s="9"/>
      <c r="C3805" s="9" t="s">
        <v>3157</v>
      </c>
      <c r="D3805" s="9" t="s">
        <v>3159</v>
      </c>
      <c r="E3805" s="9" t="s">
        <v>3151</v>
      </c>
      <c r="F3805" s="9" t="s">
        <v>431</v>
      </c>
      <c r="H3805" s="9"/>
    </row>
    <row r="3806" ht="14.25" customHeight="1">
      <c r="A3806" s="9"/>
      <c r="B3806" s="9"/>
      <c r="C3806" s="9" t="s">
        <v>3157</v>
      </c>
      <c r="D3806" s="9" t="s">
        <v>3159</v>
      </c>
      <c r="E3806" s="9" t="s">
        <v>3151</v>
      </c>
      <c r="F3806" s="9" t="s">
        <v>1272</v>
      </c>
      <c r="H3806" s="9"/>
    </row>
    <row r="3807" ht="14.25" customHeight="1">
      <c r="A3807" s="9"/>
      <c r="B3807" s="9"/>
      <c r="C3807" s="9" t="s">
        <v>3157</v>
      </c>
      <c r="D3807" s="9" t="s">
        <v>3159</v>
      </c>
      <c r="E3807" s="9" t="s">
        <v>3151</v>
      </c>
      <c r="F3807" s="9" t="s">
        <v>420</v>
      </c>
      <c r="H3807" s="9"/>
    </row>
    <row r="3808" ht="14.25" customHeight="1">
      <c r="A3808" s="9"/>
      <c r="B3808" s="9"/>
      <c r="C3808" s="9" t="s">
        <v>3157</v>
      </c>
      <c r="D3808" s="9" t="s">
        <v>3159</v>
      </c>
      <c r="E3808" s="9" t="s">
        <v>3151</v>
      </c>
      <c r="F3808" s="9" t="s">
        <v>482</v>
      </c>
      <c r="H3808" s="9"/>
    </row>
    <row r="3809" ht="14.25" customHeight="1">
      <c r="A3809" s="9"/>
      <c r="B3809" s="9"/>
      <c r="C3809" s="9" t="s">
        <v>3157</v>
      </c>
      <c r="D3809" s="9" t="s">
        <v>3159</v>
      </c>
      <c r="E3809" s="9" t="s">
        <v>3151</v>
      </c>
      <c r="F3809" s="15" t="s">
        <v>136</v>
      </c>
      <c r="H3809" s="9"/>
    </row>
    <row r="3810" ht="14.25" customHeight="1">
      <c r="A3810" s="9"/>
      <c r="B3810" s="9"/>
      <c r="C3810" s="9" t="s">
        <v>3157</v>
      </c>
      <c r="D3810" s="9" t="s">
        <v>3159</v>
      </c>
      <c r="E3810" s="9" t="s">
        <v>3151</v>
      </c>
      <c r="F3810" s="9" t="s">
        <v>408</v>
      </c>
      <c r="H3810" s="9"/>
    </row>
    <row r="3811" ht="14.25" customHeight="1">
      <c r="A3811" s="9"/>
      <c r="B3811" s="9"/>
      <c r="C3811" s="9" t="s">
        <v>3157</v>
      </c>
      <c r="D3811" s="9" t="s">
        <v>3159</v>
      </c>
      <c r="E3811" s="9" t="s">
        <v>3151</v>
      </c>
      <c r="F3811" s="9" t="s">
        <v>2589</v>
      </c>
      <c r="H3811" s="9"/>
    </row>
    <row r="3812" ht="14.25" customHeight="1">
      <c r="A3812" s="9"/>
      <c r="B3812" s="9"/>
      <c r="C3812" s="9" t="s">
        <v>3157</v>
      </c>
      <c r="D3812" s="9" t="s">
        <v>3159</v>
      </c>
      <c r="E3812" s="9" t="s">
        <v>3151</v>
      </c>
      <c r="F3812" s="9" t="s">
        <v>197</v>
      </c>
      <c r="H3812" s="9"/>
    </row>
    <row r="3813" ht="14.25" customHeight="1">
      <c r="A3813" s="9"/>
      <c r="B3813" s="9"/>
      <c r="C3813" s="9" t="s">
        <v>3157</v>
      </c>
      <c r="D3813" s="9" t="s">
        <v>3159</v>
      </c>
      <c r="E3813" s="9" t="s">
        <v>3151</v>
      </c>
      <c r="F3813" s="9" t="s">
        <v>172</v>
      </c>
      <c r="H3813" s="9"/>
    </row>
    <row r="3814" ht="14.25" customHeight="1">
      <c r="A3814" s="9"/>
      <c r="B3814" s="9"/>
      <c r="C3814" s="9" t="s">
        <v>3157</v>
      </c>
      <c r="D3814" s="9" t="s">
        <v>3159</v>
      </c>
      <c r="E3814" s="9" t="s">
        <v>3151</v>
      </c>
      <c r="F3814" s="9" t="s">
        <v>98</v>
      </c>
      <c r="H3814" s="9"/>
    </row>
    <row r="3815" ht="14.25" customHeight="1">
      <c r="A3815" s="9"/>
      <c r="B3815" s="9"/>
      <c r="C3815" s="9" t="s">
        <v>3157</v>
      </c>
      <c r="D3815" s="9" t="s">
        <v>3159</v>
      </c>
      <c r="E3815" s="9" t="s">
        <v>3151</v>
      </c>
      <c r="F3815" s="9" t="s">
        <v>341</v>
      </c>
      <c r="H3815" s="9"/>
    </row>
    <row r="3816" ht="14.25" customHeight="1">
      <c r="A3816" s="9"/>
      <c r="B3816" s="9"/>
      <c r="C3816" s="9" t="s">
        <v>3157</v>
      </c>
      <c r="D3816" s="9" t="s">
        <v>3159</v>
      </c>
      <c r="E3816" s="9" t="s">
        <v>3151</v>
      </c>
      <c r="F3816" s="9" t="s">
        <v>367</v>
      </c>
      <c r="H3816" s="9"/>
    </row>
    <row r="3817" ht="14.25" customHeight="1">
      <c r="A3817" s="9"/>
      <c r="B3817" s="9"/>
      <c r="C3817" s="9" t="s">
        <v>3157</v>
      </c>
      <c r="D3817" s="9" t="s">
        <v>3159</v>
      </c>
      <c r="E3817" s="9" t="s">
        <v>3151</v>
      </c>
      <c r="F3817" s="9" t="s">
        <v>529</v>
      </c>
      <c r="H3817" s="9"/>
    </row>
    <row r="3818" ht="14.25" customHeight="1">
      <c r="A3818" s="9"/>
      <c r="B3818" s="9"/>
      <c r="C3818" s="9" t="s">
        <v>3157</v>
      </c>
      <c r="D3818" s="9" t="s">
        <v>3159</v>
      </c>
      <c r="E3818" s="9" t="s">
        <v>3151</v>
      </c>
      <c r="F3818" s="9" t="s">
        <v>282</v>
      </c>
      <c r="H3818" s="9"/>
    </row>
    <row r="3819" ht="14.25" customHeight="1">
      <c r="A3819" s="9"/>
      <c r="B3819" s="9"/>
      <c r="C3819" s="9" t="s">
        <v>3157</v>
      </c>
      <c r="D3819" s="9" t="s">
        <v>3159</v>
      </c>
      <c r="E3819" s="9" t="s">
        <v>3151</v>
      </c>
      <c r="F3819" s="9" t="s">
        <v>321</v>
      </c>
      <c r="H3819" s="9"/>
    </row>
    <row r="3820" ht="14.25" customHeight="1">
      <c r="A3820" s="9"/>
      <c r="B3820" s="9"/>
      <c r="C3820" s="9" t="s">
        <v>3157</v>
      </c>
      <c r="D3820" s="9" t="s">
        <v>3159</v>
      </c>
      <c r="E3820" s="9" t="s">
        <v>3151</v>
      </c>
      <c r="F3820" s="9" t="s">
        <v>272</v>
      </c>
      <c r="H3820" s="9"/>
    </row>
    <row r="3821" ht="14.25" customHeight="1">
      <c r="A3821" s="9"/>
      <c r="B3821" s="9"/>
      <c r="C3821" s="9" t="s">
        <v>3157</v>
      </c>
      <c r="D3821" s="9" t="s">
        <v>3159</v>
      </c>
      <c r="E3821" s="9" t="s">
        <v>3151</v>
      </c>
      <c r="F3821" s="9" t="s">
        <v>517</v>
      </c>
      <c r="H3821" s="9"/>
    </row>
    <row r="3822" ht="14.25" customHeight="1">
      <c r="A3822" s="9"/>
      <c r="B3822" s="9"/>
      <c r="C3822" s="9" t="s">
        <v>3157</v>
      </c>
      <c r="D3822" s="9" t="s">
        <v>3159</v>
      </c>
      <c r="E3822" s="9" t="s">
        <v>3151</v>
      </c>
      <c r="F3822" s="9" t="s">
        <v>2593</v>
      </c>
      <c r="H3822" s="9"/>
    </row>
    <row r="3823" ht="14.25" customHeight="1">
      <c r="A3823" s="9"/>
      <c r="B3823" s="9"/>
      <c r="C3823" s="9" t="s">
        <v>3157</v>
      </c>
      <c r="D3823" s="9" t="s">
        <v>3159</v>
      </c>
      <c r="E3823" s="9" t="s">
        <v>3151</v>
      </c>
      <c r="F3823" s="9" t="s">
        <v>507</v>
      </c>
      <c r="H3823" s="9"/>
    </row>
    <row r="3824" ht="14.25" customHeight="1">
      <c r="A3824" s="9"/>
      <c r="B3824" s="9"/>
      <c r="C3824" s="9" t="s">
        <v>3157</v>
      </c>
      <c r="D3824" s="9" t="s">
        <v>3159</v>
      </c>
      <c r="E3824" s="9" t="s">
        <v>3151</v>
      </c>
      <c r="F3824" s="9" t="s">
        <v>336</v>
      </c>
      <c r="H3824" s="9"/>
    </row>
    <row r="3825" ht="14.25" customHeight="1">
      <c r="A3825" s="9"/>
      <c r="B3825" s="9"/>
      <c r="C3825" s="9" t="s">
        <v>3157</v>
      </c>
      <c r="D3825" s="9" t="s">
        <v>3159</v>
      </c>
      <c r="E3825" s="9" t="s">
        <v>3151</v>
      </c>
      <c r="F3825" s="9" t="s">
        <v>235</v>
      </c>
      <c r="H3825" s="9"/>
    </row>
    <row r="3826" ht="14.25" customHeight="1">
      <c r="A3826" s="9"/>
      <c r="B3826" s="9"/>
      <c r="C3826" s="9" t="s">
        <v>3157</v>
      </c>
      <c r="D3826" s="9" t="s">
        <v>3159</v>
      </c>
      <c r="E3826" s="9" t="s">
        <v>3151</v>
      </c>
      <c r="F3826" s="9" t="s">
        <v>327</v>
      </c>
      <c r="H3826" s="9"/>
    </row>
    <row r="3827" ht="14.25" customHeight="1">
      <c r="A3827" s="9"/>
      <c r="B3827" s="9"/>
      <c r="C3827" s="9" t="s">
        <v>3157</v>
      </c>
      <c r="D3827" s="9" t="s">
        <v>3159</v>
      </c>
      <c r="E3827" s="9" t="s">
        <v>3151</v>
      </c>
      <c r="F3827" s="9" t="s">
        <v>264</v>
      </c>
      <c r="H3827" s="9"/>
    </row>
    <row r="3828" ht="14.25" customHeight="1">
      <c r="A3828" s="9"/>
      <c r="B3828" s="9"/>
      <c r="C3828" s="200" t="s">
        <v>3157</v>
      </c>
      <c r="D3828" s="208" t="s">
        <v>3160</v>
      </c>
      <c r="E3828" s="200" t="s">
        <v>3151</v>
      </c>
      <c r="F3828" s="9" t="s">
        <v>474</v>
      </c>
      <c r="H3828" s="9"/>
    </row>
    <row r="3829" ht="14.25" customHeight="1">
      <c r="A3829" s="9"/>
      <c r="B3829" s="9"/>
      <c r="C3829" s="200" t="s">
        <v>3157</v>
      </c>
      <c r="D3829" s="208" t="s">
        <v>3160</v>
      </c>
      <c r="E3829" s="200" t="s">
        <v>3151</v>
      </c>
      <c r="F3829" s="9" t="s">
        <v>284</v>
      </c>
      <c r="H3829" s="9"/>
    </row>
    <row r="3830" ht="14.25" customHeight="1">
      <c r="A3830" s="9"/>
      <c r="B3830" s="9"/>
      <c r="C3830" s="200" t="s">
        <v>3157</v>
      </c>
      <c r="D3830" s="208" t="s">
        <v>3160</v>
      </c>
      <c r="E3830" s="200" t="s">
        <v>3151</v>
      </c>
      <c r="F3830" s="9" t="s">
        <v>493</v>
      </c>
      <c r="H3830" s="9"/>
    </row>
    <row r="3831" ht="14.25" customHeight="1">
      <c r="A3831" s="9"/>
      <c r="B3831" s="9"/>
      <c r="C3831" s="200" t="s">
        <v>3157</v>
      </c>
      <c r="D3831" s="208" t="s">
        <v>3160</v>
      </c>
      <c r="E3831" s="200" t="s">
        <v>3151</v>
      </c>
      <c r="F3831" s="9" t="s">
        <v>450</v>
      </c>
      <c r="H3831" s="9"/>
    </row>
    <row r="3832" ht="14.25" customHeight="1">
      <c r="A3832" s="9"/>
      <c r="B3832" s="9"/>
      <c r="C3832" s="200" t="s">
        <v>3157</v>
      </c>
      <c r="D3832" s="208" t="s">
        <v>3160</v>
      </c>
      <c r="E3832" s="200" t="s">
        <v>3151</v>
      </c>
      <c r="F3832" s="9" t="s">
        <v>2296</v>
      </c>
      <c r="H3832" s="9"/>
    </row>
    <row r="3833" ht="14.25" customHeight="1">
      <c r="A3833" s="9"/>
      <c r="B3833" s="9"/>
      <c r="C3833" s="200" t="s">
        <v>3157</v>
      </c>
      <c r="D3833" s="208" t="s">
        <v>3160</v>
      </c>
      <c r="E3833" s="200" t="s">
        <v>3151</v>
      </c>
      <c r="F3833" s="9" t="s">
        <v>276</v>
      </c>
      <c r="H3833" s="9"/>
    </row>
    <row r="3834" ht="14.25" customHeight="1">
      <c r="A3834" s="9"/>
      <c r="B3834" s="9"/>
      <c r="C3834" s="200" t="s">
        <v>3157</v>
      </c>
      <c r="D3834" s="208" t="s">
        <v>3160</v>
      </c>
      <c r="E3834" s="200" t="s">
        <v>3151</v>
      </c>
      <c r="F3834" s="9" t="s">
        <v>431</v>
      </c>
      <c r="H3834" s="9"/>
    </row>
    <row r="3835" ht="14.25" customHeight="1">
      <c r="A3835" s="9"/>
      <c r="B3835" s="9"/>
      <c r="C3835" s="200" t="s">
        <v>3157</v>
      </c>
      <c r="D3835" s="208" t="s">
        <v>3160</v>
      </c>
      <c r="E3835" s="200" t="s">
        <v>3151</v>
      </c>
      <c r="F3835" s="9" t="s">
        <v>1272</v>
      </c>
      <c r="H3835" s="9"/>
    </row>
    <row r="3836" ht="14.25" customHeight="1">
      <c r="A3836" s="9"/>
      <c r="B3836" s="9"/>
      <c r="C3836" s="200" t="s">
        <v>3157</v>
      </c>
      <c r="D3836" s="208" t="s">
        <v>3160</v>
      </c>
      <c r="E3836" s="200" t="s">
        <v>3151</v>
      </c>
      <c r="F3836" s="9" t="s">
        <v>420</v>
      </c>
      <c r="H3836" s="9"/>
    </row>
    <row r="3837" ht="14.25" customHeight="1">
      <c r="A3837" s="9"/>
      <c r="B3837" s="9"/>
      <c r="C3837" s="200" t="s">
        <v>3157</v>
      </c>
      <c r="D3837" s="208" t="s">
        <v>3160</v>
      </c>
      <c r="E3837" s="200" t="s">
        <v>3151</v>
      </c>
      <c r="F3837" s="9" t="s">
        <v>482</v>
      </c>
      <c r="H3837" s="9"/>
    </row>
    <row r="3838" ht="14.25" customHeight="1">
      <c r="A3838" s="9"/>
      <c r="B3838" s="9"/>
      <c r="C3838" s="200" t="s">
        <v>3157</v>
      </c>
      <c r="D3838" s="208" t="s">
        <v>3160</v>
      </c>
      <c r="E3838" s="200" t="s">
        <v>3151</v>
      </c>
      <c r="F3838" s="15" t="s">
        <v>136</v>
      </c>
      <c r="H3838" s="9"/>
    </row>
    <row r="3839" ht="14.25" customHeight="1">
      <c r="A3839" s="9"/>
      <c r="B3839" s="9"/>
      <c r="C3839" s="200" t="s">
        <v>3157</v>
      </c>
      <c r="D3839" s="208" t="s">
        <v>3160</v>
      </c>
      <c r="E3839" s="200" t="s">
        <v>3151</v>
      </c>
      <c r="F3839" s="9" t="s">
        <v>408</v>
      </c>
      <c r="H3839" s="9"/>
    </row>
    <row r="3840" ht="14.25" customHeight="1">
      <c r="A3840" s="9"/>
      <c r="B3840" s="9"/>
      <c r="C3840" s="200" t="s">
        <v>3157</v>
      </c>
      <c r="D3840" s="208" t="s">
        <v>3160</v>
      </c>
      <c r="E3840" s="200" t="s">
        <v>3151</v>
      </c>
      <c r="F3840" s="9" t="s">
        <v>2301</v>
      </c>
      <c r="H3840" s="9"/>
    </row>
    <row r="3841" ht="14.25" customHeight="1">
      <c r="A3841" s="9"/>
      <c r="B3841" s="9"/>
      <c r="C3841" s="200" t="s">
        <v>3157</v>
      </c>
      <c r="D3841" s="208" t="s">
        <v>3160</v>
      </c>
      <c r="E3841" s="200" t="s">
        <v>3151</v>
      </c>
      <c r="F3841" s="9" t="s">
        <v>197</v>
      </c>
      <c r="H3841" s="9"/>
    </row>
    <row r="3842" ht="14.25" customHeight="1">
      <c r="A3842" s="9"/>
      <c r="B3842" s="9"/>
      <c r="C3842" s="200" t="s">
        <v>3157</v>
      </c>
      <c r="D3842" s="208" t="s">
        <v>3160</v>
      </c>
      <c r="E3842" s="200" t="s">
        <v>3151</v>
      </c>
      <c r="F3842" s="9" t="s">
        <v>172</v>
      </c>
      <c r="H3842" s="9"/>
    </row>
    <row r="3843" ht="14.25" customHeight="1">
      <c r="A3843" s="9"/>
      <c r="B3843" s="9"/>
      <c r="C3843" s="200" t="s">
        <v>3157</v>
      </c>
      <c r="D3843" s="208" t="s">
        <v>3160</v>
      </c>
      <c r="E3843" s="200" t="s">
        <v>3151</v>
      </c>
      <c r="F3843" s="9" t="s">
        <v>98</v>
      </c>
      <c r="H3843" s="9"/>
    </row>
    <row r="3844" ht="14.25" customHeight="1">
      <c r="A3844" s="9"/>
      <c r="B3844" s="9"/>
      <c r="C3844" s="200" t="s">
        <v>3157</v>
      </c>
      <c r="D3844" s="208" t="s">
        <v>3160</v>
      </c>
      <c r="E3844" s="200" t="s">
        <v>3151</v>
      </c>
      <c r="F3844" s="9" t="s">
        <v>341</v>
      </c>
      <c r="H3844" s="9"/>
    </row>
    <row r="3845" ht="14.25" customHeight="1">
      <c r="A3845" s="9"/>
      <c r="B3845" s="9"/>
      <c r="C3845" s="200" t="s">
        <v>3157</v>
      </c>
      <c r="D3845" s="208" t="s">
        <v>3160</v>
      </c>
      <c r="E3845" s="200" t="s">
        <v>3151</v>
      </c>
      <c r="F3845" s="9" t="s">
        <v>367</v>
      </c>
      <c r="H3845" s="9"/>
    </row>
    <row r="3846" ht="14.25" customHeight="1">
      <c r="A3846" s="9"/>
      <c r="B3846" s="9"/>
      <c r="C3846" s="200" t="s">
        <v>3157</v>
      </c>
      <c r="D3846" s="208" t="s">
        <v>3160</v>
      </c>
      <c r="E3846" s="200" t="s">
        <v>3151</v>
      </c>
      <c r="F3846" s="9" t="s">
        <v>529</v>
      </c>
      <c r="H3846" s="9"/>
    </row>
    <row r="3847" ht="14.25" customHeight="1">
      <c r="A3847" s="9"/>
      <c r="B3847" s="9"/>
      <c r="C3847" s="200" t="s">
        <v>3157</v>
      </c>
      <c r="D3847" s="208" t="s">
        <v>3160</v>
      </c>
      <c r="E3847" s="200" t="s">
        <v>3151</v>
      </c>
      <c r="F3847" s="9" t="s">
        <v>282</v>
      </c>
      <c r="H3847" s="9"/>
    </row>
    <row r="3848" ht="14.25" customHeight="1">
      <c r="A3848" s="9"/>
      <c r="B3848" s="9"/>
      <c r="C3848" s="200" t="s">
        <v>3157</v>
      </c>
      <c r="D3848" s="208" t="s">
        <v>3160</v>
      </c>
      <c r="E3848" s="200" t="s">
        <v>3151</v>
      </c>
      <c r="F3848" s="9" t="s">
        <v>321</v>
      </c>
      <c r="H3848" s="9"/>
    </row>
    <row r="3849" ht="14.25" customHeight="1">
      <c r="A3849" s="9"/>
      <c r="B3849" s="9"/>
      <c r="C3849" s="200" t="s">
        <v>3157</v>
      </c>
      <c r="D3849" s="208" t="s">
        <v>3160</v>
      </c>
      <c r="E3849" s="200" t="s">
        <v>3151</v>
      </c>
      <c r="F3849" s="9" t="s">
        <v>272</v>
      </c>
      <c r="H3849" s="9"/>
    </row>
    <row r="3850" ht="14.25" customHeight="1">
      <c r="A3850" s="9"/>
      <c r="B3850" s="9"/>
      <c r="C3850" s="200" t="s">
        <v>3157</v>
      </c>
      <c r="D3850" s="208" t="s">
        <v>3160</v>
      </c>
      <c r="E3850" s="200" t="s">
        <v>3151</v>
      </c>
      <c r="F3850" s="9" t="s">
        <v>517</v>
      </c>
      <c r="H3850" s="9"/>
    </row>
    <row r="3851" ht="14.25" customHeight="1">
      <c r="A3851" s="9"/>
      <c r="B3851" s="9"/>
      <c r="C3851" s="200" t="s">
        <v>3157</v>
      </c>
      <c r="D3851" s="208" t="s">
        <v>3160</v>
      </c>
      <c r="E3851" s="200" t="s">
        <v>3151</v>
      </c>
      <c r="F3851" s="9" t="s">
        <v>2309</v>
      </c>
      <c r="H3851" s="9"/>
    </row>
    <row r="3852" ht="14.25" customHeight="1">
      <c r="A3852" s="9"/>
      <c r="B3852" s="9"/>
      <c r="C3852" s="200" t="s">
        <v>3157</v>
      </c>
      <c r="D3852" s="208" t="s">
        <v>3160</v>
      </c>
      <c r="E3852" s="200" t="s">
        <v>3151</v>
      </c>
      <c r="F3852" s="9" t="s">
        <v>507</v>
      </c>
      <c r="H3852" s="9"/>
    </row>
    <row r="3853" ht="14.25" customHeight="1">
      <c r="A3853" s="9"/>
      <c r="B3853" s="9"/>
      <c r="C3853" s="200" t="s">
        <v>3157</v>
      </c>
      <c r="D3853" s="208" t="s">
        <v>3160</v>
      </c>
      <c r="E3853" s="200" t="s">
        <v>3151</v>
      </c>
      <c r="F3853" s="9" t="s">
        <v>336</v>
      </c>
      <c r="H3853" s="9"/>
    </row>
    <row r="3854" ht="14.25" customHeight="1">
      <c r="A3854" s="9"/>
      <c r="B3854" s="9"/>
      <c r="C3854" s="200" t="s">
        <v>3157</v>
      </c>
      <c r="D3854" s="208" t="s">
        <v>3160</v>
      </c>
      <c r="E3854" s="200" t="s">
        <v>3151</v>
      </c>
      <c r="F3854" s="9" t="s">
        <v>235</v>
      </c>
      <c r="H3854" s="9"/>
    </row>
    <row r="3855" ht="14.25" customHeight="1">
      <c r="A3855" s="9"/>
      <c r="B3855" s="9"/>
      <c r="C3855" s="200" t="s">
        <v>3157</v>
      </c>
      <c r="D3855" s="208" t="s">
        <v>3160</v>
      </c>
      <c r="E3855" s="200" t="s">
        <v>3151</v>
      </c>
      <c r="F3855" s="9" t="s">
        <v>327</v>
      </c>
      <c r="H3855" s="9"/>
    </row>
    <row r="3856" ht="14.25" customHeight="1">
      <c r="A3856" s="9"/>
      <c r="B3856" s="9"/>
      <c r="C3856" s="200" t="s">
        <v>3157</v>
      </c>
      <c r="D3856" s="208" t="s">
        <v>3160</v>
      </c>
      <c r="E3856" s="200" t="s">
        <v>3151</v>
      </c>
      <c r="F3856" s="9" t="s">
        <v>264</v>
      </c>
      <c r="H3856" s="9"/>
    </row>
    <row r="3857" ht="14.25" customHeight="1">
      <c r="A3857" s="9"/>
      <c r="B3857" s="9"/>
      <c r="C3857" s="200" t="s">
        <v>3157</v>
      </c>
      <c r="D3857" s="208" t="s">
        <v>3161</v>
      </c>
      <c r="E3857" s="200" t="s">
        <v>3151</v>
      </c>
      <c r="F3857" s="9" t="s">
        <v>474</v>
      </c>
      <c r="H3857" s="9"/>
    </row>
    <row r="3858" ht="14.25" customHeight="1">
      <c r="A3858" s="9"/>
      <c r="B3858" s="9"/>
      <c r="C3858" s="200" t="s">
        <v>3157</v>
      </c>
      <c r="D3858" s="208" t="s">
        <v>3161</v>
      </c>
      <c r="E3858" s="200" t="s">
        <v>3151</v>
      </c>
      <c r="F3858" s="9" t="s">
        <v>284</v>
      </c>
      <c r="H3858" s="9"/>
    </row>
    <row r="3859" ht="14.25" customHeight="1">
      <c r="A3859" s="9"/>
      <c r="B3859" s="9"/>
      <c r="C3859" s="200" t="s">
        <v>3157</v>
      </c>
      <c r="D3859" s="208" t="s">
        <v>3161</v>
      </c>
      <c r="E3859" s="200" t="s">
        <v>3151</v>
      </c>
      <c r="F3859" s="9" t="s">
        <v>493</v>
      </c>
      <c r="H3859" s="9"/>
    </row>
    <row r="3860" ht="14.25" customHeight="1">
      <c r="A3860" s="9"/>
      <c r="B3860" s="9"/>
      <c r="C3860" s="200" t="s">
        <v>3157</v>
      </c>
      <c r="D3860" s="208" t="s">
        <v>3161</v>
      </c>
      <c r="E3860" s="200" t="s">
        <v>3151</v>
      </c>
      <c r="F3860" s="9" t="s">
        <v>450</v>
      </c>
      <c r="H3860" s="9"/>
    </row>
    <row r="3861" ht="14.25" customHeight="1">
      <c r="A3861" s="9"/>
      <c r="B3861" s="9"/>
      <c r="C3861" s="200" t="s">
        <v>3157</v>
      </c>
      <c r="D3861" s="208" t="s">
        <v>3161</v>
      </c>
      <c r="E3861" s="200" t="s">
        <v>3151</v>
      </c>
      <c r="F3861" s="9" t="s">
        <v>2296</v>
      </c>
      <c r="H3861" s="9"/>
    </row>
    <row r="3862" ht="14.25" customHeight="1">
      <c r="A3862" s="9"/>
      <c r="B3862" s="9"/>
      <c r="C3862" s="200" t="s">
        <v>3157</v>
      </c>
      <c r="D3862" s="208" t="s">
        <v>3161</v>
      </c>
      <c r="E3862" s="200" t="s">
        <v>3151</v>
      </c>
      <c r="F3862" s="9" t="s">
        <v>276</v>
      </c>
      <c r="H3862" s="9"/>
    </row>
    <row r="3863" ht="14.25" customHeight="1">
      <c r="A3863" s="9"/>
      <c r="B3863" s="9"/>
      <c r="C3863" s="200" t="s">
        <v>3157</v>
      </c>
      <c r="D3863" s="208" t="s">
        <v>3161</v>
      </c>
      <c r="E3863" s="200" t="s">
        <v>3151</v>
      </c>
      <c r="F3863" s="9" t="s">
        <v>431</v>
      </c>
      <c r="H3863" s="9"/>
    </row>
    <row r="3864" ht="14.25" customHeight="1">
      <c r="A3864" s="9"/>
      <c r="B3864" s="9"/>
      <c r="C3864" s="200" t="s">
        <v>3157</v>
      </c>
      <c r="D3864" s="208" t="s">
        <v>3161</v>
      </c>
      <c r="E3864" s="200" t="s">
        <v>3151</v>
      </c>
      <c r="F3864" s="9" t="s">
        <v>1272</v>
      </c>
      <c r="H3864" s="9"/>
    </row>
    <row r="3865" ht="14.25" customHeight="1">
      <c r="A3865" s="9"/>
      <c r="B3865" s="9"/>
      <c r="C3865" s="200" t="s">
        <v>3157</v>
      </c>
      <c r="D3865" s="208" t="s">
        <v>3161</v>
      </c>
      <c r="E3865" s="200" t="s">
        <v>3151</v>
      </c>
      <c r="F3865" s="9" t="s">
        <v>420</v>
      </c>
      <c r="H3865" s="9"/>
    </row>
    <row r="3866" ht="14.25" customHeight="1">
      <c r="A3866" s="9"/>
      <c r="B3866" s="9"/>
      <c r="C3866" s="200" t="s">
        <v>3157</v>
      </c>
      <c r="D3866" s="208" t="s">
        <v>3161</v>
      </c>
      <c r="E3866" s="200" t="s">
        <v>3151</v>
      </c>
      <c r="F3866" s="9" t="s">
        <v>482</v>
      </c>
      <c r="H3866" s="9"/>
    </row>
    <row r="3867" ht="14.25" customHeight="1">
      <c r="A3867" s="9"/>
      <c r="B3867" s="9"/>
      <c r="C3867" s="200" t="s">
        <v>3157</v>
      </c>
      <c r="D3867" s="208" t="s">
        <v>3161</v>
      </c>
      <c r="E3867" s="200" t="s">
        <v>3151</v>
      </c>
      <c r="F3867" s="15" t="s">
        <v>136</v>
      </c>
      <c r="H3867" s="9"/>
    </row>
    <row r="3868" ht="14.25" customHeight="1">
      <c r="A3868" s="9"/>
      <c r="B3868" s="9"/>
      <c r="C3868" s="200" t="s">
        <v>3157</v>
      </c>
      <c r="D3868" s="208" t="s">
        <v>3161</v>
      </c>
      <c r="E3868" s="200" t="s">
        <v>3151</v>
      </c>
      <c r="F3868" s="9" t="s">
        <v>408</v>
      </c>
      <c r="H3868" s="9"/>
    </row>
    <row r="3869" ht="14.25" customHeight="1">
      <c r="A3869" s="9"/>
      <c r="B3869" s="9"/>
      <c r="C3869" s="200" t="s">
        <v>3157</v>
      </c>
      <c r="D3869" s="208" t="s">
        <v>3161</v>
      </c>
      <c r="E3869" s="200" t="s">
        <v>3151</v>
      </c>
      <c r="F3869" s="9" t="s">
        <v>2301</v>
      </c>
      <c r="H3869" s="9"/>
    </row>
    <row r="3870" ht="14.25" customHeight="1">
      <c r="A3870" s="9"/>
      <c r="B3870" s="9"/>
      <c r="C3870" s="200" t="s">
        <v>3157</v>
      </c>
      <c r="D3870" s="208" t="s">
        <v>3161</v>
      </c>
      <c r="E3870" s="200" t="s">
        <v>3151</v>
      </c>
      <c r="F3870" s="9" t="s">
        <v>197</v>
      </c>
      <c r="H3870" s="9"/>
    </row>
    <row r="3871" ht="14.25" customHeight="1">
      <c r="A3871" s="9"/>
      <c r="B3871" s="9"/>
      <c r="C3871" s="200" t="s">
        <v>3157</v>
      </c>
      <c r="D3871" s="208" t="s">
        <v>3161</v>
      </c>
      <c r="E3871" s="200" t="s">
        <v>3151</v>
      </c>
      <c r="F3871" s="9" t="s">
        <v>172</v>
      </c>
      <c r="H3871" s="9"/>
    </row>
    <row r="3872" ht="14.25" customHeight="1">
      <c r="A3872" s="9"/>
      <c r="B3872" s="9"/>
      <c r="C3872" s="200" t="s">
        <v>3157</v>
      </c>
      <c r="D3872" s="208" t="s">
        <v>3161</v>
      </c>
      <c r="E3872" s="200" t="s">
        <v>3151</v>
      </c>
      <c r="F3872" s="9" t="s">
        <v>98</v>
      </c>
      <c r="H3872" s="9"/>
    </row>
    <row r="3873" ht="14.25" customHeight="1">
      <c r="A3873" s="9"/>
      <c r="B3873" s="9"/>
      <c r="C3873" s="200" t="s">
        <v>3157</v>
      </c>
      <c r="D3873" s="208" t="s">
        <v>3161</v>
      </c>
      <c r="E3873" s="200" t="s">
        <v>3151</v>
      </c>
      <c r="F3873" s="9" t="s">
        <v>341</v>
      </c>
      <c r="H3873" s="9"/>
    </row>
    <row r="3874" ht="14.25" customHeight="1">
      <c r="A3874" s="9"/>
      <c r="B3874" s="9"/>
      <c r="C3874" s="200" t="s">
        <v>3157</v>
      </c>
      <c r="D3874" s="208" t="s">
        <v>3161</v>
      </c>
      <c r="E3874" s="200" t="s">
        <v>3151</v>
      </c>
      <c r="F3874" s="9" t="s">
        <v>367</v>
      </c>
      <c r="H3874" s="9"/>
    </row>
    <row r="3875" ht="14.25" customHeight="1">
      <c r="A3875" s="9"/>
      <c r="B3875" s="9"/>
      <c r="C3875" s="200" t="s">
        <v>3157</v>
      </c>
      <c r="D3875" s="208" t="s">
        <v>3161</v>
      </c>
      <c r="E3875" s="200" t="s">
        <v>3151</v>
      </c>
      <c r="F3875" s="9" t="s">
        <v>529</v>
      </c>
      <c r="H3875" s="9"/>
    </row>
    <row r="3876" ht="14.25" customHeight="1">
      <c r="A3876" s="9"/>
      <c r="B3876" s="9"/>
      <c r="C3876" s="200" t="s">
        <v>3157</v>
      </c>
      <c r="D3876" s="208" t="s">
        <v>3161</v>
      </c>
      <c r="E3876" s="200" t="s">
        <v>3151</v>
      </c>
      <c r="F3876" s="9" t="s">
        <v>282</v>
      </c>
      <c r="H3876" s="9"/>
    </row>
    <row r="3877" ht="14.25" customHeight="1">
      <c r="A3877" s="9"/>
      <c r="B3877" s="9"/>
      <c r="C3877" s="200" t="s">
        <v>3157</v>
      </c>
      <c r="D3877" s="208" t="s">
        <v>3161</v>
      </c>
      <c r="E3877" s="200" t="s">
        <v>3151</v>
      </c>
      <c r="F3877" s="9" t="s">
        <v>321</v>
      </c>
      <c r="H3877" s="9"/>
    </row>
    <row r="3878" ht="14.25" customHeight="1">
      <c r="A3878" s="9"/>
      <c r="B3878" s="9"/>
      <c r="C3878" s="200" t="s">
        <v>3157</v>
      </c>
      <c r="D3878" s="208" t="s">
        <v>3161</v>
      </c>
      <c r="E3878" s="200" t="s">
        <v>3151</v>
      </c>
      <c r="F3878" s="9" t="s">
        <v>272</v>
      </c>
      <c r="H3878" s="9"/>
    </row>
    <row r="3879" ht="14.25" customHeight="1">
      <c r="A3879" s="9"/>
      <c r="B3879" s="9"/>
      <c r="C3879" s="200" t="s">
        <v>3157</v>
      </c>
      <c r="D3879" s="208" t="s">
        <v>3161</v>
      </c>
      <c r="E3879" s="200" t="s">
        <v>3151</v>
      </c>
      <c r="F3879" s="9" t="s">
        <v>517</v>
      </c>
      <c r="H3879" s="9"/>
    </row>
    <row r="3880" ht="14.25" customHeight="1">
      <c r="A3880" s="9"/>
      <c r="B3880" s="9"/>
      <c r="C3880" s="200" t="s">
        <v>3157</v>
      </c>
      <c r="D3880" s="208" t="s">
        <v>3161</v>
      </c>
      <c r="E3880" s="200" t="s">
        <v>3151</v>
      </c>
      <c r="F3880" s="9" t="s">
        <v>2309</v>
      </c>
      <c r="H3880" s="9"/>
    </row>
    <row r="3881" ht="14.25" customHeight="1">
      <c r="A3881" s="9"/>
      <c r="B3881" s="9"/>
      <c r="C3881" s="200" t="s">
        <v>3157</v>
      </c>
      <c r="D3881" s="208" t="s">
        <v>3161</v>
      </c>
      <c r="E3881" s="200" t="s">
        <v>3151</v>
      </c>
      <c r="F3881" s="9" t="s">
        <v>507</v>
      </c>
      <c r="H3881" s="9"/>
    </row>
    <row r="3882" ht="14.25" customHeight="1">
      <c r="A3882" s="9"/>
      <c r="B3882" s="9"/>
      <c r="C3882" s="200" t="s">
        <v>3157</v>
      </c>
      <c r="D3882" s="208" t="s">
        <v>3161</v>
      </c>
      <c r="E3882" s="200" t="s">
        <v>3151</v>
      </c>
      <c r="F3882" s="9" t="s">
        <v>336</v>
      </c>
      <c r="H3882" s="9"/>
    </row>
    <row r="3883" ht="14.25" customHeight="1">
      <c r="A3883" s="9"/>
      <c r="B3883" s="9"/>
      <c r="C3883" s="200" t="s">
        <v>3157</v>
      </c>
      <c r="D3883" s="208" t="s">
        <v>3161</v>
      </c>
      <c r="E3883" s="200" t="s">
        <v>3151</v>
      </c>
      <c r="F3883" s="9" t="s">
        <v>235</v>
      </c>
      <c r="H3883" s="9"/>
    </row>
    <row r="3884" ht="14.25" customHeight="1">
      <c r="A3884" s="9"/>
      <c r="B3884" s="9"/>
      <c r="C3884" s="200" t="s">
        <v>3157</v>
      </c>
      <c r="D3884" s="208" t="s">
        <v>3161</v>
      </c>
      <c r="E3884" s="200" t="s">
        <v>3151</v>
      </c>
      <c r="F3884" s="9" t="s">
        <v>327</v>
      </c>
      <c r="H3884" s="9"/>
    </row>
    <row r="3885" ht="14.25" customHeight="1">
      <c r="A3885" s="9"/>
      <c r="B3885" s="9"/>
      <c r="C3885" s="200" t="s">
        <v>3157</v>
      </c>
      <c r="D3885" s="208" t="s">
        <v>3161</v>
      </c>
      <c r="E3885" s="200" t="s">
        <v>3151</v>
      </c>
      <c r="F3885" s="9" t="s">
        <v>264</v>
      </c>
      <c r="H3885" s="9"/>
    </row>
    <row r="3886" ht="14.25" customHeight="1">
      <c r="A3886" s="9"/>
      <c r="B3886" s="9"/>
      <c r="C3886" s="199" t="s">
        <v>3157</v>
      </c>
      <c r="D3886" s="199" t="s">
        <v>3162</v>
      </c>
      <c r="E3886" s="200" t="s">
        <v>3151</v>
      </c>
      <c r="F3886" s="9" t="s">
        <v>474</v>
      </c>
      <c r="H3886" s="9"/>
    </row>
    <row r="3887" ht="14.25" customHeight="1">
      <c r="A3887" s="9"/>
      <c r="B3887" s="9"/>
      <c r="C3887" s="199" t="s">
        <v>3157</v>
      </c>
      <c r="D3887" s="199" t="s">
        <v>3162</v>
      </c>
      <c r="E3887" s="200" t="s">
        <v>3151</v>
      </c>
      <c r="F3887" s="9" t="s">
        <v>284</v>
      </c>
      <c r="H3887" s="9"/>
    </row>
    <row r="3888" ht="14.25" customHeight="1">
      <c r="A3888" s="9"/>
      <c r="B3888" s="9"/>
      <c r="C3888" s="199" t="s">
        <v>3157</v>
      </c>
      <c r="D3888" s="199" t="s">
        <v>3162</v>
      </c>
      <c r="E3888" s="200" t="s">
        <v>3151</v>
      </c>
      <c r="F3888" s="9" t="s">
        <v>493</v>
      </c>
      <c r="H3888" s="9"/>
    </row>
    <row r="3889" ht="14.25" customHeight="1">
      <c r="A3889" s="9"/>
      <c r="B3889" s="9"/>
      <c r="C3889" s="199" t="s">
        <v>3157</v>
      </c>
      <c r="D3889" s="199" t="s">
        <v>3162</v>
      </c>
      <c r="E3889" s="200" t="s">
        <v>3151</v>
      </c>
      <c r="F3889" s="9" t="s">
        <v>450</v>
      </c>
      <c r="H3889" s="9"/>
    </row>
    <row r="3890" ht="14.25" customHeight="1">
      <c r="A3890" s="9"/>
      <c r="B3890" s="9"/>
      <c r="C3890" s="199" t="s">
        <v>3157</v>
      </c>
      <c r="D3890" s="199" t="s">
        <v>3162</v>
      </c>
      <c r="E3890" s="200" t="s">
        <v>3151</v>
      </c>
      <c r="F3890" s="9" t="s">
        <v>2296</v>
      </c>
      <c r="H3890" s="9"/>
    </row>
    <row r="3891" ht="14.25" customHeight="1">
      <c r="A3891" s="9"/>
      <c r="B3891" s="9"/>
      <c r="C3891" s="199" t="s">
        <v>3157</v>
      </c>
      <c r="D3891" s="199" t="s">
        <v>3162</v>
      </c>
      <c r="E3891" s="200" t="s">
        <v>3151</v>
      </c>
      <c r="F3891" s="9" t="s">
        <v>276</v>
      </c>
      <c r="H3891" s="9"/>
    </row>
    <row r="3892" ht="14.25" customHeight="1">
      <c r="A3892" s="9"/>
      <c r="B3892" s="9"/>
      <c r="C3892" s="199" t="s">
        <v>3157</v>
      </c>
      <c r="D3892" s="199" t="s">
        <v>3162</v>
      </c>
      <c r="E3892" s="200" t="s">
        <v>3151</v>
      </c>
      <c r="F3892" s="9" t="s">
        <v>431</v>
      </c>
      <c r="H3892" s="9"/>
    </row>
    <row r="3893" ht="14.25" customHeight="1">
      <c r="A3893" s="9"/>
      <c r="B3893" s="9"/>
      <c r="C3893" s="199" t="s">
        <v>3157</v>
      </c>
      <c r="D3893" s="199" t="s">
        <v>3162</v>
      </c>
      <c r="E3893" s="200" t="s">
        <v>3151</v>
      </c>
      <c r="F3893" s="9" t="s">
        <v>1272</v>
      </c>
      <c r="H3893" s="9"/>
    </row>
    <row r="3894" ht="14.25" customHeight="1">
      <c r="A3894" s="9"/>
      <c r="B3894" s="9"/>
      <c r="C3894" s="199" t="s">
        <v>3157</v>
      </c>
      <c r="D3894" s="199" t="s">
        <v>3162</v>
      </c>
      <c r="E3894" s="200" t="s">
        <v>3151</v>
      </c>
      <c r="F3894" s="9" t="s">
        <v>420</v>
      </c>
      <c r="H3894" s="9"/>
    </row>
    <row r="3895" ht="14.25" customHeight="1">
      <c r="A3895" s="9"/>
      <c r="B3895" s="9"/>
      <c r="C3895" s="199" t="s">
        <v>3157</v>
      </c>
      <c r="D3895" s="199" t="s">
        <v>3162</v>
      </c>
      <c r="E3895" s="200" t="s">
        <v>3151</v>
      </c>
      <c r="F3895" s="9" t="s">
        <v>482</v>
      </c>
      <c r="H3895" s="9"/>
    </row>
    <row r="3896" ht="14.25" customHeight="1">
      <c r="A3896" s="9"/>
      <c r="B3896" s="9"/>
      <c r="C3896" s="199" t="s">
        <v>3157</v>
      </c>
      <c r="D3896" s="199" t="s">
        <v>3162</v>
      </c>
      <c r="E3896" s="200" t="s">
        <v>3151</v>
      </c>
      <c r="F3896" s="15" t="s">
        <v>136</v>
      </c>
      <c r="H3896" s="9"/>
    </row>
    <row r="3897" ht="14.25" customHeight="1">
      <c r="A3897" s="9"/>
      <c r="B3897" s="9"/>
      <c r="C3897" s="199" t="s">
        <v>3157</v>
      </c>
      <c r="D3897" s="199" t="s">
        <v>3162</v>
      </c>
      <c r="E3897" s="200" t="s">
        <v>3151</v>
      </c>
      <c r="F3897" s="9" t="s">
        <v>408</v>
      </c>
      <c r="H3897" s="9"/>
    </row>
    <row r="3898" ht="14.25" customHeight="1">
      <c r="A3898" s="9"/>
      <c r="B3898" s="9"/>
      <c r="C3898" s="199" t="s">
        <v>3157</v>
      </c>
      <c r="D3898" s="199" t="s">
        <v>3162</v>
      </c>
      <c r="E3898" s="200" t="s">
        <v>3151</v>
      </c>
      <c r="F3898" s="9" t="s">
        <v>2301</v>
      </c>
      <c r="H3898" s="9"/>
    </row>
    <row r="3899" ht="14.25" customHeight="1">
      <c r="A3899" s="9"/>
      <c r="B3899" s="9"/>
      <c r="C3899" s="199" t="s">
        <v>3157</v>
      </c>
      <c r="D3899" s="199" t="s">
        <v>3162</v>
      </c>
      <c r="E3899" s="200" t="s">
        <v>3151</v>
      </c>
      <c r="F3899" s="9" t="s">
        <v>197</v>
      </c>
      <c r="H3899" s="9"/>
    </row>
    <row r="3900" ht="14.25" customHeight="1">
      <c r="A3900" s="9"/>
      <c r="B3900" s="9"/>
      <c r="C3900" s="199" t="s">
        <v>3157</v>
      </c>
      <c r="D3900" s="199" t="s">
        <v>3162</v>
      </c>
      <c r="E3900" s="200" t="s">
        <v>3151</v>
      </c>
      <c r="F3900" s="9" t="s">
        <v>172</v>
      </c>
      <c r="H3900" s="9"/>
    </row>
    <row r="3901" ht="14.25" customHeight="1">
      <c r="A3901" s="9"/>
      <c r="B3901" s="9"/>
      <c r="C3901" s="199" t="s">
        <v>3157</v>
      </c>
      <c r="D3901" s="199" t="s">
        <v>3162</v>
      </c>
      <c r="E3901" s="200" t="s">
        <v>3151</v>
      </c>
      <c r="F3901" s="9" t="s">
        <v>98</v>
      </c>
      <c r="H3901" s="9"/>
    </row>
    <row r="3902" ht="14.25" customHeight="1">
      <c r="A3902" s="9"/>
      <c r="B3902" s="9"/>
      <c r="C3902" s="199" t="s">
        <v>3157</v>
      </c>
      <c r="D3902" s="199" t="s">
        <v>3162</v>
      </c>
      <c r="E3902" s="200" t="s">
        <v>3151</v>
      </c>
      <c r="F3902" s="9" t="s">
        <v>341</v>
      </c>
      <c r="H3902" s="9"/>
    </row>
    <row r="3903" ht="14.25" customHeight="1">
      <c r="A3903" s="9"/>
      <c r="B3903" s="9"/>
      <c r="C3903" s="199" t="s">
        <v>3157</v>
      </c>
      <c r="D3903" s="199" t="s">
        <v>3162</v>
      </c>
      <c r="E3903" s="200" t="s">
        <v>3151</v>
      </c>
      <c r="F3903" s="9" t="s">
        <v>367</v>
      </c>
      <c r="H3903" s="9"/>
    </row>
    <row r="3904" ht="14.25" customHeight="1">
      <c r="A3904" s="9"/>
      <c r="B3904" s="9"/>
      <c r="C3904" s="199" t="s">
        <v>3157</v>
      </c>
      <c r="D3904" s="199" t="s">
        <v>3162</v>
      </c>
      <c r="E3904" s="200" t="s">
        <v>3151</v>
      </c>
      <c r="F3904" s="9" t="s">
        <v>529</v>
      </c>
      <c r="H3904" s="9"/>
    </row>
    <row r="3905" ht="14.25" customHeight="1">
      <c r="A3905" s="9"/>
      <c r="B3905" s="9"/>
      <c r="C3905" s="199" t="s">
        <v>3157</v>
      </c>
      <c r="D3905" s="199" t="s">
        <v>3162</v>
      </c>
      <c r="E3905" s="200" t="s">
        <v>3151</v>
      </c>
      <c r="F3905" s="9" t="s">
        <v>282</v>
      </c>
      <c r="H3905" s="9"/>
    </row>
    <row r="3906" ht="14.25" customHeight="1">
      <c r="A3906" s="9"/>
      <c r="B3906" s="9"/>
      <c r="C3906" s="199" t="s">
        <v>3157</v>
      </c>
      <c r="D3906" s="199" t="s">
        <v>3162</v>
      </c>
      <c r="E3906" s="200" t="s">
        <v>3151</v>
      </c>
      <c r="F3906" s="9" t="s">
        <v>321</v>
      </c>
      <c r="H3906" s="9"/>
    </row>
    <row r="3907" ht="14.25" customHeight="1">
      <c r="A3907" s="9"/>
      <c r="B3907" s="9"/>
      <c r="C3907" s="199" t="s">
        <v>3157</v>
      </c>
      <c r="D3907" s="199" t="s">
        <v>3162</v>
      </c>
      <c r="E3907" s="200" t="s">
        <v>3151</v>
      </c>
      <c r="F3907" s="9" t="s">
        <v>272</v>
      </c>
      <c r="H3907" s="9"/>
    </row>
    <row r="3908" ht="14.25" customHeight="1">
      <c r="A3908" s="9"/>
      <c r="B3908" s="9"/>
      <c r="C3908" s="199" t="s">
        <v>3157</v>
      </c>
      <c r="D3908" s="199" t="s">
        <v>3162</v>
      </c>
      <c r="E3908" s="200" t="s">
        <v>3151</v>
      </c>
      <c r="F3908" s="9" t="s">
        <v>517</v>
      </c>
      <c r="H3908" s="9"/>
    </row>
    <row r="3909" ht="14.25" customHeight="1">
      <c r="A3909" s="9"/>
      <c r="B3909" s="9"/>
      <c r="C3909" s="199" t="s">
        <v>3157</v>
      </c>
      <c r="D3909" s="199" t="s">
        <v>3162</v>
      </c>
      <c r="E3909" s="200" t="s">
        <v>3151</v>
      </c>
      <c r="F3909" s="9" t="s">
        <v>2309</v>
      </c>
      <c r="H3909" s="9"/>
    </row>
    <row r="3910" ht="14.25" customHeight="1">
      <c r="A3910" s="9"/>
      <c r="B3910" s="9"/>
      <c r="C3910" s="199" t="s">
        <v>3157</v>
      </c>
      <c r="D3910" s="199" t="s">
        <v>3162</v>
      </c>
      <c r="E3910" s="200" t="s">
        <v>3151</v>
      </c>
      <c r="F3910" s="9" t="s">
        <v>507</v>
      </c>
      <c r="H3910" s="9"/>
    </row>
    <row r="3911" ht="14.25" customHeight="1">
      <c r="A3911" s="9"/>
      <c r="B3911" s="9"/>
      <c r="C3911" s="199" t="s">
        <v>3157</v>
      </c>
      <c r="D3911" s="199" t="s">
        <v>3162</v>
      </c>
      <c r="E3911" s="200" t="s">
        <v>3151</v>
      </c>
      <c r="F3911" s="9" t="s">
        <v>336</v>
      </c>
      <c r="H3911" s="9"/>
    </row>
    <row r="3912" ht="14.25" customHeight="1">
      <c r="A3912" s="9"/>
      <c r="B3912" s="9"/>
      <c r="C3912" s="199" t="s">
        <v>3157</v>
      </c>
      <c r="D3912" s="199" t="s">
        <v>3162</v>
      </c>
      <c r="E3912" s="200" t="s">
        <v>3151</v>
      </c>
      <c r="F3912" s="9" t="s">
        <v>235</v>
      </c>
      <c r="H3912" s="9"/>
    </row>
    <row r="3913" ht="14.25" customHeight="1">
      <c r="A3913" s="9"/>
      <c r="B3913" s="9"/>
      <c r="C3913" s="199" t="s">
        <v>3157</v>
      </c>
      <c r="D3913" s="199" t="s">
        <v>3162</v>
      </c>
      <c r="E3913" s="200" t="s">
        <v>3151</v>
      </c>
      <c r="F3913" s="9" t="s">
        <v>327</v>
      </c>
      <c r="H3913" s="9"/>
    </row>
    <row r="3914" ht="14.25" customHeight="1">
      <c r="A3914" s="9"/>
      <c r="B3914" s="9"/>
      <c r="C3914" s="199" t="s">
        <v>3157</v>
      </c>
      <c r="D3914" s="199" t="s">
        <v>3162</v>
      </c>
      <c r="E3914" s="200" t="s">
        <v>3151</v>
      </c>
      <c r="F3914" s="9" t="s">
        <v>264</v>
      </c>
      <c r="H3914" s="9"/>
    </row>
    <row r="3915" ht="14.25" customHeight="1">
      <c r="A3915" s="9"/>
      <c r="B3915" s="9"/>
      <c r="C3915" s="9" t="s">
        <v>3157</v>
      </c>
      <c r="D3915" s="9" t="s">
        <v>3163</v>
      </c>
      <c r="E3915" s="9" t="s">
        <v>3151</v>
      </c>
      <c r="F3915" s="9" t="s">
        <v>474</v>
      </c>
      <c r="H3915" s="9"/>
    </row>
    <row r="3916" ht="14.25" customHeight="1">
      <c r="A3916" s="9"/>
      <c r="B3916" s="9"/>
      <c r="C3916" s="9" t="s">
        <v>3157</v>
      </c>
      <c r="D3916" s="9" t="s">
        <v>3163</v>
      </c>
      <c r="E3916" s="9" t="s">
        <v>3151</v>
      </c>
      <c r="F3916" s="9" t="s">
        <v>284</v>
      </c>
      <c r="H3916" s="9"/>
    </row>
    <row r="3917" ht="14.25" customHeight="1">
      <c r="A3917" s="9"/>
      <c r="B3917" s="9"/>
      <c r="C3917" s="9" t="s">
        <v>3157</v>
      </c>
      <c r="D3917" s="9" t="s">
        <v>3163</v>
      </c>
      <c r="E3917" s="9" t="s">
        <v>3151</v>
      </c>
      <c r="F3917" s="9" t="s">
        <v>493</v>
      </c>
      <c r="H3917" s="9"/>
    </row>
    <row r="3918" ht="14.25" customHeight="1">
      <c r="A3918" s="9"/>
      <c r="B3918" s="9"/>
      <c r="C3918" s="9" t="s">
        <v>3157</v>
      </c>
      <c r="D3918" s="9" t="s">
        <v>3163</v>
      </c>
      <c r="E3918" s="9" t="s">
        <v>3151</v>
      </c>
      <c r="F3918" s="9" t="s">
        <v>450</v>
      </c>
      <c r="H3918" s="9"/>
    </row>
    <row r="3919" ht="14.25" customHeight="1">
      <c r="A3919" s="9"/>
      <c r="B3919" s="9"/>
      <c r="C3919" s="9" t="s">
        <v>3157</v>
      </c>
      <c r="D3919" s="9" t="s">
        <v>3163</v>
      </c>
      <c r="E3919" s="9" t="s">
        <v>3151</v>
      </c>
      <c r="F3919" s="9" t="s">
        <v>395</v>
      </c>
      <c r="H3919" s="9"/>
    </row>
    <row r="3920" ht="14.25" customHeight="1">
      <c r="A3920" s="9"/>
      <c r="B3920" s="9"/>
      <c r="C3920" s="9" t="s">
        <v>3157</v>
      </c>
      <c r="D3920" s="9" t="s">
        <v>3163</v>
      </c>
      <c r="E3920" s="9" t="s">
        <v>3151</v>
      </c>
      <c r="F3920" s="9" t="s">
        <v>276</v>
      </c>
      <c r="H3920" s="9"/>
    </row>
    <row r="3921" ht="14.25" customHeight="1">
      <c r="A3921" s="9"/>
      <c r="B3921" s="9"/>
      <c r="C3921" s="9" t="s">
        <v>3157</v>
      </c>
      <c r="D3921" s="9" t="s">
        <v>3163</v>
      </c>
      <c r="E3921" s="9" t="s">
        <v>3151</v>
      </c>
      <c r="F3921" s="9" t="s">
        <v>431</v>
      </c>
      <c r="H3921" s="9"/>
    </row>
    <row r="3922" ht="14.25" customHeight="1">
      <c r="A3922" s="9"/>
      <c r="B3922" s="9"/>
      <c r="C3922" s="9" t="s">
        <v>3157</v>
      </c>
      <c r="D3922" s="9" t="s">
        <v>3163</v>
      </c>
      <c r="E3922" s="9" t="s">
        <v>3151</v>
      </c>
      <c r="F3922" s="9" t="s">
        <v>1272</v>
      </c>
      <c r="H3922" s="9"/>
    </row>
    <row r="3923" ht="14.25" customHeight="1">
      <c r="A3923" s="9"/>
      <c r="B3923" s="9"/>
      <c r="C3923" s="9" t="s">
        <v>3157</v>
      </c>
      <c r="D3923" s="9" t="s">
        <v>3163</v>
      </c>
      <c r="E3923" s="9" t="s">
        <v>3151</v>
      </c>
      <c r="F3923" s="9" t="s">
        <v>420</v>
      </c>
      <c r="H3923" s="9"/>
    </row>
    <row r="3924" ht="14.25" customHeight="1">
      <c r="A3924" s="9"/>
      <c r="B3924" s="9"/>
      <c r="C3924" s="9" t="s">
        <v>3157</v>
      </c>
      <c r="D3924" s="9" t="s">
        <v>3163</v>
      </c>
      <c r="E3924" s="9" t="s">
        <v>3151</v>
      </c>
      <c r="F3924" s="9" t="s">
        <v>482</v>
      </c>
      <c r="H3924" s="9"/>
    </row>
    <row r="3925" ht="14.25" customHeight="1">
      <c r="A3925" s="9"/>
      <c r="B3925" s="9"/>
      <c r="C3925" s="9" t="s">
        <v>3157</v>
      </c>
      <c r="D3925" s="9" t="s">
        <v>3163</v>
      </c>
      <c r="E3925" s="9" t="s">
        <v>3151</v>
      </c>
      <c r="F3925" s="15" t="s">
        <v>136</v>
      </c>
      <c r="H3925" s="9"/>
    </row>
    <row r="3926" ht="14.25" customHeight="1">
      <c r="A3926" s="9"/>
      <c r="B3926" s="9"/>
      <c r="C3926" s="9" t="s">
        <v>3157</v>
      </c>
      <c r="D3926" s="9" t="s">
        <v>3163</v>
      </c>
      <c r="E3926" s="9" t="s">
        <v>3151</v>
      </c>
      <c r="F3926" s="9" t="s">
        <v>408</v>
      </c>
      <c r="H3926" s="9"/>
    </row>
    <row r="3927" ht="14.25" customHeight="1">
      <c r="A3927" s="9"/>
      <c r="B3927" s="9"/>
      <c r="C3927" s="9" t="s">
        <v>3157</v>
      </c>
      <c r="D3927" s="9" t="s">
        <v>3163</v>
      </c>
      <c r="E3927" s="9" t="s">
        <v>3151</v>
      </c>
      <c r="F3927" s="9" t="s">
        <v>2589</v>
      </c>
      <c r="H3927" s="9"/>
    </row>
    <row r="3928" ht="14.25" customHeight="1">
      <c r="A3928" s="9"/>
      <c r="B3928" s="9"/>
      <c r="C3928" s="9" t="s">
        <v>3157</v>
      </c>
      <c r="D3928" s="9" t="s">
        <v>3163</v>
      </c>
      <c r="E3928" s="9" t="s">
        <v>3151</v>
      </c>
      <c r="F3928" s="9" t="s">
        <v>197</v>
      </c>
      <c r="H3928" s="9"/>
    </row>
    <row r="3929" ht="14.25" customHeight="1">
      <c r="A3929" s="9"/>
      <c r="B3929" s="9"/>
      <c r="C3929" s="9" t="s">
        <v>3157</v>
      </c>
      <c r="D3929" s="9" t="s">
        <v>3163</v>
      </c>
      <c r="E3929" s="9" t="s">
        <v>3151</v>
      </c>
      <c r="F3929" s="9" t="s">
        <v>172</v>
      </c>
      <c r="H3929" s="9"/>
    </row>
    <row r="3930" ht="14.25" customHeight="1">
      <c r="A3930" s="9"/>
      <c r="B3930" s="9"/>
      <c r="C3930" s="9" t="s">
        <v>3157</v>
      </c>
      <c r="D3930" s="9" t="s">
        <v>3163</v>
      </c>
      <c r="E3930" s="9" t="s">
        <v>3151</v>
      </c>
      <c r="F3930" s="9" t="s">
        <v>98</v>
      </c>
      <c r="H3930" s="9"/>
    </row>
    <row r="3931" ht="14.25" customHeight="1">
      <c r="A3931" s="9"/>
      <c r="B3931" s="9"/>
      <c r="C3931" s="9" t="s">
        <v>3157</v>
      </c>
      <c r="D3931" s="9" t="s">
        <v>3163</v>
      </c>
      <c r="E3931" s="9" t="s">
        <v>3151</v>
      </c>
      <c r="F3931" s="9" t="s">
        <v>341</v>
      </c>
      <c r="H3931" s="9"/>
    </row>
    <row r="3932" ht="14.25" customHeight="1">
      <c r="A3932" s="9"/>
      <c r="B3932" s="9"/>
      <c r="C3932" s="9" t="s">
        <v>3157</v>
      </c>
      <c r="D3932" s="9" t="s">
        <v>3163</v>
      </c>
      <c r="E3932" s="9" t="s">
        <v>3151</v>
      </c>
      <c r="F3932" s="9" t="s">
        <v>367</v>
      </c>
      <c r="H3932" s="9"/>
    </row>
    <row r="3933" ht="14.25" customHeight="1">
      <c r="A3933" s="9"/>
      <c r="B3933" s="9"/>
      <c r="C3933" s="9" t="s">
        <v>3157</v>
      </c>
      <c r="D3933" s="9" t="s">
        <v>3163</v>
      </c>
      <c r="E3933" s="9" t="s">
        <v>3151</v>
      </c>
      <c r="F3933" s="9" t="s">
        <v>529</v>
      </c>
      <c r="H3933" s="9"/>
    </row>
    <row r="3934" ht="14.25" customHeight="1">
      <c r="A3934" s="9"/>
      <c r="B3934" s="9"/>
      <c r="C3934" s="9" t="s">
        <v>3157</v>
      </c>
      <c r="D3934" s="9" t="s">
        <v>3163</v>
      </c>
      <c r="E3934" s="9" t="s">
        <v>3151</v>
      </c>
      <c r="F3934" s="9" t="s">
        <v>282</v>
      </c>
      <c r="H3934" s="9"/>
    </row>
    <row r="3935" ht="14.25" customHeight="1">
      <c r="A3935" s="9"/>
      <c r="B3935" s="9"/>
      <c r="C3935" s="9" t="s">
        <v>3157</v>
      </c>
      <c r="D3935" s="9" t="s">
        <v>3163</v>
      </c>
      <c r="E3935" s="9" t="s">
        <v>3151</v>
      </c>
      <c r="F3935" s="9" t="s">
        <v>321</v>
      </c>
      <c r="H3935" s="9"/>
    </row>
    <row r="3936" ht="14.25" customHeight="1">
      <c r="A3936" s="9"/>
      <c r="B3936" s="9"/>
      <c r="C3936" s="9" t="s">
        <v>3157</v>
      </c>
      <c r="D3936" s="9" t="s">
        <v>3163</v>
      </c>
      <c r="E3936" s="9" t="s">
        <v>3151</v>
      </c>
      <c r="F3936" s="9" t="s">
        <v>272</v>
      </c>
      <c r="H3936" s="9"/>
    </row>
    <row r="3937" ht="14.25" customHeight="1">
      <c r="A3937" s="9"/>
      <c r="B3937" s="9"/>
      <c r="C3937" s="9" t="s">
        <v>3157</v>
      </c>
      <c r="D3937" s="9" t="s">
        <v>3163</v>
      </c>
      <c r="E3937" s="9" t="s">
        <v>3151</v>
      </c>
      <c r="F3937" s="9" t="s">
        <v>517</v>
      </c>
      <c r="H3937" s="9"/>
    </row>
    <row r="3938" ht="14.25" customHeight="1">
      <c r="A3938" s="9"/>
      <c r="B3938" s="9"/>
      <c r="C3938" s="9" t="s">
        <v>3157</v>
      </c>
      <c r="D3938" s="9" t="s">
        <v>3163</v>
      </c>
      <c r="E3938" s="9" t="s">
        <v>3151</v>
      </c>
      <c r="F3938" s="9" t="s">
        <v>2593</v>
      </c>
      <c r="H3938" s="9"/>
    </row>
    <row r="3939" ht="14.25" customHeight="1">
      <c r="A3939" s="9"/>
      <c r="B3939" s="9"/>
      <c r="C3939" s="9" t="s">
        <v>3157</v>
      </c>
      <c r="D3939" s="9" t="s">
        <v>3163</v>
      </c>
      <c r="E3939" s="9" t="s">
        <v>3151</v>
      </c>
      <c r="F3939" s="9" t="s">
        <v>507</v>
      </c>
      <c r="H3939" s="9"/>
    </row>
    <row r="3940" ht="14.25" customHeight="1">
      <c r="A3940" s="9"/>
      <c r="B3940" s="9"/>
      <c r="C3940" s="9" t="s">
        <v>3157</v>
      </c>
      <c r="D3940" s="9" t="s">
        <v>3163</v>
      </c>
      <c r="E3940" s="9" t="s">
        <v>3151</v>
      </c>
      <c r="F3940" s="9" t="s">
        <v>336</v>
      </c>
      <c r="H3940" s="9"/>
    </row>
    <row r="3941" ht="14.25" customHeight="1">
      <c r="A3941" s="9"/>
      <c r="B3941" s="9"/>
      <c r="C3941" s="9" t="s">
        <v>3157</v>
      </c>
      <c r="D3941" s="9" t="s">
        <v>3163</v>
      </c>
      <c r="E3941" s="9" t="s">
        <v>3151</v>
      </c>
      <c r="F3941" s="9" t="s">
        <v>235</v>
      </c>
      <c r="H3941" s="9"/>
    </row>
    <row r="3942" ht="14.25" customHeight="1">
      <c r="A3942" s="9"/>
      <c r="B3942" s="9"/>
      <c r="C3942" s="9" t="s">
        <v>3157</v>
      </c>
      <c r="D3942" s="9" t="s">
        <v>3163</v>
      </c>
      <c r="E3942" s="9" t="s">
        <v>3151</v>
      </c>
      <c r="F3942" s="9" t="s">
        <v>327</v>
      </c>
      <c r="H3942" s="9"/>
    </row>
    <row r="3943" ht="14.25" customHeight="1">
      <c r="A3943" s="9"/>
      <c r="B3943" s="9"/>
      <c r="C3943" s="9" t="s">
        <v>3157</v>
      </c>
      <c r="D3943" s="9" t="s">
        <v>3163</v>
      </c>
      <c r="E3943" s="9" t="s">
        <v>3151</v>
      </c>
      <c r="F3943" s="9" t="s">
        <v>264</v>
      </c>
      <c r="H3943" s="9"/>
    </row>
    <row r="3944" ht="14.25" customHeight="1">
      <c r="A3944" s="9"/>
      <c r="B3944" s="9"/>
      <c r="C3944" s="9" t="s">
        <v>3157</v>
      </c>
      <c r="D3944" s="9" t="s">
        <v>3164</v>
      </c>
      <c r="E3944" s="9" t="s">
        <v>3151</v>
      </c>
      <c r="F3944" s="9" t="s">
        <v>474</v>
      </c>
      <c r="H3944" s="9"/>
    </row>
    <row r="3945" ht="14.25" customHeight="1">
      <c r="A3945" s="9"/>
      <c r="B3945" s="9"/>
      <c r="C3945" s="9" t="s">
        <v>3157</v>
      </c>
      <c r="D3945" s="9" t="s">
        <v>3164</v>
      </c>
      <c r="E3945" s="9" t="s">
        <v>3151</v>
      </c>
      <c r="F3945" s="9" t="s">
        <v>284</v>
      </c>
      <c r="H3945" s="9"/>
    </row>
    <row r="3946" ht="14.25" customHeight="1">
      <c r="A3946" s="9"/>
      <c r="B3946" s="9"/>
      <c r="C3946" s="9" t="s">
        <v>3157</v>
      </c>
      <c r="D3946" s="9" t="s">
        <v>3164</v>
      </c>
      <c r="E3946" s="9" t="s">
        <v>3151</v>
      </c>
      <c r="F3946" s="9" t="s">
        <v>493</v>
      </c>
      <c r="H3946" s="9"/>
    </row>
    <row r="3947" ht="14.25" customHeight="1">
      <c r="A3947" s="9"/>
      <c r="B3947" s="9"/>
      <c r="C3947" s="9" t="s">
        <v>3157</v>
      </c>
      <c r="D3947" s="9" t="s">
        <v>3164</v>
      </c>
      <c r="E3947" s="9" t="s">
        <v>3151</v>
      </c>
      <c r="F3947" s="9" t="s">
        <v>450</v>
      </c>
      <c r="H3947" s="9"/>
    </row>
    <row r="3948" ht="14.25" customHeight="1">
      <c r="A3948" s="9"/>
      <c r="B3948" s="9"/>
      <c r="C3948" s="9" t="s">
        <v>3157</v>
      </c>
      <c r="D3948" s="9" t="s">
        <v>3164</v>
      </c>
      <c r="E3948" s="9" t="s">
        <v>3151</v>
      </c>
      <c r="F3948" s="9" t="s">
        <v>395</v>
      </c>
      <c r="H3948" s="9"/>
    </row>
    <row r="3949" ht="14.25" customHeight="1">
      <c r="A3949" s="9"/>
      <c r="B3949" s="9"/>
      <c r="C3949" s="9" t="s">
        <v>3157</v>
      </c>
      <c r="D3949" s="9" t="s">
        <v>3164</v>
      </c>
      <c r="E3949" s="9" t="s">
        <v>3151</v>
      </c>
      <c r="F3949" s="9" t="s">
        <v>276</v>
      </c>
      <c r="H3949" s="9"/>
    </row>
    <row r="3950" ht="14.25" customHeight="1">
      <c r="A3950" s="9"/>
      <c r="B3950" s="9"/>
      <c r="C3950" s="9" t="s">
        <v>3157</v>
      </c>
      <c r="D3950" s="9" t="s">
        <v>3164</v>
      </c>
      <c r="E3950" s="9" t="s">
        <v>3151</v>
      </c>
      <c r="F3950" s="9" t="s">
        <v>431</v>
      </c>
      <c r="H3950" s="9"/>
    </row>
    <row r="3951" ht="14.25" customHeight="1">
      <c r="A3951" s="9"/>
      <c r="B3951" s="9"/>
      <c r="C3951" s="9" t="s">
        <v>3157</v>
      </c>
      <c r="D3951" s="9" t="s">
        <v>3164</v>
      </c>
      <c r="E3951" s="9" t="s">
        <v>3151</v>
      </c>
      <c r="F3951" s="9" t="s">
        <v>1272</v>
      </c>
      <c r="H3951" s="9"/>
    </row>
    <row r="3952" ht="14.25" customHeight="1">
      <c r="A3952" s="9"/>
      <c r="B3952" s="9"/>
      <c r="C3952" s="9" t="s">
        <v>3157</v>
      </c>
      <c r="D3952" s="9" t="s">
        <v>3164</v>
      </c>
      <c r="E3952" s="9" t="s">
        <v>3151</v>
      </c>
      <c r="F3952" s="9" t="s">
        <v>420</v>
      </c>
      <c r="H3952" s="9"/>
    </row>
    <row r="3953" ht="14.25" customHeight="1">
      <c r="A3953" s="9"/>
      <c r="B3953" s="9"/>
      <c r="C3953" s="9" t="s">
        <v>3157</v>
      </c>
      <c r="D3953" s="9" t="s">
        <v>3164</v>
      </c>
      <c r="E3953" s="9" t="s">
        <v>3151</v>
      </c>
      <c r="F3953" s="9" t="s">
        <v>482</v>
      </c>
      <c r="H3953" s="9"/>
    </row>
    <row r="3954" ht="14.25" customHeight="1">
      <c r="A3954" s="9"/>
      <c r="B3954" s="9"/>
      <c r="C3954" s="9" t="s">
        <v>3157</v>
      </c>
      <c r="D3954" s="9" t="s">
        <v>3164</v>
      </c>
      <c r="E3954" s="9" t="s">
        <v>3151</v>
      </c>
      <c r="F3954" s="15" t="s">
        <v>136</v>
      </c>
      <c r="H3954" s="9"/>
    </row>
    <row r="3955" ht="14.25" customHeight="1">
      <c r="A3955" s="9"/>
      <c r="B3955" s="9"/>
      <c r="C3955" s="9" t="s">
        <v>3157</v>
      </c>
      <c r="D3955" s="9" t="s">
        <v>3164</v>
      </c>
      <c r="E3955" s="9" t="s">
        <v>3151</v>
      </c>
      <c r="F3955" s="9" t="s">
        <v>408</v>
      </c>
      <c r="H3955" s="9"/>
    </row>
    <row r="3956" ht="14.25" customHeight="1">
      <c r="A3956" s="9"/>
      <c r="B3956" s="9"/>
      <c r="C3956" s="9" t="s">
        <v>3157</v>
      </c>
      <c r="D3956" s="9" t="s">
        <v>3164</v>
      </c>
      <c r="E3956" s="9" t="s">
        <v>3151</v>
      </c>
      <c r="F3956" s="9" t="s">
        <v>2589</v>
      </c>
      <c r="H3956" s="9"/>
    </row>
    <row r="3957" ht="14.25" customHeight="1">
      <c r="A3957" s="9"/>
      <c r="B3957" s="9"/>
      <c r="C3957" s="9" t="s">
        <v>3157</v>
      </c>
      <c r="D3957" s="9" t="s">
        <v>3164</v>
      </c>
      <c r="E3957" s="9" t="s">
        <v>3151</v>
      </c>
      <c r="F3957" s="9" t="s">
        <v>197</v>
      </c>
      <c r="H3957" s="9"/>
    </row>
    <row r="3958" ht="14.25" customHeight="1">
      <c r="A3958" s="9"/>
      <c r="B3958" s="9"/>
      <c r="C3958" s="9" t="s">
        <v>3157</v>
      </c>
      <c r="D3958" s="9" t="s">
        <v>3164</v>
      </c>
      <c r="E3958" s="9" t="s">
        <v>3151</v>
      </c>
      <c r="F3958" s="9" t="s">
        <v>172</v>
      </c>
      <c r="H3958" s="9"/>
    </row>
    <row r="3959" ht="14.25" customHeight="1">
      <c r="A3959" s="9"/>
      <c r="B3959" s="9"/>
      <c r="C3959" s="9" t="s">
        <v>3157</v>
      </c>
      <c r="D3959" s="9" t="s">
        <v>3164</v>
      </c>
      <c r="E3959" s="9" t="s">
        <v>3151</v>
      </c>
      <c r="F3959" s="9" t="s">
        <v>98</v>
      </c>
      <c r="H3959" s="9"/>
    </row>
    <row r="3960" ht="14.25" customHeight="1">
      <c r="A3960" s="9"/>
      <c r="B3960" s="9"/>
      <c r="C3960" s="9" t="s">
        <v>3157</v>
      </c>
      <c r="D3960" s="9" t="s">
        <v>3164</v>
      </c>
      <c r="E3960" s="9" t="s">
        <v>3151</v>
      </c>
      <c r="F3960" s="9" t="s">
        <v>341</v>
      </c>
      <c r="H3960" s="9"/>
    </row>
    <row r="3961" ht="14.25" customHeight="1">
      <c r="A3961" s="9"/>
      <c r="B3961" s="9"/>
      <c r="C3961" s="9" t="s">
        <v>3157</v>
      </c>
      <c r="D3961" s="9" t="s">
        <v>3164</v>
      </c>
      <c r="E3961" s="9" t="s">
        <v>3151</v>
      </c>
      <c r="F3961" s="9" t="s">
        <v>367</v>
      </c>
      <c r="H3961" s="9"/>
    </row>
    <row r="3962" ht="14.25" customHeight="1">
      <c r="A3962" s="9"/>
      <c r="B3962" s="9"/>
      <c r="C3962" s="9" t="s">
        <v>3157</v>
      </c>
      <c r="D3962" s="9" t="s">
        <v>3164</v>
      </c>
      <c r="E3962" s="9" t="s">
        <v>3151</v>
      </c>
      <c r="F3962" s="9" t="s">
        <v>529</v>
      </c>
      <c r="H3962" s="9"/>
    </row>
    <row r="3963" ht="14.25" customHeight="1">
      <c r="A3963" s="9"/>
      <c r="B3963" s="9"/>
      <c r="C3963" s="9" t="s">
        <v>3157</v>
      </c>
      <c r="D3963" s="9" t="s">
        <v>3164</v>
      </c>
      <c r="E3963" s="9" t="s">
        <v>3151</v>
      </c>
      <c r="F3963" s="9" t="s">
        <v>282</v>
      </c>
      <c r="H3963" s="9"/>
    </row>
    <row r="3964" ht="14.25" customHeight="1">
      <c r="A3964" s="9"/>
      <c r="B3964" s="9"/>
      <c r="C3964" s="9" t="s">
        <v>3157</v>
      </c>
      <c r="D3964" s="9" t="s">
        <v>3164</v>
      </c>
      <c r="E3964" s="9" t="s">
        <v>3151</v>
      </c>
      <c r="F3964" s="9" t="s">
        <v>321</v>
      </c>
      <c r="H3964" s="9"/>
    </row>
    <row r="3965" ht="14.25" customHeight="1">
      <c r="A3965" s="9"/>
      <c r="B3965" s="9"/>
      <c r="C3965" s="9" t="s">
        <v>3157</v>
      </c>
      <c r="D3965" s="9" t="s">
        <v>3164</v>
      </c>
      <c r="E3965" s="9" t="s">
        <v>3151</v>
      </c>
      <c r="F3965" s="9" t="s">
        <v>272</v>
      </c>
      <c r="H3965" s="9"/>
    </row>
    <row r="3966" ht="14.25" customHeight="1">
      <c r="A3966" s="9"/>
      <c r="B3966" s="9"/>
      <c r="C3966" s="9" t="s">
        <v>3157</v>
      </c>
      <c r="D3966" s="9" t="s">
        <v>3164</v>
      </c>
      <c r="E3966" s="9" t="s">
        <v>3151</v>
      </c>
      <c r="F3966" s="9" t="s">
        <v>517</v>
      </c>
      <c r="H3966" s="9"/>
    </row>
    <row r="3967" ht="14.25" customHeight="1">
      <c r="A3967" s="9"/>
      <c r="B3967" s="9"/>
      <c r="C3967" s="9" t="s">
        <v>3157</v>
      </c>
      <c r="D3967" s="9" t="s">
        <v>3164</v>
      </c>
      <c r="E3967" s="9" t="s">
        <v>3151</v>
      </c>
      <c r="F3967" s="9" t="s">
        <v>2593</v>
      </c>
      <c r="H3967" s="9"/>
    </row>
    <row r="3968" ht="14.25" customHeight="1">
      <c r="A3968" s="9"/>
      <c r="B3968" s="9"/>
      <c r="C3968" s="9" t="s">
        <v>3157</v>
      </c>
      <c r="D3968" s="9" t="s">
        <v>3164</v>
      </c>
      <c r="E3968" s="9" t="s">
        <v>3151</v>
      </c>
      <c r="F3968" s="9" t="s">
        <v>507</v>
      </c>
      <c r="H3968" s="9"/>
    </row>
    <row r="3969" ht="14.25" customHeight="1">
      <c r="A3969" s="9"/>
      <c r="B3969" s="9"/>
      <c r="C3969" s="9" t="s">
        <v>3157</v>
      </c>
      <c r="D3969" s="9" t="s">
        <v>3164</v>
      </c>
      <c r="E3969" s="9" t="s">
        <v>3151</v>
      </c>
      <c r="F3969" s="9" t="s">
        <v>336</v>
      </c>
      <c r="H3969" s="9"/>
    </row>
    <row r="3970" ht="14.25" customHeight="1">
      <c r="A3970" s="9"/>
      <c r="B3970" s="9"/>
      <c r="C3970" s="9" t="s">
        <v>3157</v>
      </c>
      <c r="D3970" s="9" t="s">
        <v>3164</v>
      </c>
      <c r="E3970" s="9" t="s">
        <v>3151</v>
      </c>
      <c r="F3970" s="9" t="s">
        <v>235</v>
      </c>
      <c r="H3970" s="9"/>
    </row>
    <row r="3971" ht="14.25" customHeight="1">
      <c r="A3971" s="9"/>
      <c r="B3971" s="9"/>
      <c r="C3971" s="9" t="s">
        <v>3157</v>
      </c>
      <c r="D3971" s="9" t="s">
        <v>3164</v>
      </c>
      <c r="E3971" s="9" t="s">
        <v>3151</v>
      </c>
      <c r="F3971" s="9" t="s">
        <v>327</v>
      </c>
      <c r="H3971" s="9"/>
    </row>
    <row r="3972" ht="14.25" customHeight="1">
      <c r="A3972" s="9"/>
      <c r="B3972" s="9"/>
      <c r="C3972" s="9" t="s">
        <v>3157</v>
      </c>
      <c r="D3972" s="9" t="s">
        <v>3164</v>
      </c>
      <c r="E3972" s="9" t="s">
        <v>3151</v>
      </c>
      <c r="F3972" s="9" t="s">
        <v>264</v>
      </c>
      <c r="H3972" s="9"/>
    </row>
    <row r="3973" ht="14.25" customHeight="1">
      <c r="A3973" s="9"/>
      <c r="B3973" s="9"/>
      <c r="C3973" s="9" t="s">
        <v>3157</v>
      </c>
      <c r="D3973" s="9" t="s">
        <v>3165</v>
      </c>
      <c r="E3973" s="9" t="s">
        <v>3151</v>
      </c>
      <c r="F3973" s="9" t="s">
        <v>474</v>
      </c>
      <c r="H3973" s="9"/>
    </row>
    <row r="3974" ht="14.25" customHeight="1">
      <c r="A3974" s="9"/>
      <c r="B3974" s="9"/>
      <c r="C3974" s="9" t="s">
        <v>3157</v>
      </c>
      <c r="D3974" s="9" t="s">
        <v>3165</v>
      </c>
      <c r="E3974" s="9" t="s">
        <v>3151</v>
      </c>
      <c r="F3974" s="9" t="s">
        <v>284</v>
      </c>
      <c r="H3974" s="9"/>
    </row>
    <row r="3975" ht="14.25" customHeight="1">
      <c r="A3975" s="9"/>
      <c r="B3975" s="9"/>
      <c r="C3975" s="9" t="s">
        <v>3157</v>
      </c>
      <c r="D3975" s="9" t="s">
        <v>3165</v>
      </c>
      <c r="E3975" s="9" t="s">
        <v>3151</v>
      </c>
      <c r="F3975" s="9" t="s">
        <v>493</v>
      </c>
      <c r="H3975" s="9"/>
    </row>
    <row r="3976" ht="14.25" customHeight="1">
      <c r="A3976" s="9"/>
      <c r="B3976" s="9"/>
      <c r="C3976" s="9" t="s">
        <v>3157</v>
      </c>
      <c r="D3976" s="9" t="s">
        <v>3165</v>
      </c>
      <c r="E3976" s="9" t="s">
        <v>3151</v>
      </c>
      <c r="F3976" s="9" t="s">
        <v>450</v>
      </c>
      <c r="H3976" s="9"/>
    </row>
    <row r="3977" ht="14.25" customHeight="1">
      <c r="A3977" s="9"/>
      <c r="B3977" s="9"/>
      <c r="C3977" s="9" t="s">
        <v>3157</v>
      </c>
      <c r="D3977" s="9" t="s">
        <v>3165</v>
      </c>
      <c r="E3977" s="9" t="s">
        <v>3151</v>
      </c>
      <c r="F3977" s="9" t="s">
        <v>395</v>
      </c>
      <c r="H3977" s="9"/>
    </row>
    <row r="3978" ht="14.25" customHeight="1">
      <c r="A3978" s="9"/>
      <c r="B3978" s="9"/>
      <c r="C3978" s="9" t="s">
        <v>3157</v>
      </c>
      <c r="D3978" s="9" t="s">
        <v>3165</v>
      </c>
      <c r="E3978" s="9" t="s">
        <v>3151</v>
      </c>
      <c r="F3978" s="9" t="s">
        <v>276</v>
      </c>
      <c r="H3978" s="9"/>
    </row>
    <row r="3979" ht="14.25" customHeight="1">
      <c r="A3979" s="9"/>
      <c r="B3979" s="9"/>
      <c r="C3979" s="9" t="s">
        <v>3157</v>
      </c>
      <c r="D3979" s="9" t="s">
        <v>3165</v>
      </c>
      <c r="E3979" s="9" t="s">
        <v>3151</v>
      </c>
      <c r="F3979" s="9" t="s">
        <v>431</v>
      </c>
      <c r="H3979" s="9"/>
    </row>
    <row r="3980" ht="14.25" customHeight="1">
      <c r="A3980" s="9"/>
      <c r="B3980" s="9"/>
      <c r="C3980" s="9" t="s">
        <v>3157</v>
      </c>
      <c r="D3980" s="9" t="s">
        <v>3165</v>
      </c>
      <c r="E3980" s="9" t="s">
        <v>3151</v>
      </c>
      <c r="F3980" s="9" t="s">
        <v>1272</v>
      </c>
      <c r="H3980" s="9"/>
    </row>
    <row r="3981" ht="14.25" customHeight="1">
      <c r="A3981" s="9"/>
      <c r="B3981" s="9"/>
      <c r="C3981" s="9" t="s">
        <v>3157</v>
      </c>
      <c r="D3981" s="9" t="s">
        <v>3165</v>
      </c>
      <c r="E3981" s="9" t="s">
        <v>3151</v>
      </c>
      <c r="F3981" s="9" t="s">
        <v>420</v>
      </c>
      <c r="H3981" s="9"/>
    </row>
    <row r="3982" ht="14.25" customHeight="1">
      <c r="A3982" s="9"/>
      <c r="B3982" s="9"/>
      <c r="C3982" s="9" t="s">
        <v>3157</v>
      </c>
      <c r="D3982" s="9" t="s">
        <v>3165</v>
      </c>
      <c r="E3982" s="9" t="s">
        <v>3151</v>
      </c>
      <c r="F3982" s="9" t="s">
        <v>482</v>
      </c>
      <c r="H3982" s="9"/>
    </row>
    <row r="3983" ht="14.25" customHeight="1">
      <c r="A3983" s="9"/>
      <c r="B3983" s="9"/>
      <c r="C3983" s="9" t="s">
        <v>3157</v>
      </c>
      <c r="D3983" s="9" t="s">
        <v>3165</v>
      </c>
      <c r="E3983" s="9" t="s">
        <v>3151</v>
      </c>
      <c r="F3983" s="15" t="s">
        <v>136</v>
      </c>
      <c r="H3983" s="9"/>
    </row>
    <row r="3984" ht="14.25" customHeight="1">
      <c r="A3984" s="9"/>
      <c r="B3984" s="9"/>
      <c r="C3984" s="9" t="s">
        <v>3157</v>
      </c>
      <c r="D3984" s="9" t="s">
        <v>3165</v>
      </c>
      <c r="E3984" s="9" t="s">
        <v>3151</v>
      </c>
      <c r="F3984" s="9" t="s">
        <v>408</v>
      </c>
      <c r="H3984" s="9"/>
    </row>
    <row r="3985" ht="14.25" customHeight="1">
      <c r="A3985" s="9"/>
      <c r="B3985" s="9"/>
      <c r="C3985" s="9" t="s">
        <v>3157</v>
      </c>
      <c r="D3985" s="9" t="s">
        <v>3165</v>
      </c>
      <c r="E3985" s="9" t="s">
        <v>3151</v>
      </c>
      <c r="F3985" s="9" t="s">
        <v>2589</v>
      </c>
      <c r="H3985" s="9"/>
    </row>
    <row r="3986" ht="14.25" customHeight="1">
      <c r="A3986" s="9"/>
      <c r="B3986" s="9"/>
      <c r="C3986" s="9" t="s">
        <v>3157</v>
      </c>
      <c r="D3986" s="9" t="s">
        <v>3165</v>
      </c>
      <c r="E3986" s="9" t="s">
        <v>3151</v>
      </c>
      <c r="F3986" s="9" t="s">
        <v>197</v>
      </c>
      <c r="H3986" s="9"/>
    </row>
    <row r="3987" ht="14.25" customHeight="1">
      <c r="A3987" s="9"/>
      <c r="B3987" s="9"/>
      <c r="C3987" s="9" t="s">
        <v>3157</v>
      </c>
      <c r="D3987" s="9" t="s">
        <v>3165</v>
      </c>
      <c r="E3987" s="9" t="s">
        <v>3151</v>
      </c>
      <c r="F3987" s="9" t="s">
        <v>172</v>
      </c>
      <c r="H3987" s="9"/>
    </row>
    <row r="3988" ht="14.25" customHeight="1">
      <c r="A3988" s="9"/>
      <c r="B3988" s="9"/>
      <c r="C3988" s="9" t="s">
        <v>3157</v>
      </c>
      <c r="D3988" s="9" t="s">
        <v>3165</v>
      </c>
      <c r="E3988" s="9" t="s">
        <v>3151</v>
      </c>
      <c r="F3988" s="9" t="s">
        <v>98</v>
      </c>
      <c r="H3988" s="9"/>
    </row>
    <row r="3989" ht="14.25" customHeight="1">
      <c r="A3989" s="9"/>
      <c r="B3989" s="9"/>
      <c r="C3989" s="9" t="s">
        <v>3157</v>
      </c>
      <c r="D3989" s="9" t="s">
        <v>3165</v>
      </c>
      <c r="E3989" s="9" t="s">
        <v>3151</v>
      </c>
      <c r="F3989" s="9" t="s">
        <v>341</v>
      </c>
      <c r="H3989" s="9"/>
    </row>
    <row r="3990" ht="14.25" customHeight="1">
      <c r="A3990" s="9"/>
      <c r="B3990" s="9"/>
      <c r="C3990" s="9" t="s">
        <v>3157</v>
      </c>
      <c r="D3990" s="9" t="s">
        <v>3165</v>
      </c>
      <c r="E3990" s="9" t="s">
        <v>3151</v>
      </c>
      <c r="F3990" s="9" t="s">
        <v>367</v>
      </c>
      <c r="H3990" s="9"/>
    </row>
    <row r="3991" ht="14.25" customHeight="1">
      <c r="A3991" s="9"/>
      <c r="B3991" s="9"/>
      <c r="C3991" s="9" t="s">
        <v>3157</v>
      </c>
      <c r="D3991" s="9" t="s">
        <v>3165</v>
      </c>
      <c r="E3991" s="9" t="s">
        <v>3151</v>
      </c>
      <c r="F3991" s="9" t="s">
        <v>529</v>
      </c>
      <c r="H3991" s="9"/>
    </row>
    <row r="3992" ht="14.25" customHeight="1">
      <c r="A3992" s="9"/>
      <c r="B3992" s="9"/>
      <c r="C3992" s="9" t="s">
        <v>3157</v>
      </c>
      <c r="D3992" s="9" t="s">
        <v>3165</v>
      </c>
      <c r="E3992" s="9" t="s">
        <v>3151</v>
      </c>
      <c r="F3992" s="9" t="s">
        <v>282</v>
      </c>
      <c r="H3992" s="9"/>
    </row>
    <row r="3993" ht="14.25" customHeight="1">
      <c r="A3993" s="9"/>
      <c r="B3993" s="9"/>
      <c r="C3993" s="9" t="s">
        <v>3157</v>
      </c>
      <c r="D3993" s="9" t="s">
        <v>3165</v>
      </c>
      <c r="E3993" s="9" t="s">
        <v>3151</v>
      </c>
      <c r="F3993" s="9" t="s">
        <v>321</v>
      </c>
      <c r="H3993" s="9"/>
    </row>
    <row r="3994" ht="14.25" customHeight="1">
      <c r="A3994" s="9"/>
      <c r="B3994" s="9"/>
      <c r="C3994" s="9" t="s">
        <v>3157</v>
      </c>
      <c r="D3994" s="9" t="s">
        <v>3165</v>
      </c>
      <c r="E3994" s="9" t="s">
        <v>3151</v>
      </c>
      <c r="F3994" s="9" t="s">
        <v>272</v>
      </c>
      <c r="H3994" s="9"/>
    </row>
    <row r="3995" ht="14.25" customHeight="1">
      <c r="A3995" s="9"/>
      <c r="B3995" s="9"/>
      <c r="C3995" s="9" t="s">
        <v>3157</v>
      </c>
      <c r="D3995" s="9" t="s">
        <v>3165</v>
      </c>
      <c r="E3995" s="9" t="s">
        <v>3151</v>
      </c>
      <c r="F3995" s="9" t="s">
        <v>517</v>
      </c>
      <c r="H3995" s="9"/>
    </row>
    <row r="3996" ht="14.25" customHeight="1">
      <c r="A3996" s="9"/>
      <c r="B3996" s="9"/>
      <c r="C3996" s="9" t="s">
        <v>3157</v>
      </c>
      <c r="D3996" s="9" t="s">
        <v>3165</v>
      </c>
      <c r="E3996" s="9" t="s">
        <v>3151</v>
      </c>
      <c r="F3996" s="9" t="s">
        <v>2593</v>
      </c>
      <c r="H3996" s="9"/>
    </row>
    <row r="3997" ht="14.25" customHeight="1">
      <c r="A3997" s="9"/>
      <c r="B3997" s="9"/>
      <c r="C3997" s="9" t="s">
        <v>3157</v>
      </c>
      <c r="D3997" s="9" t="s">
        <v>3165</v>
      </c>
      <c r="E3997" s="9" t="s">
        <v>3151</v>
      </c>
      <c r="F3997" s="9" t="s">
        <v>507</v>
      </c>
      <c r="H3997" s="9"/>
    </row>
    <row r="3998" ht="14.25" customHeight="1">
      <c r="A3998" s="9"/>
      <c r="B3998" s="9"/>
      <c r="C3998" s="9" t="s">
        <v>3157</v>
      </c>
      <c r="D3998" s="9" t="s">
        <v>3165</v>
      </c>
      <c r="E3998" s="9" t="s">
        <v>3151</v>
      </c>
      <c r="F3998" s="9" t="s">
        <v>336</v>
      </c>
      <c r="H3998" s="9"/>
    </row>
    <row r="3999" ht="14.25" customHeight="1">
      <c r="A3999" s="9"/>
      <c r="B3999" s="9"/>
      <c r="C3999" s="9" t="s">
        <v>3157</v>
      </c>
      <c r="D3999" s="9" t="s">
        <v>3165</v>
      </c>
      <c r="E3999" s="9" t="s">
        <v>3151</v>
      </c>
      <c r="F3999" s="9" t="s">
        <v>235</v>
      </c>
      <c r="H3999" s="9"/>
    </row>
    <row r="4000" ht="14.25" customHeight="1">
      <c r="A4000" s="9"/>
      <c r="B4000" s="9"/>
      <c r="C4000" s="9" t="s">
        <v>3157</v>
      </c>
      <c r="D4000" s="9" t="s">
        <v>3165</v>
      </c>
      <c r="E4000" s="9" t="s">
        <v>3151</v>
      </c>
      <c r="F4000" s="9" t="s">
        <v>327</v>
      </c>
      <c r="H4000" s="9"/>
    </row>
    <row r="4001" ht="14.25" customHeight="1">
      <c r="A4001" s="9"/>
      <c r="B4001" s="9"/>
      <c r="C4001" s="9" t="s">
        <v>3157</v>
      </c>
      <c r="D4001" s="9" t="s">
        <v>3165</v>
      </c>
      <c r="E4001" s="9" t="s">
        <v>3151</v>
      </c>
      <c r="F4001" s="9" t="s">
        <v>264</v>
      </c>
      <c r="H4001" s="9"/>
    </row>
    <row r="4002" ht="14.25" customHeight="1">
      <c r="A4002" s="9"/>
      <c r="B4002" s="9"/>
      <c r="C4002" s="199" t="s">
        <v>3157</v>
      </c>
      <c r="D4002" s="199" t="s">
        <v>3166</v>
      </c>
      <c r="E4002" s="200" t="s">
        <v>3151</v>
      </c>
      <c r="F4002" s="9" t="s">
        <v>474</v>
      </c>
      <c r="H4002" s="9"/>
    </row>
    <row r="4003" ht="14.25" customHeight="1">
      <c r="A4003" s="9"/>
      <c r="B4003" s="9"/>
      <c r="C4003" s="199" t="s">
        <v>3157</v>
      </c>
      <c r="D4003" s="199" t="s">
        <v>3166</v>
      </c>
      <c r="E4003" s="200" t="s">
        <v>3151</v>
      </c>
      <c r="F4003" s="9" t="s">
        <v>284</v>
      </c>
      <c r="H4003" s="9"/>
    </row>
    <row r="4004" ht="14.25" customHeight="1">
      <c r="A4004" s="9"/>
      <c r="B4004" s="9"/>
      <c r="C4004" s="199" t="s">
        <v>3157</v>
      </c>
      <c r="D4004" s="199" t="s">
        <v>3166</v>
      </c>
      <c r="E4004" s="200" t="s">
        <v>3151</v>
      </c>
      <c r="F4004" s="9" t="s">
        <v>493</v>
      </c>
      <c r="H4004" s="9"/>
    </row>
    <row r="4005" ht="14.25" customHeight="1">
      <c r="A4005" s="9"/>
      <c r="B4005" s="9"/>
      <c r="C4005" s="199" t="s">
        <v>3157</v>
      </c>
      <c r="D4005" s="199" t="s">
        <v>3166</v>
      </c>
      <c r="E4005" s="200" t="s">
        <v>3151</v>
      </c>
      <c r="F4005" s="9" t="s">
        <v>450</v>
      </c>
      <c r="H4005" s="9"/>
    </row>
    <row r="4006" ht="14.25" customHeight="1">
      <c r="A4006" s="9"/>
      <c r="B4006" s="9"/>
      <c r="C4006" s="199" t="s">
        <v>3157</v>
      </c>
      <c r="D4006" s="199" t="s">
        <v>3166</v>
      </c>
      <c r="E4006" s="200" t="s">
        <v>3151</v>
      </c>
      <c r="F4006" s="9" t="s">
        <v>2296</v>
      </c>
      <c r="H4006" s="9"/>
    </row>
    <row r="4007" ht="14.25" customHeight="1">
      <c r="A4007" s="9"/>
      <c r="B4007" s="9"/>
      <c r="C4007" s="199" t="s">
        <v>3157</v>
      </c>
      <c r="D4007" s="199" t="s">
        <v>3166</v>
      </c>
      <c r="E4007" s="200" t="s">
        <v>3151</v>
      </c>
      <c r="F4007" s="9" t="s">
        <v>276</v>
      </c>
      <c r="H4007" s="9"/>
    </row>
    <row r="4008" ht="14.25" customHeight="1">
      <c r="A4008" s="9"/>
      <c r="B4008" s="9"/>
      <c r="C4008" s="199" t="s">
        <v>3157</v>
      </c>
      <c r="D4008" s="199" t="s">
        <v>3166</v>
      </c>
      <c r="E4008" s="200" t="s">
        <v>3151</v>
      </c>
      <c r="F4008" s="9" t="s">
        <v>431</v>
      </c>
      <c r="H4008" s="9"/>
    </row>
    <row r="4009" ht="14.25" customHeight="1">
      <c r="A4009" s="9"/>
      <c r="B4009" s="9"/>
      <c r="C4009" s="199" t="s">
        <v>3157</v>
      </c>
      <c r="D4009" s="199" t="s">
        <v>3166</v>
      </c>
      <c r="E4009" s="200" t="s">
        <v>3151</v>
      </c>
      <c r="F4009" s="9" t="s">
        <v>1272</v>
      </c>
      <c r="H4009" s="9"/>
    </row>
    <row r="4010" ht="14.25" customHeight="1">
      <c r="A4010" s="9"/>
      <c r="B4010" s="9"/>
      <c r="C4010" s="199" t="s">
        <v>3157</v>
      </c>
      <c r="D4010" s="199" t="s">
        <v>3166</v>
      </c>
      <c r="E4010" s="200" t="s">
        <v>3151</v>
      </c>
      <c r="F4010" s="9" t="s">
        <v>420</v>
      </c>
      <c r="H4010" s="9"/>
    </row>
    <row r="4011" ht="14.25" customHeight="1">
      <c r="A4011" s="9"/>
      <c r="B4011" s="9"/>
      <c r="C4011" s="199" t="s">
        <v>3157</v>
      </c>
      <c r="D4011" s="199" t="s">
        <v>3166</v>
      </c>
      <c r="E4011" s="200" t="s">
        <v>3151</v>
      </c>
      <c r="F4011" s="9" t="s">
        <v>482</v>
      </c>
      <c r="H4011" s="9"/>
    </row>
    <row r="4012" ht="14.25" customHeight="1">
      <c r="A4012" s="9"/>
      <c r="B4012" s="9"/>
      <c r="C4012" s="199" t="s">
        <v>3157</v>
      </c>
      <c r="D4012" s="199" t="s">
        <v>3166</v>
      </c>
      <c r="E4012" s="200" t="s">
        <v>3151</v>
      </c>
      <c r="F4012" s="15" t="s">
        <v>136</v>
      </c>
      <c r="H4012" s="9"/>
    </row>
    <row r="4013" ht="14.25" customHeight="1">
      <c r="A4013" s="9"/>
      <c r="B4013" s="9"/>
      <c r="C4013" s="199" t="s">
        <v>3157</v>
      </c>
      <c r="D4013" s="199" t="s">
        <v>3166</v>
      </c>
      <c r="E4013" s="200" t="s">
        <v>3151</v>
      </c>
      <c r="F4013" s="9" t="s">
        <v>408</v>
      </c>
      <c r="H4013" s="9"/>
    </row>
    <row r="4014" ht="14.25" customHeight="1">
      <c r="A4014" s="9"/>
      <c r="B4014" s="9"/>
      <c r="C4014" s="199" t="s">
        <v>3157</v>
      </c>
      <c r="D4014" s="199" t="s">
        <v>3166</v>
      </c>
      <c r="E4014" s="200" t="s">
        <v>3151</v>
      </c>
      <c r="F4014" s="9" t="s">
        <v>2301</v>
      </c>
      <c r="H4014" s="9"/>
    </row>
    <row r="4015" ht="14.25" customHeight="1">
      <c r="A4015" s="9"/>
      <c r="B4015" s="9"/>
      <c r="C4015" s="199" t="s">
        <v>3157</v>
      </c>
      <c r="D4015" s="199" t="s">
        <v>3166</v>
      </c>
      <c r="E4015" s="200" t="s">
        <v>3151</v>
      </c>
      <c r="F4015" s="9" t="s">
        <v>197</v>
      </c>
      <c r="H4015" s="9"/>
    </row>
    <row r="4016" ht="14.25" customHeight="1">
      <c r="A4016" s="9"/>
      <c r="B4016" s="9"/>
      <c r="C4016" s="199" t="s">
        <v>3157</v>
      </c>
      <c r="D4016" s="199" t="s">
        <v>3166</v>
      </c>
      <c r="E4016" s="200" t="s">
        <v>3151</v>
      </c>
      <c r="F4016" s="9" t="s">
        <v>172</v>
      </c>
      <c r="H4016" s="9"/>
    </row>
    <row r="4017" ht="14.25" customHeight="1">
      <c r="A4017" s="9"/>
      <c r="B4017" s="9"/>
      <c r="C4017" s="199" t="s">
        <v>3157</v>
      </c>
      <c r="D4017" s="199" t="s">
        <v>3166</v>
      </c>
      <c r="E4017" s="200" t="s">
        <v>3151</v>
      </c>
      <c r="F4017" s="9" t="s">
        <v>98</v>
      </c>
      <c r="H4017" s="9"/>
    </row>
    <row r="4018" ht="14.25" customHeight="1">
      <c r="A4018" s="9"/>
      <c r="B4018" s="9"/>
      <c r="C4018" s="199" t="s">
        <v>3157</v>
      </c>
      <c r="D4018" s="199" t="s">
        <v>3166</v>
      </c>
      <c r="E4018" s="200" t="s">
        <v>3151</v>
      </c>
      <c r="F4018" s="9" t="s">
        <v>341</v>
      </c>
      <c r="H4018" s="9"/>
    </row>
    <row r="4019" ht="14.25" customHeight="1">
      <c r="A4019" s="9"/>
      <c r="B4019" s="9"/>
      <c r="C4019" s="199" t="s">
        <v>3157</v>
      </c>
      <c r="D4019" s="199" t="s">
        <v>3166</v>
      </c>
      <c r="E4019" s="200" t="s">
        <v>3151</v>
      </c>
      <c r="F4019" s="9" t="s">
        <v>367</v>
      </c>
      <c r="H4019" s="9"/>
    </row>
    <row r="4020" ht="14.25" customHeight="1">
      <c r="A4020" s="9"/>
      <c r="B4020" s="9"/>
      <c r="C4020" s="199" t="s">
        <v>3157</v>
      </c>
      <c r="D4020" s="199" t="s">
        <v>3166</v>
      </c>
      <c r="E4020" s="200" t="s">
        <v>3151</v>
      </c>
      <c r="F4020" s="9" t="s">
        <v>529</v>
      </c>
      <c r="H4020" s="9"/>
    </row>
    <row r="4021" ht="14.25" customHeight="1">
      <c r="A4021" s="9"/>
      <c r="B4021" s="9"/>
      <c r="C4021" s="199" t="s">
        <v>3157</v>
      </c>
      <c r="D4021" s="199" t="s">
        <v>3166</v>
      </c>
      <c r="E4021" s="200" t="s">
        <v>3151</v>
      </c>
      <c r="F4021" s="9" t="s">
        <v>282</v>
      </c>
      <c r="H4021" s="9"/>
    </row>
    <row r="4022" ht="14.25" customHeight="1">
      <c r="A4022" s="9"/>
      <c r="B4022" s="9"/>
      <c r="C4022" s="199" t="s">
        <v>3157</v>
      </c>
      <c r="D4022" s="199" t="s">
        <v>3166</v>
      </c>
      <c r="E4022" s="200" t="s">
        <v>3151</v>
      </c>
      <c r="F4022" s="9" t="s">
        <v>321</v>
      </c>
      <c r="H4022" s="9"/>
    </row>
    <row r="4023" ht="14.25" customHeight="1">
      <c r="A4023" s="9"/>
      <c r="B4023" s="9"/>
      <c r="C4023" s="199" t="s">
        <v>3157</v>
      </c>
      <c r="D4023" s="199" t="s">
        <v>3166</v>
      </c>
      <c r="E4023" s="200" t="s">
        <v>3151</v>
      </c>
      <c r="F4023" s="9" t="s">
        <v>272</v>
      </c>
      <c r="H4023" s="9"/>
    </row>
    <row r="4024" ht="14.25" customHeight="1">
      <c r="A4024" s="9"/>
      <c r="B4024" s="9"/>
      <c r="C4024" s="199" t="s">
        <v>3157</v>
      </c>
      <c r="D4024" s="199" t="s">
        <v>3166</v>
      </c>
      <c r="E4024" s="200" t="s">
        <v>3151</v>
      </c>
      <c r="F4024" s="9" t="s">
        <v>517</v>
      </c>
      <c r="H4024" s="9"/>
    </row>
    <row r="4025" ht="14.25" customHeight="1">
      <c r="A4025" s="9"/>
      <c r="B4025" s="9"/>
      <c r="C4025" s="199" t="s">
        <v>3157</v>
      </c>
      <c r="D4025" s="199" t="s">
        <v>3166</v>
      </c>
      <c r="E4025" s="200" t="s">
        <v>3151</v>
      </c>
      <c r="F4025" s="9" t="s">
        <v>2309</v>
      </c>
      <c r="H4025" s="9"/>
    </row>
    <row r="4026" ht="14.25" customHeight="1">
      <c r="A4026" s="9"/>
      <c r="B4026" s="9"/>
      <c r="C4026" s="199" t="s">
        <v>3157</v>
      </c>
      <c r="D4026" s="199" t="s">
        <v>3166</v>
      </c>
      <c r="E4026" s="200" t="s">
        <v>3151</v>
      </c>
      <c r="F4026" s="9" t="s">
        <v>507</v>
      </c>
      <c r="H4026" s="9"/>
    </row>
    <row r="4027" ht="14.25" customHeight="1">
      <c r="A4027" s="9"/>
      <c r="B4027" s="9"/>
      <c r="C4027" s="199" t="s">
        <v>3157</v>
      </c>
      <c r="D4027" s="199" t="s">
        <v>3166</v>
      </c>
      <c r="E4027" s="200" t="s">
        <v>3151</v>
      </c>
      <c r="F4027" s="9" t="s">
        <v>336</v>
      </c>
      <c r="H4027" s="9"/>
    </row>
    <row r="4028" ht="14.25" customHeight="1">
      <c r="A4028" s="9"/>
      <c r="B4028" s="9"/>
      <c r="C4028" s="199" t="s">
        <v>3157</v>
      </c>
      <c r="D4028" s="199" t="s">
        <v>3166</v>
      </c>
      <c r="E4028" s="200" t="s">
        <v>3151</v>
      </c>
      <c r="F4028" s="9" t="s">
        <v>235</v>
      </c>
      <c r="H4028" s="9"/>
    </row>
    <row r="4029" ht="14.25" customHeight="1">
      <c r="A4029" s="9"/>
      <c r="B4029" s="9"/>
      <c r="C4029" s="199" t="s">
        <v>3157</v>
      </c>
      <c r="D4029" s="199" t="s">
        <v>3166</v>
      </c>
      <c r="E4029" s="200" t="s">
        <v>3151</v>
      </c>
      <c r="F4029" s="9" t="s">
        <v>327</v>
      </c>
      <c r="H4029" s="9"/>
    </row>
    <row r="4030" ht="14.25" customHeight="1">
      <c r="A4030" s="9"/>
      <c r="B4030" s="9"/>
      <c r="C4030" s="199" t="s">
        <v>3157</v>
      </c>
      <c r="D4030" s="199" t="s">
        <v>3166</v>
      </c>
      <c r="E4030" s="200" t="s">
        <v>3151</v>
      </c>
      <c r="F4030" s="9" t="s">
        <v>264</v>
      </c>
      <c r="H4030" s="9"/>
    </row>
    <row r="4031" ht="14.25" customHeight="1">
      <c r="A4031" s="9"/>
      <c r="B4031" s="9"/>
      <c r="C4031" s="200" t="s">
        <v>3157</v>
      </c>
      <c r="D4031" s="208" t="s">
        <v>3167</v>
      </c>
      <c r="E4031" s="200" t="s">
        <v>3151</v>
      </c>
      <c r="F4031" s="211" t="s">
        <v>474</v>
      </c>
      <c r="H4031" s="9"/>
    </row>
    <row r="4032" ht="14.25" customHeight="1">
      <c r="A4032" s="9"/>
      <c r="B4032" s="9"/>
      <c r="C4032" s="200" t="s">
        <v>3157</v>
      </c>
      <c r="D4032" s="208" t="s">
        <v>3167</v>
      </c>
      <c r="E4032" s="200" t="s">
        <v>3151</v>
      </c>
      <c r="F4032" s="185" t="s">
        <v>284</v>
      </c>
      <c r="H4032" s="9"/>
    </row>
    <row r="4033" ht="14.25" customHeight="1">
      <c r="A4033" s="9"/>
      <c r="B4033" s="9"/>
      <c r="C4033" s="200" t="s">
        <v>3157</v>
      </c>
      <c r="D4033" s="208" t="s">
        <v>3167</v>
      </c>
      <c r="E4033" s="200" t="s">
        <v>3151</v>
      </c>
      <c r="F4033" s="185" t="s">
        <v>493</v>
      </c>
      <c r="H4033" s="9"/>
    </row>
    <row r="4034" ht="14.25" customHeight="1">
      <c r="A4034" s="9"/>
      <c r="B4034" s="9"/>
      <c r="C4034" s="200" t="s">
        <v>3157</v>
      </c>
      <c r="D4034" s="208" t="s">
        <v>3167</v>
      </c>
      <c r="E4034" s="200" t="s">
        <v>3151</v>
      </c>
      <c r="F4034" s="211" t="s">
        <v>450</v>
      </c>
      <c r="H4034" s="9"/>
    </row>
    <row r="4035" ht="14.25" customHeight="1">
      <c r="A4035" s="9"/>
      <c r="B4035" s="9"/>
      <c r="C4035" s="200" t="s">
        <v>3157</v>
      </c>
      <c r="D4035" s="208" t="s">
        <v>3167</v>
      </c>
      <c r="E4035" s="200" t="s">
        <v>3151</v>
      </c>
      <c r="F4035" s="185" t="s">
        <v>2296</v>
      </c>
      <c r="H4035" s="9"/>
    </row>
    <row r="4036" ht="14.25" customHeight="1">
      <c r="A4036" s="9"/>
      <c r="B4036" s="9"/>
      <c r="C4036" s="200" t="s">
        <v>3157</v>
      </c>
      <c r="D4036" s="208" t="s">
        <v>3167</v>
      </c>
      <c r="E4036" s="200" t="s">
        <v>3151</v>
      </c>
      <c r="F4036" s="185" t="s">
        <v>276</v>
      </c>
      <c r="H4036" s="9"/>
    </row>
    <row r="4037" ht="14.25" customHeight="1">
      <c r="A4037" s="9"/>
      <c r="B4037" s="9"/>
      <c r="C4037" s="200" t="s">
        <v>3157</v>
      </c>
      <c r="D4037" s="208" t="s">
        <v>3167</v>
      </c>
      <c r="E4037" s="200" t="s">
        <v>3151</v>
      </c>
      <c r="F4037" s="185" t="s">
        <v>431</v>
      </c>
      <c r="H4037" s="9"/>
    </row>
    <row r="4038" ht="14.25" customHeight="1">
      <c r="A4038" s="9"/>
      <c r="B4038" s="9"/>
      <c r="C4038" s="200" t="s">
        <v>3157</v>
      </c>
      <c r="D4038" s="208" t="s">
        <v>3167</v>
      </c>
      <c r="E4038" s="200" t="s">
        <v>3151</v>
      </c>
      <c r="F4038" s="185" t="s">
        <v>1272</v>
      </c>
      <c r="H4038" s="9"/>
    </row>
    <row r="4039" ht="14.25" customHeight="1">
      <c r="A4039" s="9"/>
      <c r="B4039" s="9"/>
      <c r="C4039" s="200" t="s">
        <v>3157</v>
      </c>
      <c r="D4039" s="208" t="s">
        <v>3167</v>
      </c>
      <c r="E4039" s="200" t="s">
        <v>3151</v>
      </c>
      <c r="F4039" s="185" t="s">
        <v>420</v>
      </c>
      <c r="H4039" s="9"/>
    </row>
    <row r="4040" ht="14.25" customHeight="1">
      <c r="A4040" s="9"/>
      <c r="B4040" s="9"/>
      <c r="C4040" s="200" t="s">
        <v>3157</v>
      </c>
      <c r="D4040" s="208" t="s">
        <v>3167</v>
      </c>
      <c r="E4040" s="200" t="s">
        <v>3151</v>
      </c>
      <c r="F4040" s="211" t="s">
        <v>482</v>
      </c>
      <c r="H4040" s="9"/>
    </row>
    <row r="4041" ht="14.25" customHeight="1">
      <c r="A4041" s="9"/>
      <c r="B4041" s="9"/>
      <c r="C4041" s="200" t="s">
        <v>3157</v>
      </c>
      <c r="D4041" s="208" t="s">
        <v>3167</v>
      </c>
      <c r="E4041" s="200" t="s">
        <v>3151</v>
      </c>
      <c r="F4041" s="97" t="s">
        <v>136</v>
      </c>
      <c r="H4041" s="9"/>
    </row>
    <row r="4042" ht="14.25" customHeight="1">
      <c r="A4042" s="9"/>
      <c r="B4042" s="9"/>
      <c r="C4042" s="200" t="s">
        <v>3157</v>
      </c>
      <c r="D4042" s="208" t="s">
        <v>3167</v>
      </c>
      <c r="E4042" s="200" t="s">
        <v>3151</v>
      </c>
      <c r="F4042" s="185" t="s">
        <v>408</v>
      </c>
      <c r="H4042" s="9"/>
    </row>
    <row r="4043" ht="14.25" customHeight="1">
      <c r="A4043" s="9"/>
      <c r="B4043" s="9"/>
      <c r="C4043" s="200" t="s">
        <v>3157</v>
      </c>
      <c r="D4043" s="208" t="s">
        <v>3167</v>
      </c>
      <c r="E4043" s="200" t="s">
        <v>3151</v>
      </c>
      <c r="F4043" s="185" t="s">
        <v>2301</v>
      </c>
      <c r="H4043" s="9"/>
    </row>
    <row r="4044" ht="14.25" customHeight="1">
      <c r="A4044" s="9"/>
      <c r="B4044" s="9"/>
      <c r="C4044" s="200" t="s">
        <v>3157</v>
      </c>
      <c r="D4044" s="208" t="s">
        <v>3167</v>
      </c>
      <c r="E4044" s="200" t="s">
        <v>3151</v>
      </c>
      <c r="F4044" s="185" t="s">
        <v>197</v>
      </c>
      <c r="H4044" s="9"/>
    </row>
    <row r="4045" ht="14.25" customHeight="1">
      <c r="A4045" s="9"/>
      <c r="B4045" s="9"/>
      <c r="C4045" s="200" t="s">
        <v>3157</v>
      </c>
      <c r="D4045" s="208" t="s">
        <v>3167</v>
      </c>
      <c r="E4045" s="200" t="s">
        <v>3151</v>
      </c>
      <c r="F4045" s="185" t="s">
        <v>172</v>
      </c>
      <c r="H4045" s="9"/>
    </row>
    <row r="4046" ht="14.25" customHeight="1">
      <c r="A4046" s="9"/>
      <c r="B4046" s="9"/>
      <c r="C4046" s="200" t="s">
        <v>3157</v>
      </c>
      <c r="D4046" s="208" t="s">
        <v>3167</v>
      </c>
      <c r="E4046" s="200" t="s">
        <v>3151</v>
      </c>
      <c r="F4046" s="185" t="s">
        <v>98</v>
      </c>
      <c r="H4046" s="9"/>
    </row>
    <row r="4047" ht="14.25" customHeight="1">
      <c r="A4047" s="9"/>
      <c r="B4047" s="9"/>
      <c r="C4047" s="200" t="s">
        <v>3157</v>
      </c>
      <c r="D4047" s="208" t="s">
        <v>3167</v>
      </c>
      <c r="E4047" s="200" t="s">
        <v>3151</v>
      </c>
      <c r="F4047" s="211" t="s">
        <v>341</v>
      </c>
      <c r="H4047" s="9"/>
    </row>
    <row r="4048" ht="14.25" customHeight="1">
      <c r="A4048" s="9"/>
      <c r="B4048" s="9"/>
      <c r="C4048" s="200" t="s">
        <v>3157</v>
      </c>
      <c r="D4048" s="208" t="s">
        <v>3167</v>
      </c>
      <c r="E4048" s="200" t="s">
        <v>3151</v>
      </c>
      <c r="F4048" s="185" t="s">
        <v>367</v>
      </c>
      <c r="H4048" s="9"/>
    </row>
    <row r="4049" ht="14.25" customHeight="1">
      <c r="A4049" s="9"/>
      <c r="B4049" s="9"/>
      <c r="C4049" s="200" t="s">
        <v>3157</v>
      </c>
      <c r="D4049" s="208" t="s">
        <v>3167</v>
      </c>
      <c r="E4049" s="200" t="s">
        <v>3151</v>
      </c>
      <c r="F4049" s="185" t="s">
        <v>529</v>
      </c>
      <c r="H4049" s="9"/>
    </row>
    <row r="4050" ht="14.25" customHeight="1">
      <c r="A4050" s="9"/>
      <c r="B4050" s="9"/>
      <c r="C4050" s="200" t="s">
        <v>3157</v>
      </c>
      <c r="D4050" s="208" t="s">
        <v>3167</v>
      </c>
      <c r="E4050" s="200" t="s">
        <v>3151</v>
      </c>
      <c r="F4050" s="185" t="s">
        <v>282</v>
      </c>
      <c r="H4050" s="9"/>
    </row>
    <row r="4051" ht="14.25" customHeight="1">
      <c r="A4051" s="9"/>
      <c r="B4051" s="9"/>
      <c r="C4051" s="200" t="s">
        <v>3157</v>
      </c>
      <c r="D4051" s="208" t="s">
        <v>3167</v>
      </c>
      <c r="E4051" s="200" t="s">
        <v>3151</v>
      </c>
      <c r="F4051" s="185" t="s">
        <v>321</v>
      </c>
      <c r="H4051" s="9"/>
    </row>
    <row r="4052" ht="14.25" customHeight="1">
      <c r="A4052" s="9"/>
      <c r="B4052" s="9"/>
      <c r="C4052" s="200" t="s">
        <v>3157</v>
      </c>
      <c r="D4052" s="208" t="s">
        <v>3167</v>
      </c>
      <c r="E4052" s="200" t="s">
        <v>3151</v>
      </c>
      <c r="F4052" s="185" t="s">
        <v>272</v>
      </c>
      <c r="H4052" s="9"/>
    </row>
    <row r="4053" ht="14.25" customHeight="1">
      <c r="A4053" s="9"/>
      <c r="B4053" s="9"/>
      <c r="C4053" s="200" t="s">
        <v>3157</v>
      </c>
      <c r="D4053" s="208" t="s">
        <v>3167</v>
      </c>
      <c r="E4053" s="200" t="s">
        <v>3151</v>
      </c>
      <c r="F4053" s="185" t="s">
        <v>517</v>
      </c>
      <c r="H4053" s="9"/>
    </row>
    <row r="4054" ht="14.25" customHeight="1">
      <c r="A4054" s="9"/>
      <c r="B4054" s="9"/>
      <c r="C4054" s="200" t="s">
        <v>3157</v>
      </c>
      <c r="D4054" s="208" t="s">
        <v>3167</v>
      </c>
      <c r="E4054" s="200" t="s">
        <v>3151</v>
      </c>
      <c r="F4054" s="185" t="s">
        <v>2309</v>
      </c>
      <c r="H4054" s="9"/>
    </row>
    <row r="4055" ht="14.25" customHeight="1">
      <c r="A4055" s="9"/>
      <c r="B4055" s="9"/>
      <c r="C4055" s="200" t="s">
        <v>3157</v>
      </c>
      <c r="D4055" s="208" t="s">
        <v>3167</v>
      </c>
      <c r="E4055" s="200" t="s">
        <v>3151</v>
      </c>
      <c r="F4055" s="211" t="s">
        <v>507</v>
      </c>
      <c r="H4055" s="9"/>
    </row>
    <row r="4056" ht="14.25" customHeight="1">
      <c r="A4056" s="9"/>
      <c r="B4056" s="9"/>
      <c r="C4056" s="200" t="s">
        <v>3157</v>
      </c>
      <c r="D4056" s="208" t="s">
        <v>3167</v>
      </c>
      <c r="E4056" s="200" t="s">
        <v>3151</v>
      </c>
      <c r="F4056" s="185" t="s">
        <v>336</v>
      </c>
      <c r="H4056" s="9"/>
    </row>
    <row r="4057" ht="14.25" customHeight="1">
      <c r="A4057" s="9"/>
      <c r="B4057" s="9"/>
      <c r="C4057" s="200" t="s">
        <v>3157</v>
      </c>
      <c r="D4057" s="208" t="s">
        <v>3167</v>
      </c>
      <c r="E4057" s="200" t="s">
        <v>3151</v>
      </c>
      <c r="F4057" s="211" t="s">
        <v>235</v>
      </c>
      <c r="H4057" s="9"/>
    </row>
    <row r="4058" ht="14.25" customHeight="1">
      <c r="A4058" s="9"/>
      <c r="B4058" s="9"/>
      <c r="C4058" s="200" t="s">
        <v>3157</v>
      </c>
      <c r="D4058" s="208" t="s">
        <v>3167</v>
      </c>
      <c r="E4058" s="200" t="s">
        <v>3151</v>
      </c>
      <c r="F4058" s="185" t="s">
        <v>327</v>
      </c>
      <c r="H4058" s="9"/>
    </row>
    <row r="4059" ht="14.25" customHeight="1">
      <c r="A4059" s="9"/>
      <c r="B4059" s="9"/>
      <c r="C4059" s="200" t="s">
        <v>3157</v>
      </c>
      <c r="D4059" s="208" t="s">
        <v>3167</v>
      </c>
      <c r="E4059" s="200" t="s">
        <v>3151</v>
      </c>
      <c r="F4059" s="185" t="s">
        <v>264</v>
      </c>
      <c r="H4059" s="9"/>
    </row>
    <row r="4060" ht="14.25" customHeight="1">
      <c r="A4060" s="9"/>
      <c r="B4060" s="9"/>
      <c r="C4060" s="200" t="s">
        <v>3157</v>
      </c>
      <c r="D4060" s="208" t="s">
        <v>3168</v>
      </c>
      <c r="E4060" s="200" t="s">
        <v>3151</v>
      </c>
      <c r="F4060" s="211" t="s">
        <v>474</v>
      </c>
      <c r="H4060" s="9"/>
    </row>
    <row r="4061" ht="14.25" customHeight="1">
      <c r="A4061" s="9"/>
      <c r="B4061" s="9"/>
      <c r="C4061" s="200" t="s">
        <v>3157</v>
      </c>
      <c r="D4061" s="208" t="s">
        <v>3168</v>
      </c>
      <c r="E4061" s="200" t="s">
        <v>3151</v>
      </c>
      <c r="F4061" s="185" t="s">
        <v>284</v>
      </c>
      <c r="H4061" s="9"/>
    </row>
    <row r="4062" ht="14.25" customHeight="1">
      <c r="A4062" s="9"/>
      <c r="B4062" s="9"/>
      <c r="C4062" s="200" t="s">
        <v>3157</v>
      </c>
      <c r="D4062" s="208" t="s">
        <v>3168</v>
      </c>
      <c r="E4062" s="200" t="s">
        <v>3151</v>
      </c>
      <c r="F4062" s="185" t="s">
        <v>493</v>
      </c>
      <c r="H4062" s="9"/>
    </row>
    <row r="4063" ht="14.25" customHeight="1">
      <c r="A4063" s="9"/>
      <c r="B4063" s="9"/>
      <c r="C4063" s="200" t="s">
        <v>3157</v>
      </c>
      <c r="D4063" s="208" t="s">
        <v>3168</v>
      </c>
      <c r="E4063" s="200" t="s">
        <v>3151</v>
      </c>
      <c r="F4063" s="211" t="s">
        <v>450</v>
      </c>
      <c r="H4063" s="9"/>
    </row>
    <row r="4064" ht="14.25" customHeight="1">
      <c r="A4064" s="9"/>
      <c r="B4064" s="9"/>
      <c r="C4064" s="200" t="s">
        <v>3157</v>
      </c>
      <c r="D4064" s="208" t="s">
        <v>3168</v>
      </c>
      <c r="E4064" s="200" t="s">
        <v>3151</v>
      </c>
      <c r="F4064" s="185" t="s">
        <v>2296</v>
      </c>
      <c r="H4064" s="9"/>
    </row>
    <row r="4065" ht="14.25" customHeight="1">
      <c r="A4065" s="9"/>
      <c r="B4065" s="9"/>
      <c r="C4065" s="200" t="s">
        <v>3157</v>
      </c>
      <c r="D4065" s="208" t="s">
        <v>3168</v>
      </c>
      <c r="E4065" s="200" t="s">
        <v>3151</v>
      </c>
      <c r="F4065" s="185" t="s">
        <v>276</v>
      </c>
      <c r="H4065" s="9"/>
    </row>
    <row r="4066" ht="14.25" customHeight="1">
      <c r="A4066" s="9"/>
      <c r="B4066" s="9"/>
      <c r="C4066" s="200" t="s">
        <v>3157</v>
      </c>
      <c r="D4066" s="208" t="s">
        <v>3168</v>
      </c>
      <c r="E4066" s="200" t="s">
        <v>3151</v>
      </c>
      <c r="F4066" s="185" t="s">
        <v>431</v>
      </c>
      <c r="H4066" s="9"/>
    </row>
    <row r="4067" ht="14.25" customHeight="1">
      <c r="A4067" s="9"/>
      <c r="B4067" s="9"/>
      <c r="C4067" s="200" t="s">
        <v>3157</v>
      </c>
      <c r="D4067" s="208" t="s">
        <v>3168</v>
      </c>
      <c r="E4067" s="200" t="s">
        <v>3151</v>
      </c>
      <c r="F4067" s="185" t="s">
        <v>1272</v>
      </c>
      <c r="H4067" s="9"/>
    </row>
    <row r="4068" ht="14.25" customHeight="1">
      <c r="A4068" s="9"/>
      <c r="B4068" s="9"/>
      <c r="C4068" s="200" t="s">
        <v>3157</v>
      </c>
      <c r="D4068" s="208" t="s">
        <v>3168</v>
      </c>
      <c r="E4068" s="200" t="s">
        <v>3151</v>
      </c>
      <c r="F4068" s="185" t="s">
        <v>420</v>
      </c>
      <c r="H4068" s="9"/>
    </row>
    <row r="4069" ht="14.25" customHeight="1">
      <c r="A4069" s="9"/>
      <c r="B4069" s="9"/>
      <c r="C4069" s="200" t="s">
        <v>3157</v>
      </c>
      <c r="D4069" s="208" t="s">
        <v>3168</v>
      </c>
      <c r="E4069" s="200" t="s">
        <v>3151</v>
      </c>
      <c r="F4069" s="211" t="s">
        <v>482</v>
      </c>
      <c r="H4069" s="9"/>
    </row>
    <row r="4070" ht="14.25" customHeight="1">
      <c r="A4070" s="9"/>
      <c r="B4070" s="9"/>
      <c r="C4070" s="200" t="s">
        <v>3157</v>
      </c>
      <c r="D4070" s="208" t="s">
        <v>3168</v>
      </c>
      <c r="E4070" s="200" t="s">
        <v>3151</v>
      </c>
      <c r="F4070" s="97" t="s">
        <v>136</v>
      </c>
      <c r="H4070" s="9"/>
    </row>
    <row r="4071" ht="14.25" customHeight="1">
      <c r="A4071" s="9"/>
      <c r="B4071" s="9"/>
      <c r="C4071" s="200" t="s">
        <v>3157</v>
      </c>
      <c r="D4071" s="208" t="s">
        <v>3168</v>
      </c>
      <c r="E4071" s="200" t="s">
        <v>3151</v>
      </c>
      <c r="F4071" s="185" t="s">
        <v>408</v>
      </c>
      <c r="H4071" s="9"/>
    </row>
    <row r="4072" ht="14.25" customHeight="1">
      <c r="A4072" s="9"/>
      <c r="B4072" s="9"/>
      <c r="C4072" s="200" t="s">
        <v>3157</v>
      </c>
      <c r="D4072" s="208" t="s">
        <v>3168</v>
      </c>
      <c r="E4072" s="200" t="s">
        <v>3151</v>
      </c>
      <c r="F4072" s="185" t="s">
        <v>2301</v>
      </c>
      <c r="H4072" s="9"/>
    </row>
    <row r="4073" ht="14.25" customHeight="1">
      <c r="A4073" s="9"/>
      <c r="B4073" s="9"/>
      <c r="C4073" s="200" t="s">
        <v>3157</v>
      </c>
      <c r="D4073" s="208" t="s">
        <v>3168</v>
      </c>
      <c r="E4073" s="200" t="s">
        <v>3151</v>
      </c>
      <c r="F4073" s="185" t="s">
        <v>197</v>
      </c>
      <c r="H4073" s="9"/>
    </row>
    <row r="4074" ht="14.25" customHeight="1">
      <c r="A4074" s="9"/>
      <c r="B4074" s="9"/>
      <c r="C4074" s="200" t="s">
        <v>3157</v>
      </c>
      <c r="D4074" s="208" t="s">
        <v>3168</v>
      </c>
      <c r="E4074" s="200" t="s">
        <v>3151</v>
      </c>
      <c r="F4074" s="185" t="s">
        <v>172</v>
      </c>
      <c r="H4074" s="9"/>
    </row>
    <row r="4075" ht="14.25" customHeight="1">
      <c r="A4075" s="9"/>
      <c r="B4075" s="9"/>
      <c r="C4075" s="200" t="s">
        <v>3157</v>
      </c>
      <c r="D4075" s="208" t="s">
        <v>3168</v>
      </c>
      <c r="E4075" s="200" t="s">
        <v>3151</v>
      </c>
      <c r="F4075" s="185" t="s">
        <v>98</v>
      </c>
      <c r="H4075" s="9"/>
    </row>
    <row r="4076" ht="14.25" customHeight="1">
      <c r="A4076" s="9"/>
      <c r="B4076" s="9"/>
      <c r="C4076" s="200" t="s">
        <v>3157</v>
      </c>
      <c r="D4076" s="208" t="s">
        <v>3168</v>
      </c>
      <c r="E4076" s="200" t="s">
        <v>3151</v>
      </c>
      <c r="F4076" s="211" t="s">
        <v>341</v>
      </c>
      <c r="H4076" s="9"/>
    </row>
    <row r="4077" ht="14.25" customHeight="1">
      <c r="A4077" s="9"/>
      <c r="B4077" s="9"/>
      <c r="C4077" s="200" t="s">
        <v>3157</v>
      </c>
      <c r="D4077" s="208" t="s">
        <v>3168</v>
      </c>
      <c r="E4077" s="200" t="s">
        <v>3151</v>
      </c>
      <c r="F4077" s="185" t="s">
        <v>367</v>
      </c>
      <c r="H4077" s="9"/>
    </row>
    <row r="4078" ht="14.25" customHeight="1">
      <c r="A4078" s="9"/>
      <c r="B4078" s="9"/>
      <c r="C4078" s="200" t="s">
        <v>3157</v>
      </c>
      <c r="D4078" s="208" t="s">
        <v>3168</v>
      </c>
      <c r="E4078" s="200" t="s">
        <v>3151</v>
      </c>
      <c r="F4078" s="185" t="s">
        <v>529</v>
      </c>
      <c r="H4078" s="9"/>
    </row>
    <row r="4079" ht="14.25" customHeight="1">
      <c r="A4079" s="9"/>
      <c r="B4079" s="9"/>
      <c r="C4079" s="200" t="s">
        <v>3157</v>
      </c>
      <c r="D4079" s="208" t="s">
        <v>3168</v>
      </c>
      <c r="E4079" s="200" t="s">
        <v>3151</v>
      </c>
      <c r="F4079" s="185" t="s">
        <v>282</v>
      </c>
      <c r="H4079" s="9"/>
    </row>
    <row r="4080" ht="14.25" customHeight="1">
      <c r="A4080" s="9"/>
      <c r="B4080" s="9"/>
      <c r="C4080" s="200" t="s">
        <v>3157</v>
      </c>
      <c r="D4080" s="208" t="s">
        <v>3168</v>
      </c>
      <c r="E4080" s="200" t="s">
        <v>3151</v>
      </c>
      <c r="F4080" s="185" t="s">
        <v>321</v>
      </c>
      <c r="H4080" s="9"/>
    </row>
    <row r="4081" ht="14.25" customHeight="1">
      <c r="A4081" s="9"/>
      <c r="B4081" s="9"/>
      <c r="C4081" s="200" t="s">
        <v>3157</v>
      </c>
      <c r="D4081" s="208" t="s">
        <v>3168</v>
      </c>
      <c r="E4081" s="200" t="s">
        <v>3151</v>
      </c>
      <c r="F4081" s="185" t="s">
        <v>272</v>
      </c>
      <c r="H4081" s="9"/>
    </row>
    <row r="4082" ht="14.25" customHeight="1">
      <c r="A4082" s="9"/>
      <c r="B4082" s="9"/>
      <c r="C4082" s="200" t="s">
        <v>3157</v>
      </c>
      <c r="D4082" s="208" t="s">
        <v>3168</v>
      </c>
      <c r="E4082" s="200" t="s">
        <v>3151</v>
      </c>
      <c r="F4082" s="185" t="s">
        <v>517</v>
      </c>
      <c r="H4082" s="9"/>
    </row>
    <row r="4083" ht="14.25" customHeight="1">
      <c r="A4083" s="9"/>
      <c r="B4083" s="9"/>
      <c r="C4083" s="200" t="s">
        <v>3157</v>
      </c>
      <c r="D4083" s="208" t="s">
        <v>3168</v>
      </c>
      <c r="E4083" s="200" t="s">
        <v>3151</v>
      </c>
      <c r="F4083" s="185" t="s">
        <v>2309</v>
      </c>
      <c r="H4083" s="9"/>
    </row>
    <row r="4084" ht="14.25" customHeight="1">
      <c r="A4084" s="9"/>
      <c r="B4084" s="9"/>
      <c r="C4084" s="200" t="s">
        <v>3157</v>
      </c>
      <c r="D4084" s="208" t="s">
        <v>3168</v>
      </c>
      <c r="E4084" s="200" t="s">
        <v>3151</v>
      </c>
      <c r="F4084" s="211" t="s">
        <v>507</v>
      </c>
      <c r="H4084" s="9"/>
    </row>
    <row r="4085" ht="14.25" customHeight="1">
      <c r="A4085" s="9"/>
      <c r="B4085" s="9"/>
      <c r="C4085" s="200" t="s">
        <v>3157</v>
      </c>
      <c r="D4085" s="208" t="s">
        <v>3168</v>
      </c>
      <c r="E4085" s="200" t="s">
        <v>3151</v>
      </c>
      <c r="F4085" s="185" t="s">
        <v>336</v>
      </c>
      <c r="H4085" s="9"/>
    </row>
    <row r="4086" ht="14.25" customHeight="1">
      <c r="A4086" s="9"/>
      <c r="B4086" s="9"/>
      <c r="C4086" s="200" t="s">
        <v>3157</v>
      </c>
      <c r="D4086" s="208" t="s">
        <v>3168</v>
      </c>
      <c r="E4086" s="200" t="s">
        <v>3151</v>
      </c>
      <c r="F4086" s="211" t="s">
        <v>235</v>
      </c>
      <c r="H4086" s="9"/>
    </row>
    <row r="4087" ht="14.25" customHeight="1">
      <c r="A4087" s="9"/>
      <c r="B4087" s="9"/>
      <c r="C4087" s="200" t="s">
        <v>3157</v>
      </c>
      <c r="D4087" s="208" t="s">
        <v>3168</v>
      </c>
      <c r="E4087" s="200" t="s">
        <v>3151</v>
      </c>
      <c r="F4087" s="185" t="s">
        <v>327</v>
      </c>
      <c r="H4087" s="9"/>
    </row>
    <row r="4088" ht="14.25" customHeight="1">
      <c r="A4088" s="9"/>
      <c r="B4088" s="9"/>
      <c r="C4088" s="200" t="s">
        <v>3157</v>
      </c>
      <c r="D4088" s="208" t="s">
        <v>3168</v>
      </c>
      <c r="E4088" s="200" t="s">
        <v>3151</v>
      </c>
      <c r="F4088" s="185" t="s">
        <v>264</v>
      </c>
      <c r="H4088" s="9"/>
    </row>
    <row r="4089" ht="14.25" customHeight="1">
      <c r="A4089" s="9"/>
      <c r="B4089" s="9"/>
      <c r="C4089" s="199" t="s">
        <v>3157</v>
      </c>
      <c r="D4089" s="199" t="s">
        <v>3169</v>
      </c>
      <c r="E4089" s="200" t="s">
        <v>3151</v>
      </c>
      <c r="F4089" s="9" t="s">
        <v>474</v>
      </c>
      <c r="H4089" s="9"/>
    </row>
    <row r="4090" ht="14.25" customHeight="1">
      <c r="A4090" s="9"/>
      <c r="B4090" s="9"/>
      <c r="C4090" s="199" t="s">
        <v>3157</v>
      </c>
      <c r="D4090" s="199" t="s">
        <v>3169</v>
      </c>
      <c r="E4090" s="200" t="s">
        <v>3151</v>
      </c>
      <c r="F4090" s="9" t="s">
        <v>284</v>
      </c>
      <c r="H4090" s="9"/>
    </row>
    <row r="4091" ht="14.25" customHeight="1">
      <c r="A4091" s="9"/>
      <c r="B4091" s="9"/>
      <c r="C4091" s="199" t="s">
        <v>3157</v>
      </c>
      <c r="D4091" s="199" t="s">
        <v>3169</v>
      </c>
      <c r="E4091" s="200" t="s">
        <v>3151</v>
      </c>
      <c r="F4091" s="9" t="s">
        <v>493</v>
      </c>
      <c r="H4091" s="9"/>
    </row>
    <row r="4092" ht="14.25" customHeight="1">
      <c r="A4092" s="9"/>
      <c r="B4092" s="9"/>
      <c r="C4092" s="199" t="s">
        <v>3157</v>
      </c>
      <c r="D4092" s="199" t="s">
        <v>3169</v>
      </c>
      <c r="E4092" s="200" t="s">
        <v>3151</v>
      </c>
      <c r="F4092" s="9" t="s">
        <v>450</v>
      </c>
      <c r="H4092" s="9"/>
    </row>
    <row r="4093" ht="14.25" customHeight="1">
      <c r="A4093" s="9"/>
      <c r="B4093" s="9"/>
      <c r="C4093" s="199" t="s">
        <v>3157</v>
      </c>
      <c r="D4093" s="199" t="s">
        <v>3169</v>
      </c>
      <c r="E4093" s="200" t="s">
        <v>3151</v>
      </c>
      <c r="F4093" s="9" t="s">
        <v>2296</v>
      </c>
      <c r="H4093" s="9"/>
    </row>
    <row r="4094" ht="14.25" customHeight="1">
      <c r="A4094" s="9"/>
      <c r="B4094" s="9"/>
      <c r="C4094" s="199" t="s">
        <v>3157</v>
      </c>
      <c r="D4094" s="199" t="s">
        <v>3169</v>
      </c>
      <c r="E4094" s="200" t="s">
        <v>3151</v>
      </c>
      <c r="F4094" s="9" t="s">
        <v>276</v>
      </c>
      <c r="H4094" s="9"/>
    </row>
    <row r="4095" ht="14.25" customHeight="1">
      <c r="A4095" s="9"/>
      <c r="B4095" s="9"/>
      <c r="C4095" s="199" t="s">
        <v>3157</v>
      </c>
      <c r="D4095" s="199" t="s">
        <v>3169</v>
      </c>
      <c r="E4095" s="200" t="s">
        <v>3151</v>
      </c>
      <c r="F4095" s="9" t="s">
        <v>431</v>
      </c>
      <c r="H4095" s="9"/>
    </row>
    <row r="4096" ht="14.25" customHeight="1">
      <c r="A4096" s="9"/>
      <c r="B4096" s="9"/>
      <c r="C4096" s="199" t="s">
        <v>3157</v>
      </c>
      <c r="D4096" s="199" t="s">
        <v>3169</v>
      </c>
      <c r="E4096" s="200" t="s">
        <v>3151</v>
      </c>
      <c r="F4096" s="9" t="s">
        <v>1272</v>
      </c>
      <c r="H4096" s="9"/>
    </row>
    <row r="4097" ht="14.25" customHeight="1">
      <c r="A4097" s="9"/>
      <c r="B4097" s="9"/>
      <c r="C4097" s="199" t="s">
        <v>3157</v>
      </c>
      <c r="D4097" s="199" t="s">
        <v>3169</v>
      </c>
      <c r="E4097" s="200" t="s">
        <v>3151</v>
      </c>
      <c r="F4097" s="9" t="s">
        <v>420</v>
      </c>
      <c r="H4097" s="9"/>
    </row>
    <row r="4098" ht="14.25" customHeight="1">
      <c r="A4098" s="9"/>
      <c r="B4098" s="9"/>
      <c r="C4098" s="199" t="s">
        <v>3157</v>
      </c>
      <c r="D4098" s="199" t="s">
        <v>3169</v>
      </c>
      <c r="E4098" s="200" t="s">
        <v>3151</v>
      </c>
      <c r="F4098" s="9" t="s">
        <v>482</v>
      </c>
      <c r="H4098" s="9"/>
    </row>
    <row r="4099" ht="14.25" customHeight="1">
      <c r="A4099" s="9"/>
      <c r="B4099" s="9"/>
      <c r="C4099" s="199" t="s">
        <v>3157</v>
      </c>
      <c r="D4099" s="199" t="s">
        <v>3169</v>
      </c>
      <c r="E4099" s="200" t="s">
        <v>3151</v>
      </c>
      <c r="F4099" s="15" t="s">
        <v>136</v>
      </c>
      <c r="H4099" s="9"/>
    </row>
    <row r="4100" ht="14.25" customHeight="1">
      <c r="A4100" s="9"/>
      <c r="B4100" s="9"/>
      <c r="C4100" s="199" t="s">
        <v>3157</v>
      </c>
      <c r="D4100" s="199" t="s">
        <v>3169</v>
      </c>
      <c r="E4100" s="200" t="s">
        <v>3151</v>
      </c>
      <c r="F4100" s="9" t="s">
        <v>408</v>
      </c>
      <c r="H4100" s="9"/>
    </row>
    <row r="4101" ht="14.25" customHeight="1">
      <c r="A4101" s="9"/>
      <c r="B4101" s="9"/>
      <c r="C4101" s="199" t="s">
        <v>3157</v>
      </c>
      <c r="D4101" s="199" t="s">
        <v>3169</v>
      </c>
      <c r="E4101" s="200" t="s">
        <v>3151</v>
      </c>
      <c r="F4101" s="9" t="s">
        <v>2301</v>
      </c>
      <c r="H4101" s="9"/>
    </row>
    <row r="4102" ht="14.25" customHeight="1">
      <c r="A4102" s="9"/>
      <c r="B4102" s="9"/>
      <c r="C4102" s="199" t="s">
        <v>3157</v>
      </c>
      <c r="D4102" s="199" t="s">
        <v>3169</v>
      </c>
      <c r="E4102" s="200" t="s">
        <v>3151</v>
      </c>
      <c r="F4102" s="9" t="s">
        <v>197</v>
      </c>
      <c r="H4102" s="9"/>
    </row>
    <row r="4103" ht="14.25" customHeight="1">
      <c r="A4103" s="9"/>
      <c r="B4103" s="9"/>
      <c r="C4103" s="199" t="s">
        <v>3157</v>
      </c>
      <c r="D4103" s="199" t="s">
        <v>3169</v>
      </c>
      <c r="E4103" s="200" t="s">
        <v>3151</v>
      </c>
      <c r="F4103" s="9" t="s">
        <v>172</v>
      </c>
      <c r="H4103" s="9"/>
    </row>
    <row r="4104" ht="14.25" customHeight="1">
      <c r="A4104" s="9"/>
      <c r="B4104" s="9"/>
      <c r="C4104" s="199" t="s">
        <v>3157</v>
      </c>
      <c r="D4104" s="199" t="s">
        <v>3169</v>
      </c>
      <c r="E4104" s="200" t="s">
        <v>3151</v>
      </c>
      <c r="F4104" s="9" t="s">
        <v>98</v>
      </c>
      <c r="H4104" s="9"/>
    </row>
    <row r="4105" ht="14.25" customHeight="1">
      <c r="A4105" s="9"/>
      <c r="B4105" s="9"/>
      <c r="C4105" s="199" t="s">
        <v>3157</v>
      </c>
      <c r="D4105" s="199" t="s">
        <v>3169</v>
      </c>
      <c r="E4105" s="200" t="s">
        <v>3151</v>
      </c>
      <c r="F4105" s="9" t="s">
        <v>341</v>
      </c>
      <c r="H4105" s="9"/>
    </row>
    <row r="4106" ht="14.25" customHeight="1">
      <c r="A4106" s="9"/>
      <c r="B4106" s="9"/>
      <c r="C4106" s="199" t="s">
        <v>3157</v>
      </c>
      <c r="D4106" s="199" t="s">
        <v>3169</v>
      </c>
      <c r="E4106" s="200" t="s">
        <v>3151</v>
      </c>
      <c r="F4106" s="9" t="s">
        <v>367</v>
      </c>
      <c r="H4106" s="9"/>
    </row>
    <row r="4107" ht="14.25" customHeight="1">
      <c r="A4107" s="9"/>
      <c r="B4107" s="9"/>
      <c r="C4107" s="199" t="s">
        <v>3157</v>
      </c>
      <c r="D4107" s="199" t="s">
        <v>3169</v>
      </c>
      <c r="E4107" s="200" t="s">
        <v>3151</v>
      </c>
      <c r="F4107" s="9" t="s">
        <v>529</v>
      </c>
      <c r="H4107" s="9"/>
    </row>
    <row r="4108" ht="14.25" customHeight="1">
      <c r="A4108" s="9"/>
      <c r="B4108" s="9"/>
      <c r="C4108" s="199" t="s">
        <v>3157</v>
      </c>
      <c r="D4108" s="199" t="s">
        <v>3169</v>
      </c>
      <c r="E4108" s="200" t="s">
        <v>3151</v>
      </c>
      <c r="F4108" s="9" t="s">
        <v>282</v>
      </c>
      <c r="H4108" s="9"/>
    </row>
    <row r="4109" ht="14.25" customHeight="1">
      <c r="A4109" s="9"/>
      <c r="B4109" s="9"/>
      <c r="C4109" s="199" t="s">
        <v>3157</v>
      </c>
      <c r="D4109" s="199" t="s">
        <v>3169</v>
      </c>
      <c r="E4109" s="200" t="s">
        <v>3151</v>
      </c>
      <c r="F4109" s="9" t="s">
        <v>321</v>
      </c>
      <c r="H4109" s="9"/>
    </row>
    <row r="4110" ht="14.25" customHeight="1">
      <c r="A4110" s="9"/>
      <c r="B4110" s="9"/>
      <c r="C4110" s="199" t="s">
        <v>3157</v>
      </c>
      <c r="D4110" s="199" t="s">
        <v>3169</v>
      </c>
      <c r="E4110" s="200" t="s">
        <v>3151</v>
      </c>
      <c r="F4110" s="9" t="s">
        <v>272</v>
      </c>
      <c r="H4110" s="9"/>
    </row>
    <row r="4111" ht="14.25" customHeight="1">
      <c r="A4111" s="9"/>
      <c r="B4111" s="9"/>
      <c r="C4111" s="199" t="s">
        <v>3157</v>
      </c>
      <c r="D4111" s="199" t="s">
        <v>3169</v>
      </c>
      <c r="E4111" s="200" t="s">
        <v>3151</v>
      </c>
      <c r="F4111" s="9" t="s">
        <v>517</v>
      </c>
      <c r="H4111" s="9"/>
    </row>
    <row r="4112" ht="14.25" customHeight="1">
      <c r="A4112" s="9"/>
      <c r="B4112" s="9"/>
      <c r="C4112" s="199" t="s">
        <v>3157</v>
      </c>
      <c r="D4112" s="199" t="s">
        <v>3169</v>
      </c>
      <c r="E4112" s="200" t="s">
        <v>3151</v>
      </c>
      <c r="F4112" s="9" t="s">
        <v>2309</v>
      </c>
      <c r="H4112" s="9"/>
    </row>
    <row r="4113" ht="14.25" customHeight="1">
      <c r="A4113" s="9"/>
      <c r="B4113" s="9"/>
      <c r="C4113" s="199" t="s">
        <v>3157</v>
      </c>
      <c r="D4113" s="199" t="s">
        <v>3169</v>
      </c>
      <c r="E4113" s="200" t="s">
        <v>3151</v>
      </c>
      <c r="F4113" s="9" t="s">
        <v>507</v>
      </c>
      <c r="H4113" s="9"/>
    </row>
    <row r="4114" ht="14.25" customHeight="1">
      <c r="A4114" s="9"/>
      <c r="B4114" s="9"/>
      <c r="C4114" s="199" t="s">
        <v>3157</v>
      </c>
      <c r="D4114" s="199" t="s">
        <v>3169</v>
      </c>
      <c r="E4114" s="200" t="s">
        <v>3151</v>
      </c>
      <c r="F4114" s="9" t="s">
        <v>336</v>
      </c>
      <c r="H4114" s="9"/>
    </row>
    <row r="4115" ht="14.25" customHeight="1">
      <c r="A4115" s="9"/>
      <c r="B4115" s="9"/>
      <c r="C4115" s="199" t="s">
        <v>3157</v>
      </c>
      <c r="D4115" s="199" t="s">
        <v>3169</v>
      </c>
      <c r="E4115" s="200" t="s">
        <v>3151</v>
      </c>
      <c r="F4115" s="9" t="s">
        <v>235</v>
      </c>
      <c r="H4115" s="9"/>
    </row>
    <row r="4116" ht="14.25" customHeight="1">
      <c r="A4116" s="9"/>
      <c r="B4116" s="9"/>
      <c r="C4116" s="199" t="s">
        <v>3157</v>
      </c>
      <c r="D4116" s="199" t="s">
        <v>3169</v>
      </c>
      <c r="E4116" s="200" t="s">
        <v>3151</v>
      </c>
      <c r="F4116" s="9" t="s">
        <v>327</v>
      </c>
      <c r="H4116" s="9"/>
    </row>
    <row r="4117" ht="14.25" customHeight="1">
      <c r="A4117" s="9"/>
      <c r="B4117" s="9"/>
      <c r="C4117" s="199" t="s">
        <v>3157</v>
      </c>
      <c r="D4117" s="199" t="s">
        <v>3169</v>
      </c>
      <c r="E4117" s="200" t="s">
        <v>3151</v>
      </c>
      <c r="F4117" s="9" t="s">
        <v>264</v>
      </c>
      <c r="H4117" s="9"/>
    </row>
    <row r="4118" ht="14.25" customHeight="1">
      <c r="A4118" s="9"/>
      <c r="B4118" s="9"/>
      <c r="C4118" s="200" t="s">
        <v>3157</v>
      </c>
      <c r="D4118" s="208" t="s">
        <v>3170</v>
      </c>
      <c r="E4118" s="200" t="s">
        <v>3151</v>
      </c>
      <c r="F4118" s="211" t="s">
        <v>474</v>
      </c>
      <c r="H4118" s="9"/>
    </row>
    <row r="4119" ht="14.25" customHeight="1">
      <c r="A4119" s="9"/>
      <c r="B4119" s="9"/>
      <c r="C4119" s="200" t="s">
        <v>3157</v>
      </c>
      <c r="D4119" s="208" t="s">
        <v>3170</v>
      </c>
      <c r="E4119" s="200" t="s">
        <v>3151</v>
      </c>
      <c r="F4119" s="185" t="s">
        <v>493</v>
      </c>
      <c r="H4119" s="9"/>
    </row>
    <row r="4120" ht="14.25" customHeight="1">
      <c r="A4120" s="9"/>
      <c r="B4120" s="9"/>
      <c r="C4120" s="200" t="s">
        <v>3157</v>
      </c>
      <c r="D4120" s="208" t="s">
        <v>3170</v>
      </c>
      <c r="E4120" s="200" t="s">
        <v>3151</v>
      </c>
      <c r="F4120" s="211" t="s">
        <v>450</v>
      </c>
      <c r="H4120" s="9"/>
    </row>
    <row r="4121" ht="14.25" customHeight="1">
      <c r="A4121" s="9"/>
      <c r="B4121" s="9"/>
      <c r="C4121" s="200" t="s">
        <v>3157</v>
      </c>
      <c r="D4121" s="208" t="s">
        <v>3170</v>
      </c>
      <c r="E4121" s="200" t="s">
        <v>3151</v>
      </c>
      <c r="F4121" s="185" t="s">
        <v>2296</v>
      </c>
      <c r="H4121" s="9"/>
    </row>
    <row r="4122" ht="14.25" customHeight="1">
      <c r="A4122" s="9"/>
      <c r="B4122" s="9"/>
      <c r="C4122" s="200" t="s">
        <v>3157</v>
      </c>
      <c r="D4122" s="208" t="s">
        <v>3170</v>
      </c>
      <c r="E4122" s="200" t="s">
        <v>3151</v>
      </c>
      <c r="F4122" s="185" t="s">
        <v>431</v>
      </c>
      <c r="H4122" s="9"/>
    </row>
    <row r="4123" ht="14.25" customHeight="1">
      <c r="A4123" s="9"/>
      <c r="B4123" s="9"/>
      <c r="C4123" s="200" t="s">
        <v>3157</v>
      </c>
      <c r="D4123" s="208" t="s">
        <v>3170</v>
      </c>
      <c r="E4123" s="200" t="s">
        <v>3151</v>
      </c>
      <c r="F4123" s="185" t="s">
        <v>420</v>
      </c>
      <c r="H4123" s="9"/>
    </row>
    <row r="4124" ht="14.25" customHeight="1">
      <c r="A4124" s="9"/>
      <c r="B4124" s="9"/>
      <c r="C4124" s="200" t="s">
        <v>3157</v>
      </c>
      <c r="D4124" s="208" t="s">
        <v>3170</v>
      </c>
      <c r="E4124" s="200" t="s">
        <v>3151</v>
      </c>
      <c r="F4124" s="211" t="s">
        <v>482</v>
      </c>
      <c r="H4124" s="9"/>
    </row>
    <row r="4125" ht="14.25" customHeight="1">
      <c r="A4125" s="9"/>
      <c r="B4125" s="9"/>
      <c r="C4125" s="200" t="s">
        <v>3157</v>
      </c>
      <c r="D4125" s="208" t="s">
        <v>3170</v>
      </c>
      <c r="E4125" s="200" t="s">
        <v>3151</v>
      </c>
      <c r="F4125" s="185" t="s">
        <v>408</v>
      </c>
      <c r="H4125" s="9"/>
    </row>
    <row r="4126" ht="14.25" customHeight="1">
      <c r="A4126" s="9"/>
      <c r="B4126" s="9"/>
      <c r="C4126" s="200" t="s">
        <v>3157</v>
      </c>
      <c r="D4126" s="208" t="s">
        <v>3170</v>
      </c>
      <c r="E4126" s="200" t="s">
        <v>3151</v>
      </c>
      <c r="F4126" s="211" t="s">
        <v>341</v>
      </c>
      <c r="H4126" s="9"/>
    </row>
    <row r="4127" ht="14.25" customHeight="1">
      <c r="A4127" s="9"/>
      <c r="B4127" s="9"/>
      <c r="C4127" s="200" t="s">
        <v>3157</v>
      </c>
      <c r="D4127" s="208" t="s">
        <v>3170</v>
      </c>
      <c r="E4127" s="200" t="s">
        <v>3151</v>
      </c>
      <c r="F4127" s="185" t="s">
        <v>367</v>
      </c>
      <c r="H4127" s="9"/>
    </row>
    <row r="4128" ht="14.25" customHeight="1">
      <c r="A4128" s="9"/>
      <c r="B4128" s="9"/>
      <c r="C4128" s="200" t="s">
        <v>3157</v>
      </c>
      <c r="D4128" s="208" t="s">
        <v>3170</v>
      </c>
      <c r="E4128" s="200" t="s">
        <v>3151</v>
      </c>
      <c r="F4128" s="185" t="s">
        <v>529</v>
      </c>
      <c r="H4128" s="9"/>
    </row>
    <row r="4129" ht="14.25" customHeight="1">
      <c r="A4129" s="9"/>
      <c r="B4129" s="9"/>
      <c r="C4129" s="200" t="s">
        <v>3157</v>
      </c>
      <c r="D4129" s="208" t="s">
        <v>3170</v>
      </c>
      <c r="E4129" s="200" t="s">
        <v>3151</v>
      </c>
      <c r="F4129" s="185" t="s">
        <v>321</v>
      </c>
      <c r="H4129" s="9"/>
    </row>
    <row r="4130" ht="14.25" customHeight="1">
      <c r="A4130" s="9"/>
      <c r="B4130" s="9"/>
      <c r="C4130" s="200" t="s">
        <v>3157</v>
      </c>
      <c r="D4130" s="208" t="s">
        <v>3170</v>
      </c>
      <c r="E4130" s="200" t="s">
        <v>3151</v>
      </c>
      <c r="F4130" s="185" t="s">
        <v>517</v>
      </c>
      <c r="H4130" s="9"/>
    </row>
    <row r="4131" ht="14.25" customHeight="1">
      <c r="A4131" s="9"/>
      <c r="B4131" s="9"/>
      <c r="C4131" s="200" t="s">
        <v>3157</v>
      </c>
      <c r="D4131" s="208" t="s">
        <v>3170</v>
      </c>
      <c r="E4131" s="200" t="s">
        <v>3151</v>
      </c>
      <c r="F4131" s="211" t="s">
        <v>507</v>
      </c>
      <c r="H4131" s="9"/>
    </row>
    <row r="4132" ht="14.25" customHeight="1">
      <c r="A4132" s="9"/>
      <c r="B4132" s="9"/>
      <c r="C4132" s="200" t="s">
        <v>3157</v>
      </c>
      <c r="D4132" s="208" t="s">
        <v>3170</v>
      </c>
      <c r="E4132" s="200" t="s">
        <v>3151</v>
      </c>
      <c r="F4132" s="185" t="s">
        <v>336</v>
      </c>
      <c r="H4132" s="9"/>
    </row>
    <row r="4133" ht="14.25" customHeight="1">
      <c r="A4133" s="9"/>
      <c r="B4133" s="9"/>
      <c r="C4133" s="200" t="s">
        <v>3157</v>
      </c>
      <c r="D4133" s="208" t="s">
        <v>3170</v>
      </c>
      <c r="E4133" s="200" t="s">
        <v>3151</v>
      </c>
      <c r="F4133" s="185" t="s">
        <v>327</v>
      </c>
      <c r="H4133" s="9"/>
    </row>
    <row r="4134" ht="14.25" customHeight="1">
      <c r="A4134" s="9"/>
      <c r="B4134" s="9"/>
      <c r="C4134" s="200" t="s">
        <v>3157</v>
      </c>
      <c r="D4134" s="208" t="s">
        <v>3171</v>
      </c>
      <c r="E4134" s="200" t="s">
        <v>3151</v>
      </c>
      <c r="F4134" s="211" t="s">
        <v>474</v>
      </c>
      <c r="H4134" s="9"/>
    </row>
    <row r="4135" ht="14.25" customHeight="1">
      <c r="A4135" s="9"/>
      <c r="B4135" s="9"/>
      <c r="C4135" s="200" t="s">
        <v>3157</v>
      </c>
      <c r="D4135" s="208" t="s">
        <v>3171</v>
      </c>
      <c r="E4135" s="200" t="s">
        <v>3151</v>
      </c>
      <c r="F4135" s="185" t="s">
        <v>284</v>
      </c>
      <c r="H4135" s="9"/>
    </row>
    <row r="4136" ht="14.25" customHeight="1">
      <c r="A4136" s="9"/>
      <c r="B4136" s="9"/>
      <c r="C4136" s="200" t="s">
        <v>3157</v>
      </c>
      <c r="D4136" s="208" t="s">
        <v>3171</v>
      </c>
      <c r="E4136" s="200" t="s">
        <v>3151</v>
      </c>
      <c r="F4136" s="185" t="s">
        <v>493</v>
      </c>
      <c r="H4136" s="9"/>
    </row>
    <row r="4137" ht="14.25" customHeight="1">
      <c r="A4137" s="9"/>
      <c r="B4137" s="9"/>
      <c r="C4137" s="200" t="s">
        <v>3157</v>
      </c>
      <c r="D4137" s="208" t="s">
        <v>3171</v>
      </c>
      <c r="E4137" s="200" t="s">
        <v>3151</v>
      </c>
      <c r="F4137" s="211" t="s">
        <v>450</v>
      </c>
      <c r="H4137" s="9"/>
    </row>
    <row r="4138" ht="14.25" customHeight="1">
      <c r="A4138" s="9"/>
      <c r="B4138" s="9"/>
      <c r="C4138" s="200" t="s">
        <v>3157</v>
      </c>
      <c r="D4138" s="208" t="s">
        <v>3171</v>
      </c>
      <c r="E4138" s="200" t="s">
        <v>3151</v>
      </c>
      <c r="F4138" s="185" t="s">
        <v>2296</v>
      </c>
      <c r="H4138" s="9"/>
    </row>
    <row r="4139" ht="14.25" customHeight="1">
      <c r="A4139" s="9"/>
      <c r="B4139" s="9"/>
      <c r="C4139" s="200" t="s">
        <v>3157</v>
      </c>
      <c r="D4139" s="208" t="s">
        <v>3171</v>
      </c>
      <c r="E4139" s="200" t="s">
        <v>3151</v>
      </c>
      <c r="F4139" s="185" t="s">
        <v>276</v>
      </c>
      <c r="H4139" s="9"/>
    </row>
    <row r="4140" ht="14.25" customHeight="1">
      <c r="A4140" s="9"/>
      <c r="B4140" s="9"/>
      <c r="C4140" s="200" t="s">
        <v>3157</v>
      </c>
      <c r="D4140" s="208" t="s">
        <v>3171</v>
      </c>
      <c r="E4140" s="200" t="s">
        <v>3151</v>
      </c>
      <c r="F4140" s="185" t="s">
        <v>431</v>
      </c>
      <c r="H4140" s="9"/>
    </row>
    <row r="4141" ht="14.25" customHeight="1">
      <c r="A4141" s="9"/>
      <c r="B4141" s="9"/>
      <c r="C4141" s="200" t="s">
        <v>3157</v>
      </c>
      <c r="D4141" s="208" t="s">
        <v>3171</v>
      </c>
      <c r="E4141" s="200" t="s">
        <v>3151</v>
      </c>
      <c r="F4141" s="185" t="s">
        <v>1272</v>
      </c>
      <c r="H4141" s="9"/>
    </row>
    <row r="4142" ht="14.25" customHeight="1">
      <c r="A4142" s="9"/>
      <c r="B4142" s="9"/>
      <c r="C4142" s="200" t="s">
        <v>3157</v>
      </c>
      <c r="D4142" s="208" t="s">
        <v>3171</v>
      </c>
      <c r="E4142" s="200" t="s">
        <v>3151</v>
      </c>
      <c r="F4142" s="185" t="s">
        <v>420</v>
      </c>
      <c r="H4142" s="9"/>
    </row>
    <row r="4143" ht="14.25" customHeight="1">
      <c r="A4143" s="9"/>
      <c r="B4143" s="9"/>
      <c r="C4143" s="200" t="s">
        <v>3157</v>
      </c>
      <c r="D4143" s="208" t="s">
        <v>3171</v>
      </c>
      <c r="E4143" s="200" t="s">
        <v>3151</v>
      </c>
      <c r="F4143" s="211" t="s">
        <v>482</v>
      </c>
      <c r="H4143" s="9"/>
    </row>
    <row r="4144" ht="14.25" customHeight="1">
      <c r="A4144" s="9"/>
      <c r="B4144" s="9"/>
      <c r="C4144" s="200" t="s">
        <v>3157</v>
      </c>
      <c r="D4144" s="208" t="s">
        <v>3171</v>
      </c>
      <c r="E4144" s="200" t="s">
        <v>3151</v>
      </c>
      <c r="F4144" s="97" t="s">
        <v>136</v>
      </c>
      <c r="H4144" s="9"/>
    </row>
    <row r="4145" ht="14.25" customHeight="1">
      <c r="A4145" s="9"/>
      <c r="B4145" s="9"/>
      <c r="C4145" s="200" t="s">
        <v>3157</v>
      </c>
      <c r="D4145" s="208" t="s">
        <v>3171</v>
      </c>
      <c r="E4145" s="200" t="s">
        <v>3151</v>
      </c>
      <c r="F4145" s="185" t="s">
        <v>408</v>
      </c>
      <c r="H4145" s="9"/>
    </row>
    <row r="4146" ht="14.25" customHeight="1">
      <c r="A4146" s="9"/>
      <c r="B4146" s="9"/>
      <c r="C4146" s="200" t="s">
        <v>3157</v>
      </c>
      <c r="D4146" s="208" t="s">
        <v>3171</v>
      </c>
      <c r="E4146" s="200" t="s">
        <v>3151</v>
      </c>
      <c r="F4146" s="185" t="s">
        <v>2301</v>
      </c>
      <c r="H4146" s="9"/>
    </row>
    <row r="4147" ht="14.25" customHeight="1">
      <c r="A4147" s="9"/>
      <c r="B4147" s="9"/>
      <c r="C4147" s="200" t="s">
        <v>3157</v>
      </c>
      <c r="D4147" s="208" t="s">
        <v>3171</v>
      </c>
      <c r="E4147" s="200" t="s">
        <v>3151</v>
      </c>
      <c r="F4147" s="185" t="s">
        <v>197</v>
      </c>
      <c r="H4147" s="9"/>
    </row>
    <row r="4148" ht="14.25" customHeight="1">
      <c r="A4148" s="9"/>
      <c r="B4148" s="9"/>
      <c r="C4148" s="200" t="s">
        <v>3157</v>
      </c>
      <c r="D4148" s="208" t="s">
        <v>3171</v>
      </c>
      <c r="E4148" s="200" t="s">
        <v>3151</v>
      </c>
      <c r="F4148" s="185" t="s">
        <v>172</v>
      </c>
      <c r="H4148" s="9"/>
    </row>
    <row r="4149" ht="14.25" customHeight="1">
      <c r="A4149" s="9"/>
      <c r="B4149" s="9"/>
      <c r="C4149" s="200" t="s">
        <v>3157</v>
      </c>
      <c r="D4149" s="208" t="s">
        <v>3171</v>
      </c>
      <c r="E4149" s="200" t="s">
        <v>3151</v>
      </c>
      <c r="F4149" s="185" t="s">
        <v>98</v>
      </c>
      <c r="H4149" s="9"/>
    </row>
    <row r="4150" ht="14.25" customHeight="1">
      <c r="A4150" s="9"/>
      <c r="B4150" s="9"/>
      <c r="C4150" s="200" t="s">
        <v>3157</v>
      </c>
      <c r="D4150" s="208" t="s">
        <v>3171</v>
      </c>
      <c r="E4150" s="200" t="s">
        <v>3151</v>
      </c>
      <c r="F4150" s="211" t="s">
        <v>341</v>
      </c>
      <c r="H4150" s="9"/>
    </row>
    <row r="4151" ht="14.25" customHeight="1">
      <c r="A4151" s="9"/>
      <c r="B4151" s="9"/>
      <c r="C4151" s="200" t="s">
        <v>3157</v>
      </c>
      <c r="D4151" s="208" t="s">
        <v>3171</v>
      </c>
      <c r="E4151" s="200" t="s">
        <v>3151</v>
      </c>
      <c r="F4151" s="185" t="s">
        <v>367</v>
      </c>
      <c r="H4151" s="9"/>
    </row>
    <row r="4152" ht="14.25" customHeight="1">
      <c r="A4152" s="9"/>
      <c r="B4152" s="9"/>
      <c r="C4152" s="200" t="s">
        <v>3157</v>
      </c>
      <c r="D4152" s="208" t="s">
        <v>3171</v>
      </c>
      <c r="E4152" s="200" t="s">
        <v>3151</v>
      </c>
      <c r="F4152" s="185" t="s">
        <v>529</v>
      </c>
      <c r="H4152" s="9"/>
    </row>
    <row r="4153" ht="14.25" customHeight="1">
      <c r="A4153" s="9"/>
      <c r="B4153" s="9"/>
      <c r="C4153" s="200" t="s">
        <v>3157</v>
      </c>
      <c r="D4153" s="208" t="s">
        <v>3171</v>
      </c>
      <c r="E4153" s="200" t="s">
        <v>3151</v>
      </c>
      <c r="F4153" s="185" t="s">
        <v>282</v>
      </c>
      <c r="H4153" s="9"/>
    </row>
    <row r="4154" ht="14.25" customHeight="1">
      <c r="A4154" s="9"/>
      <c r="B4154" s="9"/>
      <c r="C4154" s="200" t="s">
        <v>3157</v>
      </c>
      <c r="D4154" s="208" t="s">
        <v>3171</v>
      </c>
      <c r="E4154" s="200" t="s">
        <v>3151</v>
      </c>
      <c r="F4154" s="185" t="s">
        <v>321</v>
      </c>
      <c r="H4154" s="9"/>
    </row>
    <row r="4155" ht="14.25" customHeight="1">
      <c r="A4155" s="9"/>
      <c r="B4155" s="9"/>
      <c r="C4155" s="200" t="s">
        <v>3157</v>
      </c>
      <c r="D4155" s="208" t="s">
        <v>3171</v>
      </c>
      <c r="E4155" s="200" t="s">
        <v>3151</v>
      </c>
      <c r="F4155" s="185" t="s">
        <v>272</v>
      </c>
      <c r="H4155" s="9"/>
    </row>
    <row r="4156" ht="14.25" customHeight="1">
      <c r="A4156" s="9"/>
      <c r="B4156" s="9"/>
      <c r="C4156" s="200" t="s">
        <v>3157</v>
      </c>
      <c r="D4156" s="208" t="s">
        <v>3171</v>
      </c>
      <c r="E4156" s="200" t="s">
        <v>3151</v>
      </c>
      <c r="F4156" s="185" t="s">
        <v>517</v>
      </c>
      <c r="H4156" s="9"/>
    </row>
    <row r="4157" ht="14.25" customHeight="1">
      <c r="A4157" s="9"/>
      <c r="B4157" s="9"/>
      <c r="C4157" s="200" t="s">
        <v>3157</v>
      </c>
      <c r="D4157" s="208" t="s">
        <v>3171</v>
      </c>
      <c r="E4157" s="200" t="s">
        <v>3151</v>
      </c>
      <c r="F4157" s="185" t="s">
        <v>2309</v>
      </c>
      <c r="H4157" s="9"/>
    </row>
    <row r="4158" ht="14.25" customHeight="1">
      <c r="A4158" s="9"/>
      <c r="B4158" s="9"/>
      <c r="C4158" s="200" t="s">
        <v>3157</v>
      </c>
      <c r="D4158" s="208" t="s">
        <v>3171</v>
      </c>
      <c r="E4158" s="200" t="s">
        <v>3151</v>
      </c>
      <c r="F4158" s="211" t="s">
        <v>507</v>
      </c>
      <c r="H4158" s="9"/>
    </row>
    <row r="4159" ht="14.25" customHeight="1">
      <c r="A4159" s="9"/>
      <c r="B4159" s="9"/>
      <c r="C4159" s="200" t="s">
        <v>3157</v>
      </c>
      <c r="D4159" s="208" t="s">
        <v>3171</v>
      </c>
      <c r="E4159" s="200" t="s">
        <v>3151</v>
      </c>
      <c r="F4159" s="185" t="s">
        <v>336</v>
      </c>
      <c r="H4159" s="9"/>
    </row>
    <row r="4160" ht="14.25" customHeight="1">
      <c r="A4160" s="9"/>
      <c r="B4160" s="9"/>
      <c r="C4160" s="200" t="s">
        <v>3157</v>
      </c>
      <c r="D4160" s="208" t="s">
        <v>3171</v>
      </c>
      <c r="E4160" s="200" t="s">
        <v>3151</v>
      </c>
      <c r="F4160" s="211" t="s">
        <v>235</v>
      </c>
      <c r="H4160" s="9"/>
    </row>
    <row r="4161" ht="14.25" customHeight="1">
      <c r="A4161" s="9"/>
      <c r="B4161" s="9"/>
      <c r="C4161" s="200" t="s">
        <v>3157</v>
      </c>
      <c r="D4161" s="208" t="s">
        <v>3171</v>
      </c>
      <c r="E4161" s="200" t="s">
        <v>3151</v>
      </c>
      <c r="F4161" s="185" t="s">
        <v>327</v>
      </c>
      <c r="H4161" s="9"/>
    </row>
    <row r="4162" ht="14.25" customHeight="1">
      <c r="A4162" s="9"/>
      <c r="B4162" s="9"/>
      <c r="C4162" s="200" t="s">
        <v>3157</v>
      </c>
      <c r="D4162" s="208" t="s">
        <v>3171</v>
      </c>
      <c r="E4162" s="200" t="s">
        <v>3151</v>
      </c>
      <c r="F4162" s="185" t="s">
        <v>264</v>
      </c>
      <c r="H4162" s="9"/>
    </row>
    <row r="4163" ht="14.25" customHeight="1">
      <c r="A4163" s="9"/>
      <c r="B4163" s="9"/>
      <c r="C4163" s="9" t="s">
        <v>676</v>
      </c>
      <c r="D4163" s="9" t="s">
        <v>3172</v>
      </c>
      <c r="E4163" s="9" t="s">
        <v>3151</v>
      </c>
      <c r="F4163" s="9" t="s">
        <v>474</v>
      </c>
      <c r="H4163" s="9"/>
    </row>
    <row r="4164" ht="14.25" customHeight="1">
      <c r="A4164" s="9"/>
      <c r="B4164" s="9"/>
      <c r="C4164" s="9" t="s">
        <v>676</v>
      </c>
      <c r="D4164" s="9" t="s">
        <v>3172</v>
      </c>
      <c r="E4164" s="9" t="s">
        <v>3151</v>
      </c>
      <c r="F4164" s="9" t="s">
        <v>284</v>
      </c>
      <c r="H4164" s="9"/>
    </row>
    <row r="4165" ht="14.25" customHeight="1">
      <c r="A4165" s="9"/>
      <c r="B4165" s="9"/>
      <c r="C4165" s="9" t="s">
        <v>676</v>
      </c>
      <c r="D4165" s="9" t="s">
        <v>3172</v>
      </c>
      <c r="E4165" s="9" t="s">
        <v>3151</v>
      </c>
      <c r="F4165" s="9" t="s">
        <v>493</v>
      </c>
      <c r="H4165" s="9"/>
    </row>
    <row r="4166" ht="14.25" customHeight="1">
      <c r="A4166" s="9"/>
      <c r="B4166" s="9"/>
      <c r="C4166" s="9" t="s">
        <v>676</v>
      </c>
      <c r="D4166" s="9" t="s">
        <v>3172</v>
      </c>
      <c r="E4166" s="9" t="s">
        <v>3151</v>
      </c>
      <c r="F4166" s="9" t="s">
        <v>450</v>
      </c>
      <c r="H4166" s="9"/>
    </row>
    <row r="4167" ht="14.25" customHeight="1">
      <c r="A4167" s="9"/>
      <c r="B4167" s="9"/>
      <c r="C4167" s="9" t="s">
        <v>676</v>
      </c>
      <c r="D4167" s="9" t="s">
        <v>3172</v>
      </c>
      <c r="E4167" s="9" t="s">
        <v>3151</v>
      </c>
      <c r="F4167" s="9" t="s">
        <v>395</v>
      </c>
      <c r="H4167" s="9"/>
    </row>
    <row r="4168" ht="14.25" customHeight="1">
      <c r="A4168" s="9"/>
      <c r="B4168" s="9"/>
      <c r="C4168" s="9" t="s">
        <v>676</v>
      </c>
      <c r="D4168" s="9" t="s">
        <v>3172</v>
      </c>
      <c r="E4168" s="9" t="s">
        <v>3151</v>
      </c>
      <c r="F4168" s="9" t="s">
        <v>276</v>
      </c>
      <c r="H4168" s="9"/>
    </row>
    <row r="4169" ht="14.25" customHeight="1">
      <c r="A4169" s="9"/>
      <c r="B4169" s="9"/>
      <c r="C4169" s="9" t="s">
        <v>676</v>
      </c>
      <c r="D4169" s="9" t="s">
        <v>3172</v>
      </c>
      <c r="E4169" s="9" t="s">
        <v>3151</v>
      </c>
      <c r="F4169" s="9" t="s">
        <v>431</v>
      </c>
      <c r="H4169" s="9"/>
    </row>
    <row r="4170" ht="14.25" customHeight="1">
      <c r="A4170" s="9"/>
      <c r="B4170" s="9"/>
      <c r="C4170" s="9" t="s">
        <v>676</v>
      </c>
      <c r="D4170" s="9" t="s">
        <v>3172</v>
      </c>
      <c r="E4170" s="9" t="s">
        <v>3151</v>
      </c>
      <c r="F4170" s="9" t="s">
        <v>1272</v>
      </c>
      <c r="H4170" s="9"/>
    </row>
    <row r="4171" ht="14.25" customHeight="1">
      <c r="A4171" s="9"/>
      <c r="B4171" s="9"/>
      <c r="C4171" s="9" t="s">
        <v>676</v>
      </c>
      <c r="D4171" s="9" t="s">
        <v>3172</v>
      </c>
      <c r="E4171" s="9" t="s">
        <v>3151</v>
      </c>
      <c r="F4171" s="9" t="s">
        <v>420</v>
      </c>
      <c r="H4171" s="9"/>
    </row>
    <row r="4172" ht="14.25" customHeight="1">
      <c r="A4172" s="9"/>
      <c r="B4172" s="9"/>
      <c r="C4172" s="9" t="s">
        <v>676</v>
      </c>
      <c r="D4172" s="9" t="s">
        <v>3172</v>
      </c>
      <c r="E4172" s="9" t="s">
        <v>3151</v>
      </c>
      <c r="F4172" s="9" t="s">
        <v>482</v>
      </c>
      <c r="H4172" s="9"/>
    </row>
    <row r="4173" ht="14.25" customHeight="1">
      <c r="A4173" s="9"/>
      <c r="B4173" s="9"/>
      <c r="C4173" s="9" t="s">
        <v>676</v>
      </c>
      <c r="D4173" s="9" t="s">
        <v>3172</v>
      </c>
      <c r="E4173" s="9" t="s">
        <v>3151</v>
      </c>
      <c r="F4173" s="9" t="s">
        <v>136</v>
      </c>
      <c r="H4173" s="9"/>
    </row>
    <row r="4174" ht="14.25" customHeight="1">
      <c r="A4174" s="9"/>
      <c r="B4174" s="9"/>
      <c r="C4174" s="9" t="s">
        <v>676</v>
      </c>
      <c r="D4174" s="9" t="s">
        <v>3172</v>
      </c>
      <c r="E4174" s="9" t="s">
        <v>3151</v>
      </c>
      <c r="F4174" s="9" t="s">
        <v>408</v>
      </c>
      <c r="H4174" s="9"/>
    </row>
    <row r="4175" ht="14.25" customHeight="1">
      <c r="A4175" s="9"/>
      <c r="B4175" s="9"/>
      <c r="C4175" s="9" t="s">
        <v>676</v>
      </c>
      <c r="D4175" s="9" t="s">
        <v>3172</v>
      </c>
      <c r="E4175" s="9" t="s">
        <v>3151</v>
      </c>
      <c r="F4175" s="9" t="s">
        <v>2589</v>
      </c>
      <c r="H4175" s="9"/>
    </row>
    <row r="4176" ht="14.25" customHeight="1">
      <c r="A4176" s="9"/>
      <c r="B4176" s="9"/>
      <c r="C4176" s="9" t="s">
        <v>676</v>
      </c>
      <c r="D4176" s="9" t="s">
        <v>3172</v>
      </c>
      <c r="E4176" s="9" t="s">
        <v>3151</v>
      </c>
      <c r="F4176" s="9" t="s">
        <v>197</v>
      </c>
      <c r="H4176" s="9"/>
    </row>
    <row r="4177" ht="14.25" customHeight="1">
      <c r="A4177" s="9"/>
      <c r="B4177" s="9"/>
      <c r="C4177" s="9" t="s">
        <v>676</v>
      </c>
      <c r="D4177" s="9" t="s">
        <v>3172</v>
      </c>
      <c r="E4177" s="9" t="s">
        <v>3151</v>
      </c>
      <c r="F4177" s="9" t="s">
        <v>172</v>
      </c>
      <c r="H4177" s="9"/>
    </row>
    <row r="4178" ht="14.25" customHeight="1">
      <c r="A4178" s="9"/>
      <c r="B4178" s="9"/>
      <c r="C4178" s="9" t="s">
        <v>676</v>
      </c>
      <c r="D4178" s="9" t="s">
        <v>3172</v>
      </c>
      <c r="E4178" s="9" t="s">
        <v>3151</v>
      </c>
      <c r="F4178" s="9" t="s">
        <v>98</v>
      </c>
      <c r="H4178" s="9"/>
    </row>
    <row r="4179" ht="14.25" customHeight="1">
      <c r="A4179" s="9"/>
      <c r="B4179" s="9"/>
      <c r="C4179" s="9" t="s">
        <v>676</v>
      </c>
      <c r="D4179" s="9" t="s">
        <v>3172</v>
      </c>
      <c r="E4179" s="9" t="s">
        <v>3151</v>
      </c>
      <c r="F4179" s="9" t="s">
        <v>341</v>
      </c>
      <c r="H4179" s="9"/>
    </row>
    <row r="4180" ht="14.25" customHeight="1">
      <c r="A4180" s="9"/>
      <c r="B4180" s="9"/>
      <c r="C4180" s="9" t="s">
        <v>676</v>
      </c>
      <c r="D4180" s="9" t="s">
        <v>3172</v>
      </c>
      <c r="E4180" s="9" t="s">
        <v>3151</v>
      </c>
      <c r="F4180" s="9" t="s">
        <v>367</v>
      </c>
      <c r="H4180" s="9"/>
    </row>
    <row r="4181" ht="14.25" customHeight="1">
      <c r="A4181" s="9"/>
      <c r="B4181" s="9"/>
      <c r="C4181" s="9" t="s">
        <v>676</v>
      </c>
      <c r="D4181" s="9" t="s">
        <v>3172</v>
      </c>
      <c r="E4181" s="9" t="s">
        <v>3151</v>
      </c>
      <c r="F4181" s="9" t="s">
        <v>529</v>
      </c>
      <c r="H4181" s="9"/>
    </row>
    <row r="4182" ht="14.25" customHeight="1">
      <c r="A4182" s="9"/>
      <c r="B4182" s="9"/>
      <c r="C4182" s="9" t="s">
        <v>676</v>
      </c>
      <c r="D4182" s="9" t="s">
        <v>3172</v>
      </c>
      <c r="E4182" s="9" t="s">
        <v>3151</v>
      </c>
      <c r="F4182" s="9" t="s">
        <v>282</v>
      </c>
      <c r="H4182" s="9"/>
    </row>
    <row r="4183" ht="14.25" customHeight="1">
      <c r="A4183" s="9"/>
      <c r="B4183" s="9"/>
      <c r="C4183" s="9" t="s">
        <v>676</v>
      </c>
      <c r="D4183" s="9" t="s">
        <v>3172</v>
      </c>
      <c r="E4183" s="9" t="s">
        <v>3151</v>
      </c>
      <c r="F4183" s="9" t="s">
        <v>321</v>
      </c>
      <c r="H4183" s="9"/>
    </row>
    <row r="4184" ht="14.25" customHeight="1">
      <c r="A4184" s="9"/>
      <c r="B4184" s="9"/>
      <c r="C4184" s="9" t="s">
        <v>676</v>
      </c>
      <c r="D4184" s="9" t="s">
        <v>3172</v>
      </c>
      <c r="E4184" s="9" t="s">
        <v>3151</v>
      </c>
      <c r="F4184" s="9" t="s">
        <v>272</v>
      </c>
      <c r="H4184" s="9"/>
    </row>
    <row r="4185" ht="14.25" customHeight="1">
      <c r="A4185" s="9"/>
      <c r="B4185" s="9"/>
      <c r="C4185" s="9" t="s">
        <v>676</v>
      </c>
      <c r="D4185" s="9" t="s">
        <v>3172</v>
      </c>
      <c r="E4185" s="9" t="s">
        <v>3151</v>
      </c>
      <c r="F4185" s="9" t="s">
        <v>517</v>
      </c>
      <c r="H4185" s="9"/>
    </row>
    <row r="4186" ht="14.25" customHeight="1">
      <c r="A4186" s="9"/>
      <c r="B4186" s="9"/>
      <c r="C4186" s="9" t="s">
        <v>676</v>
      </c>
      <c r="D4186" s="9" t="s">
        <v>3172</v>
      </c>
      <c r="E4186" s="9" t="s">
        <v>3151</v>
      </c>
      <c r="F4186" s="9" t="s">
        <v>2593</v>
      </c>
      <c r="H4186" s="9"/>
    </row>
    <row r="4187" ht="14.25" customHeight="1">
      <c r="A4187" s="9"/>
      <c r="B4187" s="9"/>
      <c r="C4187" s="9" t="s">
        <v>676</v>
      </c>
      <c r="D4187" s="9" t="s">
        <v>3172</v>
      </c>
      <c r="E4187" s="9" t="s">
        <v>3151</v>
      </c>
      <c r="F4187" s="9" t="s">
        <v>507</v>
      </c>
      <c r="H4187" s="9"/>
    </row>
    <row r="4188" ht="14.25" customHeight="1">
      <c r="A4188" s="9"/>
      <c r="B4188" s="9"/>
      <c r="C4188" s="9" t="s">
        <v>676</v>
      </c>
      <c r="D4188" s="9" t="s">
        <v>3172</v>
      </c>
      <c r="E4188" s="9" t="s">
        <v>3151</v>
      </c>
      <c r="F4188" s="9" t="s">
        <v>336</v>
      </c>
      <c r="H4188" s="9"/>
    </row>
    <row r="4189" ht="14.25" customHeight="1">
      <c r="A4189" s="9"/>
      <c r="B4189" s="9"/>
      <c r="C4189" s="9" t="s">
        <v>676</v>
      </c>
      <c r="D4189" s="9" t="s">
        <v>3172</v>
      </c>
      <c r="E4189" s="9" t="s">
        <v>3151</v>
      </c>
      <c r="F4189" s="9" t="s">
        <v>235</v>
      </c>
      <c r="H4189" s="9"/>
    </row>
    <row r="4190" ht="14.25" customHeight="1">
      <c r="A4190" s="9"/>
      <c r="B4190" s="9"/>
      <c r="C4190" s="9" t="s">
        <v>676</v>
      </c>
      <c r="D4190" s="9" t="s">
        <v>3172</v>
      </c>
      <c r="E4190" s="9" t="s">
        <v>3151</v>
      </c>
      <c r="F4190" s="9" t="s">
        <v>327</v>
      </c>
      <c r="H4190" s="9"/>
    </row>
    <row r="4191" ht="14.25" customHeight="1">
      <c r="A4191" s="9"/>
      <c r="B4191" s="9"/>
      <c r="C4191" s="9" t="s">
        <v>676</v>
      </c>
      <c r="D4191" s="9" t="s">
        <v>3172</v>
      </c>
      <c r="E4191" s="9" t="s">
        <v>3151</v>
      </c>
      <c r="F4191" s="9" t="s">
        <v>264</v>
      </c>
      <c r="H4191" s="9"/>
    </row>
    <row r="4192" ht="14.25" customHeight="1">
      <c r="A4192" s="9"/>
      <c r="B4192" s="9"/>
      <c r="C4192" s="9" t="s">
        <v>676</v>
      </c>
      <c r="D4192" s="9" t="s">
        <v>3173</v>
      </c>
      <c r="E4192" s="9" t="s">
        <v>3151</v>
      </c>
      <c r="F4192" s="9" t="s">
        <v>474</v>
      </c>
      <c r="H4192" s="9"/>
    </row>
    <row r="4193" ht="14.25" customHeight="1">
      <c r="A4193" s="9"/>
      <c r="B4193" s="9"/>
      <c r="C4193" s="9" t="s">
        <v>676</v>
      </c>
      <c r="D4193" s="9" t="s">
        <v>3173</v>
      </c>
      <c r="E4193" s="9" t="s">
        <v>3151</v>
      </c>
      <c r="F4193" s="9" t="s">
        <v>284</v>
      </c>
      <c r="H4193" s="9"/>
    </row>
    <row r="4194" ht="14.25" customHeight="1">
      <c r="A4194" s="9"/>
      <c r="B4194" s="9"/>
      <c r="C4194" s="9" t="s">
        <v>676</v>
      </c>
      <c r="D4194" s="9" t="s">
        <v>3173</v>
      </c>
      <c r="E4194" s="9" t="s">
        <v>3151</v>
      </c>
      <c r="F4194" s="9" t="s">
        <v>493</v>
      </c>
      <c r="H4194" s="9"/>
    </row>
    <row r="4195" ht="14.25" customHeight="1">
      <c r="A4195" s="9"/>
      <c r="B4195" s="9"/>
      <c r="C4195" s="9" t="s">
        <v>676</v>
      </c>
      <c r="D4195" s="9" t="s">
        <v>3173</v>
      </c>
      <c r="E4195" s="9" t="s">
        <v>3151</v>
      </c>
      <c r="F4195" s="9" t="s">
        <v>450</v>
      </c>
      <c r="H4195" s="9"/>
    </row>
    <row r="4196" ht="14.25" customHeight="1">
      <c r="A4196" s="9"/>
      <c r="B4196" s="9"/>
      <c r="C4196" s="9" t="s">
        <v>676</v>
      </c>
      <c r="D4196" s="9" t="s">
        <v>3173</v>
      </c>
      <c r="E4196" s="9" t="s">
        <v>3151</v>
      </c>
      <c r="F4196" s="9" t="s">
        <v>395</v>
      </c>
      <c r="H4196" s="9"/>
    </row>
    <row r="4197" ht="14.25" customHeight="1">
      <c r="A4197" s="9"/>
      <c r="B4197" s="9"/>
      <c r="C4197" s="9" t="s">
        <v>676</v>
      </c>
      <c r="D4197" s="9" t="s">
        <v>3173</v>
      </c>
      <c r="E4197" s="9" t="s">
        <v>3151</v>
      </c>
      <c r="F4197" s="9" t="s">
        <v>276</v>
      </c>
      <c r="H4197" s="9"/>
    </row>
    <row r="4198" ht="14.25" customHeight="1">
      <c r="A4198" s="9"/>
      <c r="B4198" s="9"/>
      <c r="C4198" s="9" t="s">
        <v>676</v>
      </c>
      <c r="D4198" s="9" t="s">
        <v>3173</v>
      </c>
      <c r="E4198" s="9" t="s">
        <v>3151</v>
      </c>
      <c r="F4198" s="9" t="s">
        <v>431</v>
      </c>
      <c r="H4198" s="9"/>
    </row>
    <row r="4199" ht="14.25" customHeight="1">
      <c r="A4199" s="9"/>
      <c r="B4199" s="9"/>
      <c r="C4199" s="9" t="s">
        <v>676</v>
      </c>
      <c r="D4199" s="9" t="s">
        <v>3173</v>
      </c>
      <c r="E4199" s="9" t="s">
        <v>3151</v>
      </c>
      <c r="F4199" s="9" t="s">
        <v>1272</v>
      </c>
      <c r="H4199" s="9"/>
    </row>
    <row r="4200" ht="14.25" customHeight="1">
      <c r="A4200" s="9"/>
      <c r="B4200" s="9"/>
      <c r="C4200" s="9" t="s">
        <v>676</v>
      </c>
      <c r="D4200" s="9" t="s">
        <v>3173</v>
      </c>
      <c r="E4200" s="9" t="s">
        <v>3151</v>
      </c>
      <c r="F4200" s="9" t="s">
        <v>420</v>
      </c>
      <c r="H4200" s="9"/>
    </row>
    <row r="4201" ht="14.25" customHeight="1">
      <c r="A4201" s="9"/>
      <c r="B4201" s="9"/>
      <c r="C4201" s="9" t="s">
        <v>676</v>
      </c>
      <c r="D4201" s="9" t="s">
        <v>3173</v>
      </c>
      <c r="E4201" s="9" t="s">
        <v>3151</v>
      </c>
      <c r="F4201" s="9" t="s">
        <v>482</v>
      </c>
      <c r="H4201" s="9"/>
    </row>
    <row r="4202" ht="14.25" customHeight="1">
      <c r="A4202" s="9"/>
      <c r="B4202" s="9"/>
      <c r="C4202" s="9" t="s">
        <v>676</v>
      </c>
      <c r="D4202" s="9" t="s">
        <v>3173</v>
      </c>
      <c r="E4202" s="9" t="s">
        <v>3151</v>
      </c>
      <c r="F4202" s="15" t="s">
        <v>136</v>
      </c>
      <c r="H4202" s="9"/>
    </row>
    <row r="4203" ht="14.25" customHeight="1">
      <c r="A4203" s="9"/>
      <c r="B4203" s="9"/>
      <c r="C4203" s="9" t="s">
        <v>676</v>
      </c>
      <c r="D4203" s="9" t="s">
        <v>3173</v>
      </c>
      <c r="E4203" s="9" t="s">
        <v>3151</v>
      </c>
      <c r="F4203" s="9" t="s">
        <v>408</v>
      </c>
      <c r="H4203" s="9"/>
    </row>
    <row r="4204" ht="14.25" customHeight="1">
      <c r="A4204" s="9"/>
      <c r="B4204" s="9"/>
      <c r="C4204" s="9" t="s">
        <v>676</v>
      </c>
      <c r="D4204" s="9" t="s">
        <v>3173</v>
      </c>
      <c r="E4204" s="9" t="s">
        <v>3151</v>
      </c>
      <c r="F4204" s="9" t="s">
        <v>2589</v>
      </c>
      <c r="H4204" s="9"/>
    </row>
    <row r="4205" ht="14.25" customHeight="1">
      <c r="A4205" s="9"/>
      <c r="B4205" s="9"/>
      <c r="C4205" s="9" t="s">
        <v>676</v>
      </c>
      <c r="D4205" s="9" t="s">
        <v>3173</v>
      </c>
      <c r="E4205" s="9" t="s">
        <v>3151</v>
      </c>
      <c r="F4205" s="9" t="s">
        <v>197</v>
      </c>
      <c r="H4205" s="9"/>
    </row>
    <row r="4206" ht="14.25" customHeight="1">
      <c r="A4206" s="9"/>
      <c r="B4206" s="9"/>
      <c r="C4206" s="9" t="s">
        <v>676</v>
      </c>
      <c r="D4206" s="9" t="s">
        <v>3173</v>
      </c>
      <c r="E4206" s="9" t="s">
        <v>3151</v>
      </c>
      <c r="F4206" s="9" t="s">
        <v>172</v>
      </c>
      <c r="H4206" s="9"/>
    </row>
    <row r="4207" ht="14.25" customHeight="1">
      <c r="A4207" s="9"/>
      <c r="B4207" s="9"/>
      <c r="C4207" s="9" t="s">
        <v>676</v>
      </c>
      <c r="D4207" s="9" t="s">
        <v>3173</v>
      </c>
      <c r="E4207" s="9" t="s">
        <v>3151</v>
      </c>
      <c r="F4207" s="9" t="s">
        <v>98</v>
      </c>
      <c r="H4207" s="9"/>
    </row>
    <row r="4208" ht="14.25" customHeight="1">
      <c r="A4208" s="9"/>
      <c r="B4208" s="9"/>
      <c r="C4208" s="9" t="s">
        <v>676</v>
      </c>
      <c r="D4208" s="9" t="s">
        <v>3173</v>
      </c>
      <c r="E4208" s="9" t="s">
        <v>3151</v>
      </c>
      <c r="F4208" s="9" t="s">
        <v>341</v>
      </c>
      <c r="H4208" s="9"/>
    </row>
    <row r="4209" ht="14.25" customHeight="1">
      <c r="A4209" s="9"/>
      <c r="B4209" s="9"/>
      <c r="C4209" s="9" t="s">
        <v>676</v>
      </c>
      <c r="D4209" s="9" t="s">
        <v>3173</v>
      </c>
      <c r="E4209" s="9" t="s">
        <v>3151</v>
      </c>
      <c r="F4209" s="9" t="s">
        <v>367</v>
      </c>
      <c r="H4209" s="9"/>
    </row>
    <row r="4210" ht="14.25" customHeight="1">
      <c r="A4210" s="9"/>
      <c r="B4210" s="9"/>
      <c r="C4210" s="9" t="s">
        <v>676</v>
      </c>
      <c r="D4210" s="9" t="s">
        <v>3173</v>
      </c>
      <c r="E4210" s="9" t="s">
        <v>3151</v>
      </c>
      <c r="F4210" s="9" t="s">
        <v>529</v>
      </c>
      <c r="H4210" s="9"/>
    </row>
    <row r="4211" ht="14.25" customHeight="1">
      <c r="A4211" s="9"/>
      <c r="B4211" s="9"/>
      <c r="C4211" s="9" t="s">
        <v>676</v>
      </c>
      <c r="D4211" s="9" t="s">
        <v>3173</v>
      </c>
      <c r="E4211" s="9" t="s">
        <v>3151</v>
      </c>
      <c r="F4211" s="9" t="s">
        <v>282</v>
      </c>
      <c r="H4211" s="9"/>
    </row>
    <row r="4212" ht="14.25" customHeight="1">
      <c r="A4212" s="9"/>
      <c r="B4212" s="9"/>
      <c r="C4212" s="9" t="s">
        <v>676</v>
      </c>
      <c r="D4212" s="9" t="s">
        <v>3173</v>
      </c>
      <c r="E4212" s="9" t="s">
        <v>3151</v>
      </c>
      <c r="F4212" s="9" t="s">
        <v>321</v>
      </c>
      <c r="H4212" s="9"/>
    </row>
    <row r="4213" ht="14.25" customHeight="1">
      <c r="A4213" s="9"/>
      <c r="B4213" s="9"/>
      <c r="C4213" s="9" t="s">
        <v>676</v>
      </c>
      <c r="D4213" s="9" t="s">
        <v>3173</v>
      </c>
      <c r="E4213" s="9" t="s">
        <v>3151</v>
      </c>
      <c r="F4213" s="9" t="s">
        <v>272</v>
      </c>
      <c r="H4213" s="9"/>
    </row>
    <row r="4214" ht="14.25" customHeight="1">
      <c r="A4214" s="9"/>
      <c r="B4214" s="9"/>
      <c r="C4214" s="9" t="s">
        <v>676</v>
      </c>
      <c r="D4214" s="9" t="s">
        <v>3173</v>
      </c>
      <c r="E4214" s="9" t="s">
        <v>3151</v>
      </c>
      <c r="F4214" s="9" t="s">
        <v>517</v>
      </c>
      <c r="H4214" s="9"/>
    </row>
    <row r="4215" ht="14.25" customHeight="1">
      <c r="A4215" s="9"/>
      <c r="B4215" s="9"/>
      <c r="C4215" s="9" t="s">
        <v>676</v>
      </c>
      <c r="D4215" s="9" t="s">
        <v>3173</v>
      </c>
      <c r="E4215" s="9" t="s">
        <v>3151</v>
      </c>
      <c r="F4215" s="9" t="s">
        <v>2593</v>
      </c>
      <c r="H4215" s="9"/>
    </row>
    <row r="4216" ht="14.25" customHeight="1">
      <c r="A4216" s="9"/>
      <c r="B4216" s="9"/>
      <c r="C4216" s="9" t="s">
        <v>676</v>
      </c>
      <c r="D4216" s="9" t="s">
        <v>3173</v>
      </c>
      <c r="E4216" s="9" t="s">
        <v>3151</v>
      </c>
      <c r="F4216" s="9" t="s">
        <v>507</v>
      </c>
      <c r="H4216" s="9"/>
    </row>
    <row r="4217" ht="14.25" customHeight="1">
      <c r="A4217" s="9"/>
      <c r="B4217" s="9"/>
      <c r="C4217" s="9" t="s">
        <v>676</v>
      </c>
      <c r="D4217" s="9" t="s">
        <v>3173</v>
      </c>
      <c r="E4217" s="9" t="s">
        <v>3151</v>
      </c>
      <c r="F4217" s="9" t="s">
        <v>336</v>
      </c>
      <c r="H4217" s="9"/>
    </row>
    <row r="4218" ht="14.25" customHeight="1">
      <c r="A4218" s="9"/>
      <c r="B4218" s="9"/>
      <c r="C4218" s="9" t="s">
        <v>676</v>
      </c>
      <c r="D4218" s="9" t="s">
        <v>3173</v>
      </c>
      <c r="E4218" s="9" t="s">
        <v>3151</v>
      </c>
      <c r="F4218" s="9" t="s">
        <v>235</v>
      </c>
      <c r="H4218" s="9"/>
    </row>
    <row r="4219" ht="14.25" customHeight="1">
      <c r="A4219" s="9"/>
      <c r="B4219" s="9"/>
      <c r="C4219" s="9" t="s">
        <v>676</v>
      </c>
      <c r="D4219" s="9" t="s">
        <v>3173</v>
      </c>
      <c r="E4219" s="9" t="s">
        <v>3151</v>
      </c>
      <c r="F4219" s="9" t="s">
        <v>327</v>
      </c>
      <c r="H4219" s="9"/>
    </row>
    <row r="4220" ht="14.25" customHeight="1">
      <c r="A4220" s="9"/>
      <c r="B4220" s="9"/>
      <c r="C4220" s="9" t="s">
        <v>676</v>
      </c>
      <c r="D4220" s="9" t="s">
        <v>3173</v>
      </c>
      <c r="E4220" s="9" t="s">
        <v>3151</v>
      </c>
      <c r="F4220" s="9" t="s">
        <v>264</v>
      </c>
      <c r="H4220" s="9"/>
    </row>
    <row r="4221" ht="14.25" customHeight="1">
      <c r="A4221" s="9"/>
      <c r="B4221" s="9"/>
      <c r="C4221" s="9" t="s">
        <v>676</v>
      </c>
      <c r="D4221" s="9" t="s">
        <v>676</v>
      </c>
      <c r="E4221" s="9" t="s">
        <v>3151</v>
      </c>
      <c r="F4221" s="9" t="s">
        <v>474</v>
      </c>
      <c r="H4221" s="9"/>
    </row>
    <row r="4222" ht="14.25" customHeight="1">
      <c r="A4222" s="9"/>
      <c r="B4222" s="9"/>
      <c r="C4222" s="9" t="s">
        <v>676</v>
      </c>
      <c r="D4222" s="9" t="s">
        <v>676</v>
      </c>
      <c r="E4222" s="9" t="s">
        <v>3151</v>
      </c>
      <c r="F4222" s="9" t="s">
        <v>284</v>
      </c>
      <c r="H4222" s="9"/>
    </row>
    <row r="4223" ht="14.25" customHeight="1">
      <c r="A4223" s="9"/>
      <c r="B4223" s="9"/>
      <c r="C4223" s="9" t="s">
        <v>676</v>
      </c>
      <c r="D4223" s="9" t="s">
        <v>676</v>
      </c>
      <c r="E4223" s="9" t="s">
        <v>3151</v>
      </c>
      <c r="F4223" s="9" t="s">
        <v>493</v>
      </c>
      <c r="H4223" s="9"/>
    </row>
    <row r="4224" ht="14.25" customHeight="1">
      <c r="A4224" s="9"/>
      <c r="B4224" s="9"/>
      <c r="C4224" s="9" t="s">
        <v>676</v>
      </c>
      <c r="D4224" s="9" t="s">
        <v>676</v>
      </c>
      <c r="E4224" s="9" t="s">
        <v>3151</v>
      </c>
      <c r="F4224" s="9" t="s">
        <v>450</v>
      </c>
      <c r="H4224" s="9"/>
    </row>
    <row r="4225" ht="14.25" customHeight="1">
      <c r="A4225" s="9"/>
      <c r="B4225" s="9"/>
      <c r="C4225" s="9" t="s">
        <v>676</v>
      </c>
      <c r="D4225" s="9" t="s">
        <v>676</v>
      </c>
      <c r="E4225" s="9" t="s">
        <v>3151</v>
      </c>
      <c r="F4225" s="9" t="s">
        <v>395</v>
      </c>
      <c r="H4225" s="9"/>
    </row>
    <row r="4226" ht="14.25" customHeight="1">
      <c r="A4226" s="9"/>
      <c r="B4226" s="9"/>
      <c r="C4226" s="9" t="s">
        <v>676</v>
      </c>
      <c r="D4226" s="9" t="s">
        <v>676</v>
      </c>
      <c r="E4226" s="9" t="s">
        <v>3151</v>
      </c>
      <c r="F4226" s="9" t="s">
        <v>276</v>
      </c>
      <c r="H4226" s="9"/>
    </row>
    <row r="4227" ht="14.25" customHeight="1">
      <c r="A4227" s="9"/>
      <c r="B4227" s="9"/>
      <c r="C4227" s="9" t="s">
        <v>676</v>
      </c>
      <c r="D4227" s="9" t="s">
        <v>676</v>
      </c>
      <c r="E4227" s="9" t="s">
        <v>3151</v>
      </c>
      <c r="F4227" s="9" t="s">
        <v>431</v>
      </c>
      <c r="H4227" s="9"/>
    </row>
    <row r="4228" ht="14.25" customHeight="1">
      <c r="A4228" s="9"/>
      <c r="B4228" s="9"/>
      <c r="C4228" s="9" t="s">
        <v>676</v>
      </c>
      <c r="D4228" s="9" t="s">
        <v>676</v>
      </c>
      <c r="E4228" s="9" t="s">
        <v>3151</v>
      </c>
      <c r="F4228" s="9" t="s">
        <v>1272</v>
      </c>
      <c r="H4228" s="9"/>
    </row>
    <row r="4229" ht="14.25" customHeight="1">
      <c r="A4229" s="9"/>
      <c r="B4229" s="9"/>
      <c r="C4229" s="9" t="s">
        <v>676</v>
      </c>
      <c r="D4229" s="9" t="s">
        <v>676</v>
      </c>
      <c r="E4229" s="9" t="s">
        <v>3151</v>
      </c>
      <c r="F4229" s="9" t="s">
        <v>420</v>
      </c>
      <c r="H4229" s="9"/>
    </row>
    <row r="4230" ht="14.25" customHeight="1">
      <c r="A4230" s="9"/>
      <c r="B4230" s="9"/>
      <c r="C4230" s="9" t="s">
        <v>676</v>
      </c>
      <c r="D4230" s="9" t="s">
        <v>676</v>
      </c>
      <c r="E4230" s="9" t="s">
        <v>3151</v>
      </c>
      <c r="F4230" s="9" t="s">
        <v>482</v>
      </c>
      <c r="H4230" s="9"/>
    </row>
    <row r="4231" ht="14.25" customHeight="1">
      <c r="A4231" s="9"/>
      <c r="B4231" s="9"/>
      <c r="C4231" s="9" t="s">
        <v>676</v>
      </c>
      <c r="D4231" s="9" t="s">
        <v>676</v>
      </c>
      <c r="E4231" s="9" t="s">
        <v>3151</v>
      </c>
      <c r="F4231" s="9" t="s">
        <v>136</v>
      </c>
      <c r="H4231" s="9"/>
    </row>
    <row r="4232" ht="14.25" customHeight="1">
      <c r="A4232" s="9"/>
      <c r="B4232" s="9"/>
      <c r="C4232" s="9" t="s">
        <v>676</v>
      </c>
      <c r="D4232" s="9" t="s">
        <v>676</v>
      </c>
      <c r="E4232" s="9" t="s">
        <v>3151</v>
      </c>
      <c r="F4232" s="9" t="s">
        <v>408</v>
      </c>
      <c r="H4232" s="9"/>
    </row>
    <row r="4233" ht="14.25" customHeight="1">
      <c r="A4233" s="9"/>
      <c r="B4233" s="9"/>
      <c r="C4233" s="9" t="s">
        <v>676</v>
      </c>
      <c r="D4233" s="9" t="s">
        <v>676</v>
      </c>
      <c r="E4233" s="9" t="s">
        <v>3151</v>
      </c>
      <c r="F4233" s="9" t="s">
        <v>2589</v>
      </c>
      <c r="H4233" s="9"/>
    </row>
    <row r="4234" ht="14.25" customHeight="1">
      <c r="A4234" s="9"/>
      <c r="B4234" s="9"/>
      <c r="C4234" s="9" t="s">
        <v>676</v>
      </c>
      <c r="D4234" s="9" t="s">
        <v>676</v>
      </c>
      <c r="E4234" s="9" t="s">
        <v>3151</v>
      </c>
      <c r="F4234" s="9" t="s">
        <v>197</v>
      </c>
      <c r="H4234" s="9"/>
    </row>
    <row r="4235" ht="14.25" customHeight="1">
      <c r="A4235" s="9"/>
      <c r="B4235" s="9"/>
      <c r="C4235" s="9" t="s">
        <v>676</v>
      </c>
      <c r="D4235" s="9" t="s">
        <v>676</v>
      </c>
      <c r="E4235" s="9" t="s">
        <v>3151</v>
      </c>
      <c r="F4235" s="9" t="s">
        <v>172</v>
      </c>
      <c r="H4235" s="9"/>
    </row>
    <row r="4236" ht="14.25" customHeight="1">
      <c r="A4236" s="9"/>
      <c r="B4236" s="9"/>
      <c r="C4236" s="9" t="s">
        <v>676</v>
      </c>
      <c r="D4236" s="9" t="s">
        <v>676</v>
      </c>
      <c r="E4236" s="9" t="s">
        <v>3151</v>
      </c>
      <c r="F4236" s="9" t="s">
        <v>98</v>
      </c>
      <c r="H4236" s="9"/>
    </row>
    <row r="4237" ht="14.25" customHeight="1">
      <c r="A4237" s="9"/>
      <c r="B4237" s="9"/>
      <c r="C4237" s="9" t="s">
        <v>676</v>
      </c>
      <c r="D4237" s="9" t="s">
        <v>676</v>
      </c>
      <c r="E4237" s="9" t="s">
        <v>3151</v>
      </c>
      <c r="F4237" s="9" t="s">
        <v>341</v>
      </c>
      <c r="H4237" s="9"/>
    </row>
    <row r="4238" ht="14.25" customHeight="1">
      <c r="A4238" s="9"/>
      <c r="B4238" s="9"/>
      <c r="C4238" s="9" t="s">
        <v>676</v>
      </c>
      <c r="D4238" s="9" t="s">
        <v>676</v>
      </c>
      <c r="E4238" s="9" t="s">
        <v>3151</v>
      </c>
      <c r="F4238" s="9" t="s">
        <v>367</v>
      </c>
      <c r="H4238" s="9"/>
    </row>
    <row r="4239" ht="14.25" customHeight="1">
      <c r="A4239" s="9"/>
      <c r="B4239" s="9"/>
      <c r="C4239" s="9" t="s">
        <v>676</v>
      </c>
      <c r="D4239" s="9" t="s">
        <v>676</v>
      </c>
      <c r="E4239" s="9" t="s">
        <v>3151</v>
      </c>
      <c r="F4239" s="9" t="s">
        <v>529</v>
      </c>
      <c r="H4239" s="9"/>
    </row>
    <row r="4240" ht="14.25" customHeight="1">
      <c r="A4240" s="9"/>
      <c r="B4240" s="9"/>
      <c r="C4240" s="9" t="s">
        <v>676</v>
      </c>
      <c r="D4240" s="9" t="s">
        <v>676</v>
      </c>
      <c r="E4240" s="9" t="s">
        <v>3151</v>
      </c>
      <c r="F4240" s="9" t="s">
        <v>282</v>
      </c>
      <c r="H4240" s="9"/>
    </row>
    <row r="4241" ht="14.25" customHeight="1">
      <c r="A4241" s="9"/>
      <c r="B4241" s="9"/>
      <c r="C4241" s="9" t="s">
        <v>676</v>
      </c>
      <c r="D4241" s="9" t="s">
        <v>676</v>
      </c>
      <c r="E4241" s="9" t="s">
        <v>3151</v>
      </c>
      <c r="F4241" s="9" t="s">
        <v>321</v>
      </c>
      <c r="H4241" s="9"/>
    </row>
    <row r="4242" ht="14.25" customHeight="1">
      <c r="A4242" s="9"/>
      <c r="B4242" s="9"/>
      <c r="C4242" s="9" t="s">
        <v>676</v>
      </c>
      <c r="D4242" s="9" t="s">
        <v>676</v>
      </c>
      <c r="E4242" s="9" t="s">
        <v>3151</v>
      </c>
      <c r="F4242" s="9" t="s">
        <v>272</v>
      </c>
      <c r="H4242" s="9"/>
    </row>
    <row r="4243" ht="14.25" customHeight="1">
      <c r="A4243" s="9"/>
      <c r="B4243" s="9"/>
      <c r="C4243" s="9" t="s">
        <v>676</v>
      </c>
      <c r="D4243" s="9" t="s">
        <v>676</v>
      </c>
      <c r="E4243" s="9" t="s">
        <v>3151</v>
      </c>
      <c r="F4243" s="9" t="s">
        <v>517</v>
      </c>
      <c r="H4243" s="9"/>
    </row>
    <row r="4244" ht="14.25" customHeight="1">
      <c r="A4244" s="9"/>
      <c r="B4244" s="9"/>
      <c r="C4244" s="9" t="s">
        <v>676</v>
      </c>
      <c r="D4244" s="9" t="s">
        <v>676</v>
      </c>
      <c r="E4244" s="9" t="s">
        <v>3151</v>
      </c>
      <c r="F4244" s="9" t="s">
        <v>2593</v>
      </c>
      <c r="H4244" s="9"/>
    </row>
    <row r="4245" ht="14.25" customHeight="1">
      <c r="A4245" s="9"/>
      <c r="B4245" s="9"/>
      <c r="C4245" s="9" t="s">
        <v>676</v>
      </c>
      <c r="D4245" s="9" t="s">
        <v>676</v>
      </c>
      <c r="E4245" s="9" t="s">
        <v>3151</v>
      </c>
      <c r="F4245" s="9" t="s">
        <v>507</v>
      </c>
      <c r="H4245" s="9"/>
    </row>
    <row r="4246" ht="14.25" customHeight="1">
      <c r="A4246" s="9"/>
      <c r="B4246" s="9"/>
      <c r="C4246" s="9" t="s">
        <v>676</v>
      </c>
      <c r="D4246" s="9" t="s">
        <v>676</v>
      </c>
      <c r="E4246" s="9" t="s">
        <v>3151</v>
      </c>
      <c r="F4246" s="9" t="s">
        <v>336</v>
      </c>
      <c r="H4246" s="9"/>
    </row>
    <row r="4247" ht="14.25" customHeight="1">
      <c r="A4247" s="9"/>
      <c r="B4247" s="9"/>
      <c r="C4247" s="9" t="s">
        <v>676</v>
      </c>
      <c r="D4247" s="9" t="s">
        <v>676</v>
      </c>
      <c r="E4247" s="9" t="s">
        <v>3151</v>
      </c>
      <c r="F4247" s="9" t="s">
        <v>235</v>
      </c>
      <c r="H4247" s="9"/>
    </row>
    <row r="4248" ht="14.25" customHeight="1">
      <c r="A4248" s="9"/>
      <c r="B4248" s="9"/>
      <c r="C4248" s="9" t="s">
        <v>676</v>
      </c>
      <c r="D4248" s="9" t="s">
        <v>676</v>
      </c>
      <c r="E4248" s="9" t="s">
        <v>3151</v>
      </c>
      <c r="F4248" s="9" t="s">
        <v>327</v>
      </c>
      <c r="H4248" s="9"/>
    </row>
    <row r="4249" ht="14.25" customHeight="1">
      <c r="A4249" s="9"/>
      <c r="B4249" s="9"/>
      <c r="C4249" s="9" t="s">
        <v>676</v>
      </c>
      <c r="D4249" s="9" t="s">
        <v>676</v>
      </c>
      <c r="E4249" s="9" t="s">
        <v>3151</v>
      </c>
      <c r="F4249" s="9" t="s">
        <v>264</v>
      </c>
      <c r="H4249" s="9"/>
    </row>
    <row r="4250" ht="14.25" customHeight="1">
      <c r="A4250" s="9"/>
      <c r="B4250" s="9"/>
      <c r="C4250" s="9" t="s">
        <v>676</v>
      </c>
      <c r="D4250" s="9" t="s">
        <v>3174</v>
      </c>
      <c r="E4250" s="9" t="s">
        <v>3151</v>
      </c>
      <c r="F4250" s="9" t="s">
        <v>474</v>
      </c>
      <c r="H4250" s="9"/>
    </row>
    <row r="4251" ht="14.25" customHeight="1">
      <c r="A4251" s="9"/>
      <c r="B4251" s="9"/>
      <c r="C4251" s="9" t="s">
        <v>676</v>
      </c>
      <c r="D4251" s="9" t="s">
        <v>3174</v>
      </c>
      <c r="E4251" s="9" t="s">
        <v>3151</v>
      </c>
      <c r="F4251" s="9" t="s">
        <v>284</v>
      </c>
      <c r="H4251" s="9"/>
    </row>
    <row r="4252" ht="14.25" customHeight="1">
      <c r="A4252" s="9"/>
      <c r="B4252" s="9"/>
      <c r="C4252" s="9" t="s">
        <v>676</v>
      </c>
      <c r="D4252" s="9" t="s">
        <v>3174</v>
      </c>
      <c r="E4252" s="9" t="s">
        <v>3151</v>
      </c>
      <c r="F4252" s="9" t="s">
        <v>493</v>
      </c>
      <c r="H4252" s="9"/>
    </row>
    <row r="4253" ht="14.25" customHeight="1">
      <c r="A4253" s="9"/>
      <c r="B4253" s="9"/>
      <c r="C4253" s="9" t="s">
        <v>676</v>
      </c>
      <c r="D4253" s="9" t="s">
        <v>3174</v>
      </c>
      <c r="E4253" s="9" t="s">
        <v>3151</v>
      </c>
      <c r="F4253" s="9" t="s">
        <v>450</v>
      </c>
      <c r="H4253" s="9"/>
    </row>
    <row r="4254" ht="14.25" customHeight="1">
      <c r="A4254" s="9"/>
      <c r="B4254" s="9"/>
      <c r="C4254" s="9" t="s">
        <v>676</v>
      </c>
      <c r="D4254" s="9" t="s">
        <v>3174</v>
      </c>
      <c r="E4254" s="9" t="s">
        <v>3151</v>
      </c>
      <c r="F4254" s="9" t="s">
        <v>395</v>
      </c>
      <c r="H4254" s="9"/>
    </row>
    <row r="4255" ht="14.25" customHeight="1">
      <c r="A4255" s="9"/>
      <c r="B4255" s="9"/>
      <c r="C4255" s="9" t="s">
        <v>676</v>
      </c>
      <c r="D4255" s="9" t="s">
        <v>3174</v>
      </c>
      <c r="E4255" s="9" t="s">
        <v>3151</v>
      </c>
      <c r="F4255" s="9" t="s">
        <v>276</v>
      </c>
      <c r="H4255" s="9"/>
    </row>
    <row r="4256" ht="14.25" customHeight="1">
      <c r="A4256" s="9"/>
      <c r="B4256" s="9"/>
      <c r="C4256" s="9" t="s">
        <v>676</v>
      </c>
      <c r="D4256" s="9" t="s">
        <v>3174</v>
      </c>
      <c r="E4256" s="9" t="s">
        <v>3151</v>
      </c>
      <c r="F4256" s="9" t="s">
        <v>431</v>
      </c>
      <c r="H4256" s="9"/>
    </row>
    <row r="4257" ht="14.25" customHeight="1">
      <c r="A4257" s="9"/>
      <c r="B4257" s="9"/>
      <c r="C4257" s="9" t="s">
        <v>676</v>
      </c>
      <c r="D4257" s="9" t="s">
        <v>3174</v>
      </c>
      <c r="E4257" s="9" t="s">
        <v>3151</v>
      </c>
      <c r="F4257" s="9" t="s">
        <v>1272</v>
      </c>
      <c r="H4257" s="9"/>
    </row>
    <row r="4258" ht="14.25" customHeight="1">
      <c r="A4258" s="9"/>
      <c r="B4258" s="9"/>
      <c r="C4258" s="9" t="s">
        <v>676</v>
      </c>
      <c r="D4258" s="9" t="s">
        <v>3174</v>
      </c>
      <c r="E4258" s="9" t="s">
        <v>3151</v>
      </c>
      <c r="F4258" s="9" t="s">
        <v>420</v>
      </c>
      <c r="H4258" s="9"/>
    </row>
    <row r="4259" ht="14.25" customHeight="1">
      <c r="A4259" s="9"/>
      <c r="B4259" s="9"/>
      <c r="C4259" s="9" t="s">
        <v>676</v>
      </c>
      <c r="D4259" s="9" t="s">
        <v>3174</v>
      </c>
      <c r="E4259" s="9" t="s">
        <v>3151</v>
      </c>
      <c r="F4259" s="9" t="s">
        <v>482</v>
      </c>
      <c r="H4259" s="9"/>
    </row>
    <row r="4260" ht="14.25" customHeight="1">
      <c r="A4260" s="9"/>
      <c r="B4260" s="9"/>
      <c r="C4260" s="9" t="s">
        <v>676</v>
      </c>
      <c r="D4260" s="9" t="s">
        <v>3174</v>
      </c>
      <c r="E4260" s="9" t="s">
        <v>3151</v>
      </c>
      <c r="F4260" s="9" t="s">
        <v>136</v>
      </c>
      <c r="H4260" s="9"/>
    </row>
    <row r="4261" ht="14.25" customHeight="1">
      <c r="A4261" s="9"/>
      <c r="B4261" s="9"/>
      <c r="C4261" s="9" t="s">
        <v>676</v>
      </c>
      <c r="D4261" s="9" t="s">
        <v>3174</v>
      </c>
      <c r="E4261" s="9" t="s">
        <v>3151</v>
      </c>
      <c r="F4261" s="9" t="s">
        <v>408</v>
      </c>
      <c r="H4261" s="9"/>
    </row>
    <row r="4262" ht="14.25" customHeight="1">
      <c r="A4262" s="9"/>
      <c r="B4262" s="9"/>
      <c r="C4262" s="9" t="s">
        <v>676</v>
      </c>
      <c r="D4262" s="9" t="s">
        <v>3174</v>
      </c>
      <c r="E4262" s="9" t="s">
        <v>3151</v>
      </c>
      <c r="F4262" s="9" t="s">
        <v>2589</v>
      </c>
      <c r="H4262" s="9"/>
    </row>
    <row r="4263" ht="14.25" customHeight="1">
      <c r="A4263" s="9"/>
      <c r="B4263" s="9"/>
      <c r="C4263" s="9" t="s">
        <v>676</v>
      </c>
      <c r="D4263" s="9" t="s">
        <v>3174</v>
      </c>
      <c r="E4263" s="9" t="s">
        <v>3151</v>
      </c>
      <c r="F4263" s="9" t="s">
        <v>197</v>
      </c>
      <c r="H4263" s="9"/>
    </row>
    <row r="4264" ht="14.25" customHeight="1">
      <c r="A4264" s="9"/>
      <c r="B4264" s="9"/>
      <c r="C4264" s="9" t="s">
        <v>676</v>
      </c>
      <c r="D4264" s="9" t="s">
        <v>3174</v>
      </c>
      <c r="E4264" s="9" t="s">
        <v>3151</v>
      </c>
      <c r="F4264" s="9" t="s">
        <v>172</v>
      </c>
      <c r="H4264" s="9"/>
    </row>
    <row r="4265" ht="14.25" customHeight="1">
      <c r="A4265" s="9"/>
      <c r="B4265" s="9"/>
      <c r="C4265" s="9" t="s">
        <v>676</v>
      </c>
      <c r="D4265" s="9" t="s">
        <v>3174</v>
      </c>
      <c r="E4265" s="9" t="s">
        <v>3151</v>
      </c>
      <c r="F4265" s="9" t="s">
        <v>98</v>
      </c>
      <c r="H4265" s="9"/>
    </row>
    <row r="4266" ht="14.25" customHeight="1">
      <c r="A4266" s="9"/>
      <c r="B4266" s="9"/>
      <c r="C4266" s="9" t="s">
        <v>676</v>
      </c>
      <c r="D4266" s="9" t="s">
        <v>3174</v>
      </c>
      <c r="E4266" s="9" t="s">
        <v>3151</v>
      </c>
      <c r="F4266" s="9" t="s">
        <v>341</v>
      </c>
      <c r="H4266" s="9"/>
    </row>
    <row r="4267" ht="14.25" customHeight="1">
      <c r="A4267" s="9"/>
      <c r="B4267" s="9"/>
      <c r="C4267" s="9" t="s">
        <v>676</v>
      </c>
      <c r="D4267" s="9" t="s">
        <v>3174</v>
      </c>
      <c r="E4267" s="9" t="s">
        <v>3151</v>
      </c>
      <c r="F4267" s="9" t="s">
        <v>367</v>
      </c>
      <c r="H4267" s="9"/>
    </row>
    <row r="4268" ht="14.25" customHeight="1">
      <c r="A4268" s="9"/>
      <c r="B4268" s="9"/>
      <c r="C4268" s="9" t="s">
        <v>676</v>
      </c>
      <c r="D4268" s="9" t="s">
        <v>3174</v>
      </c>
      <c r="E4268" s="9" t="s">
        <v>3151</v>
      </c>
      <c r="F4268" s="9" t="s">
        <v>529</v>
      </c>
      <c r="H4268" s="9"/>
    </row>
    <row r="4269" ht="14.25" customHeight="1">
      <c r="A4269" s="9"/>
      <c r="B4269" s="9"/>
      <c r="C4269" s="9" t="s">
        <v>676</v>
      </c>
      <c r="D4269" s="9" t="s">
        <v>3174</v>
      </c>
      <c r="E4269" s="9" t="s">
        <v>3151</v>
      </c>
      <c r="F4269" s="9" t="s">
        <v>282</v>
      </c>
      <c r="H4269" s="9"/>
    </row>
    <row r="4270" ht="14.25" customHeight="1">
      <c r="A4270" s="9"/>
      <c r="B4270" s="9"/>
      <c r="C4270" s="9" t="s">
        <v>676</v>
      </c>
      <c r="D4270" s="9" t="s">
        <v>3174</v>
      </c>
      <c r="E4270" s="9" t="s">
        <v>3151</v>
      </c>
      <c r="F4270" s="9" t="s">
        <v>321</v>
      </c>
      <c r="H4270" s="9"/>
    </row>
    <row r="4271" ht="14.25" customHeight="1">
      <c r="A4271" s="9"/>
      <c r="B4271" s="9"/>
      <c r="C4271" s="9" t="s">
        <v>676</v>
      </c>
      <c r="D4271" s="9" t="s">
        <v>3174</v>
      </c>
      <c r="E4271" s="9" t="s">
        <v>3151</v>
      </c>
      <c r="F4271" s="9" t="s">
        <v>272</v>
      </c>
      <c r="H4271" s="9"/>
    </row>
    <row r="4272" ht="14.25" customHeight="1">
      <c r="A4272" s="9"/>
      <c r="B4272" s="9"/>
      <c r="C4272" s="9" t="s">
        <v>676</v>
      </c>
      <c r="D4272" s="9" t="s">
        <v>3174</v>
      </c>
      <c r="E4272" s="9" t="s">
        <v>3151</v>
      </c>
      <c r="F4272" s="9" t="s">
        <v>517</v>
      </c>
      <c r="H4272" s="9"/>
    </row>
    <row r="4273" ht="14.25" customHeight="1">
      <c r="A4273" s="9"/>
      <c r="B4273" s="9"/>
      <c r="C4273" s="9" t="s">
        <v>676</v>
      </c>
      <c r="D4273" s="9" t="s">
        <v>3174</v>
      </c>
      <c r="E4273" s="9" t="s">
        <v>3151</v>
      </c>
      <c r="F4273" s="9" t="s">
        <v>2593</v>
      </c>
      <c r="H4273" s="9"/>
    </row>
    <row r="4274" ht="14.25" customHeight="1">
      <c r="A4274" s="9"/>
      <c r="B4274" s="9"/>
      <c r="C4274" s="9" t="s">
        <v>676</v>
      </c>
      <c r="D4274" s="9" t="s">
        <v>3174</v>
      </c>
      <c r="E4274" s="9" t="s">
        <v>3151</v>
      </c>
      <c r="F4274" s="9" t="s">
        <v>507</v>
      </c>
      <c r="H4274" s="9"/>
    </row>
    <row r="4275" ht="14.25" customHeight="1">
      <c r="A4275" s="9"/>
      <c r="B4275" s="9"/>
      <c r="C4275" s="9" t="s">
        <v>676</v>
      </c>
      <c r="D4275" s="9" t="s">
        <v>3174</v>
      </c>
      <c r="E4275" s="9" t="s">
        <v>3151</v>
      </c>
      <c r="F4275" s="9" t="s">
        <v>336</v>
      </c>
      <c r="H4275" s="9"/>
    </row>
    <row r="4276" ht="14.25" customHeight="1">
      <c r="A4276" s="9"/>
      <c r="B4276" s="9"/>
      <c r="C4276" s="9" t="s">
        <v>676</v>
      </c>
      <c r="D4276" s="9" t="s">
        <v>3174</v>
      </c>
      <c r="E4276" s="9" t="s">
        <v>3151</v>
      </c>
      <c r="F4276" s="9" t="s">
        <v>235</v>
      </c>
      <c r="H4276" s="9"/>
    </row>
    <row r="4277" ht="14.25" customHeight="1">
      <c r="A4277" s="9"/>
      <c r="B4277" s="9"/>
      <c r="C4277" s="9" t="s">
        <v>676</v>
      </c>
      <c r="D4277" s="9" t="s">
        <v>3174</v>
      </c>
      <c r="E4277" s="9" t="s">
        <v>3151</v>
      </c>
      <c r="F4277" s="9" t="s">
        <v>327</v>
      </c>
      <c r="H4277" s="9"/>
    </row>
    <row r="4278" ht="14.25" customHeight="1">
      <c r="A4278" s="9"/>
      <c r="B4278" s="9"/>
      <c r="C4278" s="9" t="s">
        <v>676</v>
      </c>
      <c r="D4278" s="9" t="s">
        <v>3174</v>
      </c>
      <c r="E4278" s="9" t="s">
        <v>3151</v>
      </c>
      <c r="F4278" s="9" t="s">
        <v>264</v>
      </c>
      <c r="H4278" s="9"/>
    </row>
    <row r="4279" ht="14.25" customHeight="1">
      <c r="A4279" s="9"/>
      <c r="B4279" s="9"/>
      <c r="C4279" s="200" t="s">
        <v>678</v>
      </c>
      <c r="D4279" s="208" t="s">
        <v>3175</v>
      </c>
      <c r="E4279" s="200" t="s">
        <v>3151</v>
      </c>
      <c r="F4279" s="211" t="s">
        <v>474</v>
      </c>
      <c r="H4279" s="9"/>
    </row>
    <row r="4280" ht="14.25" customHeight="1">
      <c r="A4280" s="9"/>
      <c r="B4280" s="9"/>
      <c r="C4280" s="200" t="s">
        <v>678</v>
      </c>
      <c r="D4280" s="208" t="s">
        <v>3175</v>
      </c>
      <c r="E4280" s="200" t="s">
        <v>3151</v>
      </c>
      <c r="F4280" s="185" t="s">
        <v>284</v>
      </c>
      <c r="H4280" s="9"/>
    </row>
    <row r="4281" ht="14.25" customHeight="1">
      <c r="A4281" s="9"/>
      <c r="B4281" s="9"/>
      <c r="C4281" s="200" t="s">
        <v>678</v>
      </c>
      <c r="D4281" s="208" t="s">
        <v>3175</v>
      </c>
      <c r="E4281" s="200" t="s">
        <v>3151</v>
      </c>
      <c r="F4281" s="185" t="s">
        <v>493</v>
      </c>
      <c r="H4281" s="9"/>
    </row>
    <row r="4282" ht="14.25" customHeight="1">
      <c r="A4282" s="9"/>
      <c r="B4282" s="9"/>
      <c r="C4282" s="200" t="s">
        <v>678</v>
      </c>
      <c r="D4282" s="208" t="s">
        <v>3175</v>
      </c>
      <c r="E4282" s="200" t="s">
        <v>3151</v>
      </c>
      <c r="F4282" s="211" t="s">
        <v>450</v>
      </c>
      <c r="H4282" s="9"/>
    </row>
    <row r="4283" ht="14.25" customHeight="1">
      <c r="A4283" s="9"/>
      <c r="B4283" s="9"/>
      <c r="C4283" s="200" t="s">
        <v>678</v>
      </c>
      <c r="D4283" s="208" t="s">
        <v>3175</v>
      </c>
      <c r="E4283" s="200" t="s">
        <v>3151</v>
      </c>
      <c r="F4283" s="185" t="s">
        <v>2296</v>
      </c>
      <c r="H4283" s="9"/>
    </row>
    <row r="4284" ht="14.25" customHeight="1">
      <c r="A4284" s="9"/>
      <c r="B4284" s="9"/>
      <c r="C4284" s="200" t="s">
        <v>678</v>
      </c>
      <c r="D4284" s="208" t="s">
        <v>3175</v>
      </c>
      <c r="E4284" s="200" t="s">
        <v>3151</v>
      </c>
      <c r="F4284" s="185" t="s">
        <v>276</v>
      </c>
      <c r="H4284" s="9"/>
    </row>
    <row r="4285" ht="14.25" customHeight="1">
      <c r="A4285" s="9"/>
      <c r="B4285" s="9"/>
      <c r="C4285" s="200" t="s">
        <v>678</v>
      </c>
      <c r="D4285" s="208" t="s">
        <v>3175</v>
      </c>
      <c r="E4285" s="200" t="s">
        <v>3151</v>
      </c>
      <c r="F4285" s="185" t="s">
        <v>431</v>
      </c>
      <c r="H4285" s="9"/>
    </row>
    <row r="4286" ht="14.25" customHeight="1">
      <c r="A4286" s="9"/>
      <c r="B4286" s="9"/>
      <c r="C4286" s="200" t="s">
        <v>678</v>
      </c>
      <c r="D4286" s="208" t="s">
        <v>3175</v>
      </c>
      <c r="E4286" s="200" t="s">
        <v>3151</v>
      </c>
      <c r="F4286" s="185" t="s">
        <v>1272</v>
      </c>
      <c r="H4286" s="9"/>
    </row>
    <row r="4287" ht="14.25" customHeight="1">
      <c r="A4287" s="9"/>
      <c r="B4287" s="9"/>
      <c r="C4287" s="200" t="s">
        <v>678</v>
      </c>
      <c r="D4287" s="208" t="s">
        <v>3175</v>
      </c>
      <c r="E4287" s="200" t="s">
        <v>3151</v>
      </c>
      <c r="F4287" s="185" t="s">
        <v>420</v>
      </c>
      <c r="H4287" s="9"/>
    </row>
    <row r="4288" ht="14.25" customHeight="1">
      <c r="A4288" s="9"/>
      <c r="B4288" s="9"/>
      <c r="C4288" s="200" t="s">
        <v>678</v>
      </c>
      <c r="D4288" s="208" t="s">
        <v>3175</v>
      </c>
      <c r="E4288" s="200" t="s">
        <v>3151</v>
      </c>
      <c r="F4288" s="211" t="s">
        <v>482</v>
      </c>
      <c r="H4288" s="9"/>
    </row>
    <row r="4289" ht="14.25" customHeight="1">
      <c r="A4289" s="9"/>
      <c r="B4289" s="9"/>
      <c r="C4289" s="200" t="s">
        <v>678</v>
      </c>
      <c r="D4289" s="208" t="s">
        <v>3175</v>
      </c>
      <c r="E4289" s="200" t="s">
        <v>3151</v>
      </c>
      <c r="F4289" s="97" t="s">
        <v>136</v>
      </c>
      <c r="H4289" s="9"/>
    </row>
    <row r="4290" ht="14.25" customHeight="1">
      <c r="A4290" s="9"/>
      <c r="B4290" s="9"/>
      <c r="C4290" s="200" t="s">
        <v>678</v>
      </c>
      <c r="D4290" s="208" t="s">
        <v>3175</v>
      </c>
      <c r="E4290" s="200" t="s">
        <v>3151</v>
      </c>
      <c r="F4290" s="185" t="s">
        <v>408</v>
      </c>
      <c r="H4290" s="9"/>
    </row>
    <row r="4291" ht="14.25" customHeight="1">
      <c r="A4291" s="9"/>
      <c r="B4291" s="9"/>
      <c r="C4291" s="200" t="s">
        <v>678</v>
      </c>
      <c r="D4291" s="208" t="s">
        <v>3175</v>
      </c>
      <c r="E4291" s="200" t="s">
        <v>3151</v>
      </c>
      <c r="F4291" s="185" t="s">
        <v>2301</v>
      </c>
      <c r="H4291" s="9"/>
    </row>
    <row r="4292" ht="14.25" customHeight="1">
      <c r="A4292" s="9"/>
      <c r="B4292" s="9"/>
      <c r="C4292" s="200" t="s">
        <v>678</v>
      </c>
      <c r="D4292" s="208" t="s">
        <v>3175</v>
      </c>
      <c r="E4292" s="200" t="s">
        <v>3151</v>
      </c>
      <c r="F4292" s="185" t="s">
        <v>197</v>
      </c>
      <c r="H4292" s="9"/>
    </row>
    <row r="4293" ht="14.25" customHeight="1">
      <c r="A4293" s="9"/>
      <c r="B4293" s="9"/>
      <c r="C4293" s="200" t="s">
        <v>678</v>
      </c>
      <c r="D4293" s="208" t="s">
        <v>3175</v>
      </c>
      <c r="E4293" s="200" t="s">
        <v>3151</v>
      </c>
      <c r="F4293" s="185" t="s">
        <v>172</v>
      </c>
      <c r="H4293" s="9"/>
    </row>
    <row r="4294" ht="14.25" customHeight="1">
      <c r="A4294" s="9"/>
      <c r="B4294" s="9"/>
      <c r="C4294" s="200" t="s">
        <v>678</v>
      </c>
      <c r="D4294" s="208" t="s">
        <v>3175</v>
      </c>
      <c r="E4294" s="200" t="s">
        <v>3151</v>
      </c>
      <c r="F4294" s="185" t="s">
        <v>98</v>
      </c>
      <c r="H4294" s="9"/>
    </row>
    <row r="4295" ht="14.25" customHeight="1">
      <c r="A4295" s="9"/>
      <c r="B4295" s="9"/>
      <c r="C4295" s="200" t="s">
        <v>678</v>
      </c>
      <c r="D4295" s="208" t="s">
        <v>3175</v>
      </c>
      <c r="E4295" s="200" t="s">
        <v>3151</v>
      </c>
      <c r="F4295" s="211" t="s">
        <v>341</v>
      </c>
      <c r="H4295" s="9"/>
    </row>
    <row r="4296" ht="14.25" customHeight="1">
      <c r="A4296" s="9"/>
      <c r="B4296" s="9"/>
      <c r="C4296" s="200" t="s">
        <v>678</v>
      </c>
      <c r="D4296" s="208" t="s">
        <v>3175</v>
      </c>
      <c r="E4296" s="200" t="s">
        <v>3151</v>
      </c>
      <c r="F4296" s="185" t="s">
        <v>367</v>
      </c>
      <c r="H4296" s="9"/>
    </row>
    <row r="4297" ht="14.25" customHeight="1">
      <c r="A4297" s="9"/>
      <c r="B4297" s="9"/>
      <c r="C4297" s="200" t="s">
        <v>678</v>
      </c>
      <c r="D4297" s="208" t="s">
        <v>3175</v>
      </c>
      <c r="E4297" s="200" t="s">
        <v>3151</v>
      </c>
      <c r="F4297" s="185" t="s">
        <v>529</v>
      </c>
      <c r="H4297" s="9"/>
    </row>
    <row r="4298" ht="14.25" customHeight="1">
      <c r="A4298" s="9"/>
      <c r="B4298" s="9"/>
      <c r="C4298" s="200" t="s">
        <v>678</v>
      </c>
      <c r="D4298" s="208" t="s">
        <v>3175</v>
      </c>
      <c r="E4298" s="200" t="s">
        <v>3151</v>
      </c>
      <c r="F4298" s="185" t="s">
        <v>282</v>
      </c>
      <c r="H4298" s="9"/>
    </row>
    <row r="4299" ht="14.25" customHeight="1">
      <c r="A4299" s="9"/>
      <c r="B4299" s="9"/>
      <c r="C4299" s="200" t="s">
        <v>678</v>
      </c>
      <c r="D4299" s="208" t="s">
        <v>3175</v>
      </c>
      <c r="E4299" s="200" t="s">
        <v>3151</v>
      </c>
      <c r="F4299" s="185" t="s">
        <v>321</v>
      </c>
      <c r="H4299" s="9"/>
    </row>
    <row r="4300" ht="14.25" customHeight="1">
      <c r="A4300" s="9"/>
      <c r="B4300" s="9"/>
      <c r="C4300" s="200" t="s">
        <v>678</v>
      </c>
      <c r="D4300" s="208" t="s">
        <v>3175</v>
      </c>
      <c r="E4300" s="200" t="s">
        <v>3151</v>
      </c>
      <c r="F4300" s="185" t="s">
        <v>272</v>
      </c>
      <c r="H4300" s="9"/>
    </row>
    <row r="4301" ht="14.25" customHeight="1">
      <c r="A4301" s="9"/>
      <c r="B4301" s="9"/>
      <c r="C4301" s="200" t="s">
        <v>678</v>
      </c>
      <c r="D4301" s="208" t="s">
        <v>3175</v>
      </c>
      <c r="E4301" s="200" t="s">
        <v>3151</v>
      </c>
      <c r="F4301" s="185" t="s">
        <v>517</v>
      </c>
      <c r="H4301" s="9"/>
    </row>
    <row r="4302" ht="14.25" customHeight="1">
      <c r="A4302" s="9"/>
      <c r="B4302" s="9"/>
      <c r="C4302" s="200" t="s">
        <v>678</v>
      </c>
      <c r="D4302" s="208" t="s">
        <v>3175</v>
      </c>
      <c r="E4302" s="200" t="s">
        <v>3151</v>
      </c>
      <c r="F4302" s="185" t="s">
        <v>2309</v>
      </c>
      <c r="H4302" s="9"/>
    </row>
    <row r="4303" ht="14.25" customHeight="1">
      <c r="A4303" s="9"/>
      <c r="B4303" s="9"/>
      <c r="C4303" s="200" t="s">
        <v>678</v>
      </c>
      <c r="D4303" s="208" t="s">
        <v>3175</v>
      </c>
      <c r="E4303" s="200" t="s">
        <v>3151</v>
      </c>
      <c r="F4303" s="211" t="s">
        <v>507</v>
      </c>
      <c r="H4303" s="9"/>
    </row>
    <row r="4304" ht="14.25" customHeight="1">
      <c r="A4304" s="9"/>
      <c r="B4304" s="9"/>
      <c r="C4304" s="200" t="s">
        <v>678</v>
      </c>
      <c r="D4304" s="208" t="s">
        <v>3175</v>
      </c>
      <c r="E4304" s="200" t="s">
        <v>3151</v>
      </c>
      <c r="F4304" s="185" t="s">
        <v>336</v>
      </c>
      <c r="H4304" s="9"/>
    </row>
    <row r="4305" ht="14.25" customHeight="1">
      <c r="A4305" s="9"/>
      <c r="B4305" s="9"/>
      <c r="C4305" s="200" t="s">
        <v>678</v>
      </c>
      <c r="D4305" s="208" t="s">
        <v>3175</v>
      </c>
      <c r="E4305" s="200" t="s">
        <v>3151</v>
      </c>
      <c r="F4305" s="211" t="s">
        <v>235</v>
      </c>
      <c r="H4305" s="9"/>
    </row>
    <row r="4306" ht="14.25" customHeight="1">
      <c r="A4306" s="9"/>
      <c r="B4306" s="9"/>
      <c r="C4306" s="200" t="s">
        <v>678</v>
      </c>
      <c r="D4306" s="208" t="s">
        <v>3175</v>
      </c>
      <c r="E4306" s="200" t="s">
        <v>3151</v>
      </c>
      <c r="F4306" s="185" t="s">
        <v>327</v>
      </c>
      <c r="H4306" s="9"/>
    </row>
    <row r="4307" ht="14.25" customHeight="1">
      <c r="A4307" s="9"/>
      <c r="B4307" s="9"/>
      <c r="C4307" s="200" t="s">
        <v>678</v>
      </c>
      <c r="D4307" s="208" t="s">
        <v>3175</v>
      </c>
      <c r="E4307" s="200" t="s">
        <v>3151</v>
      </c>
      <c r="F4307" s="185" t="s">
        <v>264</v>
      </c>
      <c r="H4307" s="9"/>
    </row>
    <row r="4308" ht="14.25" customHeight="1">
      <c r="A4308" s="9"/>
      <c r="B4308" s="9"/>
      <c r="C4308" s="200" t="s">
        <v>678</v>
      </c>
      <c r="D4308" s="208" t="s">
        <v>3176</v>
      </c>
      <c r="E4308" s="9" t="s">
        <v>3151</v>
      </c>
      <c r="F4308" s="209" t="s">
        <v>474</v>
      </c>
      <c r="H4308" s="9"/>
    </row>
    <row r="4309" ht="14.25" customHeight="1">
      <c r="A4309" s="9"/>
      <c r="B4309" s="9"/>
      <c r="C4309" s="200" t="s">
        <v>678</v>
      </c>
      <c r="D4309" s="208" t="s">
        <v>3176</v>
      </c>
      <c r="E4309" s="200" t="s">
        <v>3151</v>
      </c>
      <c r="F4309" s="209" t="s">
        <v>284</v>
      </c>
      <c r="H4309" s="9"/>
    </row>
    <row r="4310" ht="14.25" customHeight="1">
      <c r="A4310" s="9"/>
      <c r="B4310" s="9"/>
      <c r="C4310" s="200" t="s">
        <v>678</v>
      </c>
      <c r="D4310" s="208" t="s">
        <v>3176</v>
      </c>
      <c r="E4310" s="9" t="s">
        <v>3151</v>
      </c>
      <c r="F4310" s="209" t="s">
        <v>493</v>
      </c>
      <c r="H4310" s="9"/>
    </row>
    <row r="4311" ht="14.25" customHeight="1">
      <c r="A4311" s="9"/>
      <c r="B4311" s="9"/>
      <c r="C4311" s="200" t="s">
        <v>678</v>
      </c>
      <c r="D4311" s="208" t="s">
        <v>3176</v>
      </c>
      <c r="E4311" s="9" t="s">
        <v>3151</v>
      </c>
      <c r="F4311" s="209" t="s">
        <v>450</v>
      </c>
      <c r="H4311" s="9"/>
    </row>
    <row r="4312" ht="14.25" customHeight="1">
      <c r="A4312" s="9"/>
      <c r="B4312" s="9"/>
      <c r="C4312" s="200" t="s">
        <v>678</v>
      </c>
      <c r="D4312" s="208" t="s">
        <v>3176</v>
      </c>
      <c r="E4312" s="200" t="s">
        <v>3151</v>
      </c>
      <c r="F4312" s="209" t="s">
        <v>395</v>
      </c>
      <c r="H4312" s="9"/>
    </row>
    <row r="4313" ht="14.25" customHeight="1">
      <c r="A4313" s="9"/>
      <c r="B4313" s="9"/>
      <c r="C4313" s="200" t="s">
        <v>678</v>
      </c>
      <c r="D4313" s="208" t="s">
        <v>3176</v>
      </c>
      <c r="E4313" s="200" t="s">
        <v>3151</v>
      </c>
      <c r="F4313" s="209" t="s">
        <v>276</v>
      </c>
      <c r="H4313" s="9"/>
    </row>
    <row r="4314" ht="14.25" customHeight="1">
      <c r="A4314" s="9"/>
      <c r="B4314" s="9"/>
      <c r="C4314" s="200" t="s">
        <v>678</v>
      </c>
      <c r="D4314" s="208" t="s">
        <v>3176</v>
      </c>
      <c r="E4314" s="9" t="s">
        <v>3151</v>
      </c>
      <c r="F4314" s="209" t="s">
        <v>431</v>
      </c>
      <c r="H4314" s="9"/>
    </row>
    <row r="4315" ht="14.25" customHeight="1">
      <c r="A4315" s="9"/>
      <c r="B4315" s="9"/>
      <c r="C4315" s="200" t="s">
        <v>678</v>
      </c>
      <c r="D4315" s="208" t="s">
        <v>3176</v>
      </c>
      <c r="E4315" s="200" t="s">
        <v>3151</v>
      </c>
      <c r="F4315" s="209" t="s">
        <v>1272</v>
      </c>
      <c r="H4315" s="9"/>
    </row>
    <row r="4316" ht="14.25" customHeight="1">
      <c r="A4316" s="9"/>
      <c r="B4316" s="9"/>
      <c r="C4316" s="200" t="s">
        <v>678</v>
      </c>
      <c r="D4316" s="208" t="s">
        <v>3176</v>
      </c>
      <c r="E4316" s="200" t="s">
        <v>3151</v>
      </c>
      <c r="F4316" s="209" t="s">
        <v>420</v>
      </c>
      <c r="H4316" s="9"/>
    </row>
    <row r="4317" ht="14.25" customHeight="1">
      <c r="A4317" s="9"/>
      <c r="B4317" s="9"/>
      <c r="C4317" s="200" t="s">
        <v>678</v>
      </c>
      <c r="D4317" s="208" t="s">
        <v>3176</v>
      </c>
      <c r="E4317" s="9" t="s">
        <v>3151</v>
      </c>
      <c r="F4317" s="209" t="s">
        <v>482</v>
      </c>
      <c r="H4317" s="9"/>
    </row>
    <row r="4318" ht="14.25" customHeight="1">
      <c r="A4318" s="9"/>
      <c r="B4318" s="9"/>
      <c r="C4318" s="200" t="s">
        <v>678</v>
      </c>
      <c r="D4318" s="208" t="s">
        <v>3176</v>
      </c>
      <c r="E4318" s="200" t="s">
        <v>3151</v>
      </c>
      <c r="F4318" s="209" t="s">
        <v>136</v>
      </c>
      <c r="H4318" s="9"/>
    </row>
    <row r="4319" ht="14.25" customHeight="1">
      <c r="A4319" s="9"/>
      <c r="B4319" s="9"/>
      <c r="C4319" s="200" t="s">
        <v>678</v>
      </c>
      <c r="D4319" s="208" t="s">
        <v>3176</v>
      </c>
      <c r="E4319" s="200" t="s">
        <v>3151</v>
      </c>
      <c r="F4319" s="209" t="s">
        <v>408</v>
      </c>
      <c r="H4319" s="9"/>
    </row>
    <row r="4320" ht="14.25" customHeight="1">
      <c r="A4320" s="9"/>
      <c r="B4320" s="9"/>
      <c r="C4320" s="200" t="s">
        <v>678</v>
      </c>
      <c r="D4320" s="208" t="s">
        <v>3176</v>
      </c>
      <c r="E4320" s="200" t="s">
        <v>3151</v>
      </c>
      <c r="F4320" s="209" t="s">
        <v>2589</v>
      </c>
      <c r="H4320" s="9"/>
    </row>
    <row r="4321" ht="14.25" customHeight="1">
      <c r="A4321" s="9"/>
      <c r="B4321" s="9"/>
      <c r="C4321" s="200" t="s">
        <v>678</v>
      </c>
      <c r="D4321" s="208" t="s">
        <v>3176</v>
      </c>
      <c r="E4321" s="200" t="s">
        <v>3151</v>
      </c>
      <c r="F4321" s="209" t="s">
        <v>197</v>
      </c>
      <c r="H4321" s="9"/>
    </row>
    <row r="4322" ht="14.25" customHeight="1">
      <c r="A4322" s="9"/>
      <c r="B4322" s="9"/>
      <c r="C4322" s="200" t="s">
        <v>678</v>
      </c>
      <c r="D4322" s="208" t="s">
        <v>3176</v>
      </c>
      <c r="E4322" s="200" t="s">
        <v>3151</v>
      </c>
      <c r="F4322" s="209" t="s">
        <v>172</v>
      </c>
      <c r="H4322" s="9"/>
    </row>
    <row r="4323" ht="14.25" customHeight="1">
      <c r="A4323" s="9"/>
      <c r="B4323" s="9"/>
      <c r="C4323" s="200" t="s">
        <v>678</v>
      </c>
      <c r="D4323" s="208" t="s">
        <v>3176</v>
      </c>
      <c r="E4323" s="200" t="s">
        <v>3151</v>
      </c>
      <c r="F4323" s="209" t="s">
        <v>98</v>
      </c>
      <c r="H4323" s="9"/>
    </row>
    <row r="4324" ht="14.25" customHeight="1">
      <c r="A4324" s="9"/>
      <c r="B4324" s="9"/>
      <c r="C4324" s="200" t="s">
        <v>678</v>
      </c>
      <c r="D4324" s="208" t="s">
        <v>3176</v>
      </c>
      <c r="E4324" s="200" t="s">
        <v>3151</v>
      </c>
      <c r="F4324" s="209" t="s">
        <v>341</v>
      </c>
      <c r="H4324" s="9"/>
    </row>
    <row r="4325" ht="14.25" customHeight="1">
      <c r="A4325" s="9"/>
      <c r="B4325" s="9"/>
      <c r="C4325" s="200" t="s">
        <v>678</v>
      </c>
      <c r="D4325" s="208" t="s">
        <v>3176</v>
      </c>
      <c r="E4325" s="200" t="s">
        <v>3151</v>
      </c>
      <c r="F4325" s="209" t="s">
        <v>367</v>
      </c>
      <c r="H4325" s="9"/>
    </row>
    <row r="4326" ht="14.25" customHeight="1">
      <c r="A4326" s="9"/>
      <c r="B4326" s="9"/>
      <c r="C4326" s="200" t="s">
        <v>678</v>
      </c>
      <c r="D4326" s="208" t="s">
        <v>3176</v>
      </c>
      <c r="E4326" s="9" t="s">
        <v>3151</v>
      </c>
      <c r="F4326" s="209" t="s">
        <v>529</v>
      </c>
      <c r="H4326" s="9"/>
    </row>
    <row r="4327" ht="14.25" customHeight="1">
      <c r="A4327" s="9"/>
      <c r="B4327" s="9"/>
      <c r="C4327" s="200" t="s">
        <v>678</v>
      </c>
      <c r="D4327" s="208" t="s">
        <v>3176</v>
      </c>
      <c r="E4327" s="200" t="s">
        <v>3151</v>
      </c>
      <c r="F4327" s="209" t="s">
        <v>282</v>
      </c>
      <c r="H4327" s="9"/>
    </row>
    <row r="4328" ht="14.25" customHeight="1">
      <c r="A4328" s="9"/>
      <c r="B4328" s="9"/>
      <c r="C4328" s="200" t="s">
        <v>678</v>
      </c>
      <c r="D4328" s="208" t="s">
        <v>3176</v>
      </c>
      <c r="E4328" s="200" t="s">
        <v>3151</v>
      </c>
      <c r="F4328" s="209" t="s">
        <v>321</v>
      </c>
      <c r="H4328" s="9"/>
    </row>
    <row r="4329" ht="14.25" customHeight="1">
      <c r="A4329" s="9"/>
      <c r="B4329" s="9"/>
      <c r="C4329" s="200" t="s">
        <v>678</v>
      </c>
      <c r="D4329" s="208" t="s">
        <v>3176</v>
      </c>
      <c r="E4329" s="200" t="s">
        <v>3151</v>
      </c>
      <c r="F4329" s="209" t="s">
        <v>272</v>
      </c>
      <c r="H4329" s="9"/>
    </row>
    <row r="4330" ht="14.25" customHeight="1">
      <c r="A4330" s="9"/>
      <c r="B4330" s="9"/>
      <c r="C4330" s="200" t="s">
        <v>678</v>
      </c>
      <c r="D4330" s="208" t="s">
        <v>3176</v>
      </c>
      <c r="E4330" s="9" t="s">
        <v>3151</v>
      </c>
      <c r="F4330" s="209" t="s">
        <v>517</v>
      </c>
      <c r="H4330" s="9"/>
    </row>
    <row r="4331" ht="14.25" customHeight="1">
      <c r="A4331" s="9"/>
      <c r="B4331" s="9"/>
      <c r="C4331" s="200" t="s">
        <v>678</v>
      </c>
      <c r="D4331" s="208" t="s">
        <v>3176</v>
      </c>
      <c r="E4331" s="200" t="s">
        <v>3151</v>
      </c>
      <c r="F4331" s="209" t="s">
        <v>2593</v>
      </c>
      <c r="H4331" s="9"/>
    </row>
    <row r="4332" ht="14.25" customHeight="1">
      <c r="A4332" s="9"/>
      <c r="B4332" s="9"/>
      <c r="C4332" s="200" t="s">
        <v>678</v>
      </c>
      <c r="D4332" s="208" t="s">
        <v>3176</v>
      </c>
      <c r="E4332" s="9" t="s">
        <v>3151</v>
      </c>
      <c r="F4332" s="209" t="s">
        <v>507</v>
      </c>
      <c r="H4332" s="9"/>
    </row>
    <row r="4333" ht="14.25" customHeight="1">
      <c r="A4333" s="9"/>
      <c r="B4333" s="9"/>
      <c r="C4333" s="200" t="s">
        <v>678</v>
      </c>
      <c r="D4333" s="208" t="s">
        <v>3176</v>
      </c>
      <c r="E4333" s="200" t="s">
        <v>3151</v>
      </c>
      <c r="F4333" s="209" t="s">
        <v>336</v>
      </c>
      <c r="H4333" s="9"/>
    </row>
    <row r="4334" ht="14.25" customHeight="1">
      <c r="A4334" s="9"/>
      <c r="B4334" s="9"/>
      <c r="C4334" s="200" t="s">
        <v>678</v>
      </c>
      <c r="D4334" s="208" t="s">
        <v>3176</v>
      </c>
      <c r="E4334" s="200" t="s">
        <v>3151</v>
      </c>
      <c r="F4334" s="209" t="s">
        <v>235</v>
      </c>
      <c r="H4334" s="9"/>
    </row>
    <row r="4335" ht="14.25" customHeight="1">
      <c r="A4335" s="9"/>
      <c r="B4335" s="9"/>
      <c r="C4335" s="200" t="s">
        <v>678</v>
      </c>
      <c r="D4335" s="208" t="s">
        <v>3176</v>
      </c>
      <c r="E4335" s="200" t="s">
        <v>3151</v>
      </c>
      <c r="F4335" s="209" t="s">
        <v>327</v>
      </c>
      <c r="H4335" s="9"/>
    </row>
    <row r="4336" ht="14.25" customHeight="1">
      <c r="A4336" s="9"/>
      <c r="B4336" s="9"/>
      <c r="C4336" s="200" t="s">
        <v>678</v>
      </c>
      <c r="D4336" s="208" t="s">
        <v>3176</v>
      </c>
      <c r="E4336" s="200" t="s">
        <v>3151</v>
      </c>
      <c r="F4336" s="209" t="s">
        <v>264</v>
      </c>
      <c r="H4336" s="9"/>
    </row>
    <row r="4337" ht="14.25" customHeight="1">
      <c r="A4337" s="9"/>
      <c r="B4337" s="9"/>
      <c r="C4337" s="200" t="s">
        <v>680</v>
      </c>
      <c r="D4337" s="208" t="s">
        <v>3177</v>
      </c>
      <c r="E4337" s="9" t="s">
        <v>3151</v>
      </c>
      <c r="F4337" s="209" t="s">
        <v>474</v>
      </c>
      <c r="H4337" s="9"/>
    </row>
    <row r="4338" ht="14.25" customHeight="1">
      <c r="A4338" s="9"/>
      <c r="B4338" s="9"/>
      <c r="C4338" s="200" t="s">
        <v>680</v>
      </c>
      <c r="D4338" s="208" t="s">
        <v>3177</v>
      </c>
      <c r="E4338" s="9" t="s">
        <v>3151</v>
      </c>
      <c r="F4338" s="209" t="s">
        <v>284</v>
      </c>
      <c r="H4338" s="9"/>
    </row>
    <row r="4339" ht="14.25" customHeight="1">
      <c r="A4339" s="9"/>
      <c r="B4339" s="9"/>
      <c r="C4339" s="200" t="s">
        <v>680</v>
      </c>
      <c r="D4339" s="208" t="s">
        <v>3177</v>
      </c>
      <c r="E4339" s="9" t="s">
        <v>3151</v>
      </c>
      <c r="F4339" s="209" t="s">
        <v>493</v>
      </c>
      <c r="H4339" s="9"/>
    </row>
    <row r="4340" ht="14.25" customHeight="1">
      <c r="A4340" s="9"/>
      <c r="B4340" s="9"/>
      <c r="C4340" s="200" t="s">
        <v>680</v>
      </c>
      <c r="D4340" s="208" t="s">
        <v>3177</v>
      </c>
      <c r="E4340" s="9" t="s">
        <v>3151</v>
      </c>
      <c r="F4340" s="209" t="s">
        <v>450</v>
      </c>
      <c r="H4340" s="9"/>
    </row>
    <row r="4341" ht="14.25" customHeight="1">
      <c r="A4341" s="9"/>
      <c r="B4341" s="9"/>
      <c r="C4341" s="200" t="s">
        <v>680</v>
      </c>
      <c r="D4341" s="208" t="s">
        <v>3177</v>
      </c>
      <c r="E4341" s="9" t="s">
        <v>3151</v>
      </c>
      <c r="F4341" s="209" t="s">
        <v>395</v>
      </c>
      <c r="H4341" s="9"/>
    </row>
    <row r="4342" ht="14.25" customHeight="1">
      <c r="A4342" s="9"/>
      <c r="B4342" s="9"/>
      <c r="C4342" s="200" t="s">
        <v>680</v>
      </c>
      <c r="D4342" s="208" t="s">
        <v>3177</v>
      </c>
      <c r="E4342" s="9" t="s">
        <v>3151</v>
      </c>
      <c r="F4342" s="209" t="s">
        <v>276</v>
      </c>
      <c r="H4342" s="9"/>
    </row>
    <row r="4343" ht="14.25" customHeight="1">
      <c r="A4343" s="9"/>
      <c r="B4343" s="9"/>
      <c r="C4343" s="200" t="s">
        <v>680</v>
      </c>
      <c r="D4343" s="208" t="s">
        <v>3177</v>
      </c>
      <c r="E4343" s="9" t="s">
        <v>3151</v>
      </c>
      <c r="F4343" s="209" t="s">
        <v>431</v>
      </c>
      <c r="H4343" s="9"/>
    </row>
    <row r="4344" ht="14.25" customHeight="1">
      <c r="A4344" s="9"/>
      <c r="B4344" s="9"/>
      <c r="C4344" s="200" t="s">
        <v>680</v>
      </c>
      <c r="D4344" s="208" t="s">
        <v>3177</v>
      </c>
      <c r="E4344" s="9" t="s">
        <v>3151</v>
      </c>
      <c r="F4344" s="209" t="s">
        <v>1272</v>
      </c>
      <c r="H4344" s="9"/>
    </row>
    <row r="4345" ht="14.25" customHeight="1">
      <c r="A4345" s="9"/>
      <c r="B4345" s="9"/>
      <c r="C4345" s="200" t="s">
        <v>680</v>
      </c>
      <c r="D4345" s="208" t="s">
        <v>3177</v>
      </c>
      <c r="E4345" s="9" t="s">
        <v>3151</v>
      </c>
      <c r="F4345" s="209" t="s">
        <v>420</v>
      </c>
      <c r="H4345" s="9"/>
    </row>
    <row r="4346" ht="14.25" customHeight="1">
      <c r="A4346" s="9"/>
      <c r="B4346" s="9"/>
      <c r="C4346" s="200" t="s">
        <v>680</v>
      </c>
      <c r="D4346" s="208" t="s">
        <v>3177</v>
      </c>
      <c r="E4346" s="9" t="s">
        <v>3151</v>
      </c>
      <c r="F4346" s="209" t="s">
        <v>482</v>
      </c>
      <c r="H4346" s="9"/>
    </row>
    <row r="4347" ht="14.25" customHeight="1">
      <c r="A4347" s="9"/>
      <c r="B4347" s="9"/>
      <c r="C4347" s="200" t="s">
        <v>680</v>
      </c>
      <c r="D4347" s="208" t="s">
        <v>3177</v>
      </c>
      <c r="E4347" s="9" t="s">
        <v>3151</v>
      </c>
      <c r="F4347" s="209" t="s">
        <v>136</v>
      </c>
      <c r="H4347" s="9"/>
    </row>
    <row r="4348" ht="14.25" customHeight="1">
      <c r="A4348" s="9"/>
      <c r="B4348" s="9"/>
      <c r="C4348" s="200" t="s">
        <v>680</v>
      </c>
      <c r="D4348" s="208" t="s">
        <v>3177</v>
      </c>
      <c r="E4348" s="9" t="s">
        <v>3151</v>
      </c>
      <c r="F4348" s="209" t="s">
        <v>408</v>
      </c>
      <c r="H4348" s="9"/>
    </row>
    <row r="4349" ht="14.25" customHeight="1">
      <c r="A4349" s="9"/>
      <c r="B4349" s="9"/>
      <c r="C4349" s="200" t="s">
        <v>680</v>
      </c>
      <c r="D4349" s="208" t="s">
        <v>3177</v>
      </c>
      <c r="E4349" s="9" t="s">
        <v>3151</v>
      </c>
      <c r="F4349" s="209" t="s">
        <v>2589</v>
      </c>
      <c r="H4349" s="9"/>
    </row>
    <row r="4350" ht="14.25" customHeight="1">
      <c r="A4350" s="9"/>
      <c r="B4350" s="9"/>
      <c r="C4350" s="200" t="s">
        <v>680</v>
      </c>
      <c r="D4350" s="208" t="s">
        <v>3177</v>
      </c>
      <c r="E4350" s="9" t="s">
        <v>3151</v>
      </c>
      <c r="F4350" s="209" t="s">
        <v>197</v>
      </c>
      <c r="H4350" s="9"/>
    </row>
    <row r="4351" ht="14.25" customHeight="1">
      <c r="A4351" s="9"/>
      <c r="B4351" s="9"/>
      <c r="C4351" s="200" t="s">
        <v>680</v>
      </c>
      <c r="D4351" s="208" t="s">
        <v>3177</v>
      </c>
      <c r="E4351" s="9" t="s">
        <v>3151</v>
      </c>
      <c r="F4351" s="209" t="s">
        <v>172</v>
      </c>
      <c r="H4351" s="9"/>
    </row>
    <row r="4352" ht="14.25" customHeight="1">
      <c r="A4352" s="9"/>
      <c r="B4352" s="9"/>
      <c r="C4352" s="200" t="s">
        <v>680</v>
      </c>
      <c r="D4352" s="208" t="s">
        <v>3177</v>
      </c>
      <c r="E4352" s="9" t="s">
        <v>3151</v>
      </c>
      <c r="F4352" s="209" t="s">
        <v>98</v>
      </c>
      <c r="H4352" s="9"/>
    </row>
    <row r="4353" ht="14.25" customHeight="1">
      <c r="A4353" s="9"/>
      <c r="B4353" s="9"/>
      <c r="C4353" s="200" t="s">
        <v>680</v>
      </c>
      <c r="D4353" s="208" t="s">
        <v>3177</v>
      </c>
      <c r="E4353" s="9" t="s">
        <v>3151</v>
      </c>
      <c r="F4353" s="209" t="s">
        <v>341</v>
      </c>
      <c r="H4353" s="9"/>
    </row>
    <row r="4354" ht="14.25" customHeight="1">
      <c r="A4354" s="9"/>
      <c r="B4354" s="9"/>
      <c r="C4354" s="200" t="s">
        <v>680</v>
      </c>
      <c r="D4354" s="208" t="s">
        <v>3177</v>
      </c>
      <c r="E4354" s="9" t="s">
        <v>3151</v>
      </c>
      <c r="F4354" s="209" t="s">
        <v>367</v>
      </c>
      <c r="H4354" s="9"/>
    </row>
    <row r="4355" ht="14.25" customHeight="1">
      <c r="A4355" s="9"/>
      <c r="B4355" s="9"/>
      <c r="C4355" s="200" t="s">
        <v>680</v>
      </c>
      <c r="D4355" s="208" t="s">
        <v>3177</v>
      </c>
      <c r="E4355" s="9" t="s">
        <v>3151</v>
      </c>
      <c r="F4355" s="209" t="s">
        <v>529</v>
      </c>
      <c r="H4355" s="9"/>
    </row>
    <row r="4356" ht="14.25" customHeight="1">
      <c r="A4356" s="9"/>
      <c r="B4356" s="9"/>
      <c r="C4356" s="200" t="s">
        <v>680</v>
      </c>
      <c r="D4356" s="208" t="s">
        <v>3177</v>
      </c>
      <c r="E4356" s="9" t="s">
        <v>3151</v>
      </c>
      <c r="F4356" s="209" t="s">
        <v>282</v>
      </c>
      <c r="H4356" s="9"/>
    </row>
    <row r="4357" ht="14.25" customHeight="1">
      <c r="A4357" s="9"/>
      <c r="B4357" s="9"/>
      <c r="C4357" s="200" t="s">
        <v>680</v>
      </c>
      <c r="D4357" s="208" t="s">
        <v>3177</v>
      </c>
      <c r="E4357" s="9" t="s">
        <v>3151</v>
      </c>
      <c r="F4357" s="209" t="s">
        <v>321</v>
      </c>
      <c r="H4357" s="9"/>
    </row>
    <row r="4358" ht="14.25" customHeight="1">
      <c r="A4358" s="9"/>
      <c r="B4358" s="9"/>
      <c r="C4358" s="200" t="s">
        <v>680</v>
      </c>
      <c r="D4358" s="208" t="s">
        <v>3177</v>
      </c>
      <c r="E4358" s="9" t="s">
        <v>3151</v>
      </c>
      <c r="F4358" s="209" t="s">
        <v>272</v>
      </c>
      <c r="H4358" s="9"/>
    </row>
    <row r="4359" ht="14.25" customHeight="1">
      <c r="A4359" s="9"/>
      <c r="B4359" s="9"/>
      <c r="C4359" s="200" t="s">
        <v>680</v>
      </c>
      <c r="D4359" s="208" t="s">
        <v>3177</v>
      </c>
      <c r="E4359" s="9" t="s">
        <v>3151</v>
      </c>
      <c r="F4359" s="209" t="s">
        <v>517</v>
      </c>
      <c r="H4359" s="9"/>
    </row>
    <row r="4360" ht="14.25" customHeight="1">
      <c r="A4360" s="9"/>
      <c r="B4360" s="9"/>
      <c r="C4360" s="200" t="s">
        <v>680</v>
      </c>
      <c r="D4360" s="208" t="s">
        <v>3177</v>
      </c>
      <c r="E4360" s="9" t="s">
        <v>3151</v>
      </c>
      <c r="F4360" s="209" t="s">
        <v>2593</v>
      </c>
      <c r="H4360" s="9"/>
    </row>
    <row r="4361" ht="14.25" customHeight="1">
      <c r="A4361" s="9"/>
      <c r="B4361" s="9"/>
      <c r="C4361" s="200" t="s">
        <v>680</v>
      </c>
      <c r="D4361" s="208" t="s">
        <v>3177</v>
      </c>
      <c r="E4361" s="9" t="s">
        <v>3151</v>
      </c>
      <c r="F4361" s="209" t="s">
        <v>507</v>
      </c>
      <c r="H4361" s="9"/>
    </row>
    <row r="4362" ht="14.25" customHeight="1">
      <c r="A4362" s="9"/>
      <c r="B4362" s="9"/>
      <c r="C4362" s="200" t="s">
        <v>680</v>
      </c>
      <c r="D4362" s="208" t="s">
        <v>3177</v>
      </c>
      <c r="E4362" s="9" t="s">
        <v>3151</v>
      </c>
      <c r="F4362" s="209" t="s">
        <v>336</v>
      </c>
      <c r="H4362" s="9"/>
    </row>
    <row r="4363" ht="14.25" customHeight="1">
      <c r="A4363" s="9"/>
      <c r="B4363" s="9"/>
      <c r="C4363" s="200" t="s">
        <v>680</v>
      </c>
      <c r="D4363" s="208" t="s">
        <v>3177</v>
      </c>
      <c r="E4363" s="9" t="s">
        <v>3151</v>
      </c>
      <c r="F4363" s="209" t="s">
        <v>235</v>
      </c>
      <c r="H4363" s="9"/>
    </row>
    <row r="4364" ht="14.25" customHeight="1">
      <c r="A4364" s="9"/>
      <c r="B4364" s="9"/>
      <c r="C4364" s="200" t="s">
        <v>680</v>
      </c>
      <c r="D4364" s="208" t="s">
        <v>3177</v>
      </c>
      <c r="E4364" s="9" t="s">
        <v>3151</v>
      </c>
      <c r="F4364" s="209" t="s">
        <v>327</v>
      </c>
      <c r="H4364" s="9"/>
    </row>
    <row r="4365" ht="14.25" customHeight="1">
      <c r="A4365" s="9"/>
      <c r="B4365" s="9"/>
      <c r="C4365" s="200" t="s">
        <v>680</v>
      </c>
      <c r="D4365" s="208" t="s">
        <v>3177</v>
      </c>
      <c r="E4365" s="9" t="s">
        <v>3151</v>
      </c>
      <c r="F4365" s="209" t="s">
        <v>264</v>
      </c>
      <c r="H4365" s="9"/>
    </row>
    <row r="4366" ht="14.25" customHeight="1">
      <c r="A4366" s="9"/>
      <c r="B4366" s="9"/>
      <c r="C4366" s="9" t="s">
        <v>3178</v>
      </c>
      <c r="D4366" s="9" t="s">
        <v>3178</v>
      </c>
      <c r="E4366" s="9" t="s">
        <v>3151</v>
      </c>
      <c r="F4366" s="9" t="s">
        <v>474</v>
      </c>
      <c r="H4366" s="9"/>
    </row>
    <row r="4367" ht="14.25" customHeight="1">
      <c r="A4367" s="9"/>
      <c r="B4367" s="9"/>
      <c r="C4367" s="9" t="s">
        <v>3178</v>
      </c>
      <c r="D4367" s="9" t="s">
        <v>3178</v>
      </c>
      <c r="E4367" s="9" t="s">
        <v>3151</v>
      </c>
      <c r="F4367" s="9" t="s">
        <v>284</v>
      </c>
      <c r="H4367" s="9"/>
    </row>
    <row r="4368" ht="14.25" customHeight="1">
      <c r="A4368" s="9"/>
      <c r="B4368" s="9"/>
      <c r="C4368" s="9" t="s">
        <v>3178</v>
      </c>
      <c r="D4368" s="9" t="s">
        <v>3178</v>
      </c>
      <c r="E4368" s="9" t="s">
        <v>3151</v>
      </c>
      <c r="F4368" s="9" t="s">
        <v>493</v>
      </c>
      <c r="H4368" s="9"/>
    </row>
    <row r="4369" ht="14.25" customHeight="1">
      <c r="A4369" s="9"/>
      <c r="B4369" s="9"/>
      <c r="C4369" s="9" t="s">
        <v>3178</v>
      </c>
      <c r="D4369" s="9" t="s">
        <v>3178</v>
      </c>
      <c r="E4369" s="9" t="s">
        <v>3151</v>
      </c>
      <c r="F4369" s="9" t="s">
        <v>450</v>
      </c>
      <c r="H4369" s="9"/>
    </row>
    <row r="4370" ht="14.25" customHeight="1">
      <c r="A4370" s="9"/>
      <c r="B4370" s="9"/>
      <c r="C4370" s="9" t="s">
        <v>3178</v>
      </c>
      <c r="D4370" s="9" t="s">
        <v>3178</v>
      </c>
      <c r="E4370" s="9" t="s">
        <v>3151</v>
      </c>
      <c r="F4370" s="9" t="s">
        <v>2296</v>
      </c>
      <c r="H4370" s="9"/>
    </row>
    <row r="4371" ht="14.25" customHeight="1">
      <c r="A4371" s="9"/>
      <c r="B4371" s="9"/>
      <c r="C4371" s="9" t="s">
        <v>3178</v>
      </c>
      <c r="D4371" s="9" t="s">
        <v>3178</v>
      </c>
      <c r="E4371" s="9" t="s">
        <v>3151</v>
      </c>
      <c r="F4371" s="9" t="s">
        <v>276</v>
      </c>
      <c r="H4371" s="9"/>
    </row>
    <row r="4372" ht="14.25" customHeight="1">
      <c r="A4372" s="9"/>
      <c r="B4372" s="9"/>
      <c r="C4372" s="9" t="s">
        <v>3178</v>
      </c>
      <c r="D4372" s="9" t="s">
        <v>3178</v>
      </c>
      <c r="E4372" s="9" t="s">
        <v>3151</v>
      </c>
      <c r="F4372" s="9" t="s">
        <v>431</v>
      </c>
      <c r="H4372" s="9"/>
    </row>
    <row r="4373" ht="14.25" customHeight="1">
      <c r="A4373" s="9"/>
      <c r="B4373" s="9"/>
      <c r="C4373" s="9" t="s">
        <v>3178</v>
      </c>
      <c r="D4373" s="9" t="s">
        <v>3178</v>
      </c>
      <c r="E4373" s="9" t="s">
        <v>3151</v>
      </c>
      <c r="F4373" s="9" t="s">
        <v>1272</v>
      </c>
      <c r="H4373" s="9"/>
    </row>
    <row r="4374" ht="14.25" customHeight="1">
      <c r="A4374" s="9"/>
      <c r="B4374" s="9"/>
      <c r="C4374" s="9" t="s">
        <v>3178</v>
      </c>
      <c r="D4374" s="9" t="s">
        <v>3178</v>
      </c>
      <c r="E4374" s="9" t="s">
        <v>3151</v>
      </c>
      <c r="F4374" s="9" t="s">
        <v>420</v>
      </c>
      <c r="H4374" s="9"/>
    </row>
    <row r="4375" ht="14.25" customHeight="1">
      <c r="A4375" s="9"/>
      <c r="B4375" s="9"/>
      <c r="C4375" s="9" t="s">
        <v>3178</v>
      </c>
      <c r="D4375" s="9" t="s">
        <v>3178</v>
      </c>
      <c r="E4375" s="9" t="s">
        <v>3151</v>
      </c>
      <c r="F4375" s="9" t="s">
        <v>482</v>
      </c>
      <c r="H4375" s="9"/>
    </row>
    <row r="4376" ht="14.25" customHeight="1">
      <c r="A4376" s="9"/>
      <c r="B4376" s="9"/>
      <c r="C4376" s="9" t="s">
        <v>3178</v>
      </c>
      <c r="D4376" s="9" t="s">
        <v>3178</v>
      </c>
      <c r="E4376" s="9" t="s">
        <v>3151</v>
      </c>
      <c r="F4376" s="9" t="s">
        <v>136</v>
      </c>
      <c r="H4376" s="9"/>
    </row>
    <row r="4377" ht="14.25" customHeight="1">
      <c r="A4377" s="9"/>
      <c r="B4377" s="9"/>
      <c r="C4377" s="9" t="s">
        <v>3178</v>
      </c>
      <c r="D4377" s="9" t="s">
        <v>3178</v>
      </c>
      <c r="E4377" s="9" t="s">
        <v>3151</v>
      </c>
      <c r="F4377" s="9" t="s">
        <v>408</v>
      </c>
      <c r="H4377" s="9"/>
    </row>
    <row r="4378" ht="14.25" customHeight="1">
      <c r="A4378" s="9"/>
      <c r="B4378" s="9"/>
      <c r="C4378" s="9" t="s">
        <v>3178</v>
      </c>
      <c r="D4378" s="9" t="s">
        <v>3178</v>
      </c>
      <c r="E4378" s="9" t="s">
        <v>3151</v>
      </c>
      <c r="F4378" s="9" t="s">
        <v>2301</v>
      </c>
      <c r="H4378" s="9"/>
    </row>
    <row r="4379" ht="14.25" customHeight="1">
      <c r="A4379" s="9"/>
      <c r="B4379" s="9"/>
      <c r="C4379" s="9" t="s">
        <v>3178</v>
      </c>
      <c r="D4379" s="9" t="s">
        <v>3178</v>
      </c>
      <c r="E4379" s="9" t="s">
        <v>3151</v>
      </c>
      <c r="F4379" s="9" t="s">
        <v>197</v>
      </c>
      <c r="H4379" s="9"/>
    </row>
    <row r="4380" ht="14.25" customHeight="1">
      <c r="A4380" s="9"/>
      <c r="B4380" s="9"/>
      <c r="C4380" s="9" t="s">
        <v>3178</v>
      </c>
      <c r="D4380" s="9" t="s">
        <v>3178</v>
      </c>
      <c r="E4380" s="9" t="s">
        <v>3151</v>
      </c>
      <c r="F4380" s="9" t="s">
        <v>172</v>
      </c>
      <c r="H4380" s="9"/>
    </row>
    <row r="4381" ht="14.25" customHeight="1">
      <c r="A4381" s="9"/>
      <c r="B4381" s="9"/>
      <c r="C4381" s="9" t="s">
        <v>3178</v>
      </c>
      <c r="D4381" s="9" t="s">
        <v>3178</v>
      </c>
      <c r="E4381" s="9" t="s">
        <v>3151</v>
      </c>
      <c r="F4381" s="9" t="s">
        <v>98</v>
      </c>
      <c r="H4381" s="9"/>
    </row>
    <row r="4382" ht="14.25" customHeight="1">
      <c r="A4382" s="9"/>
      <c r="B4382" s="9"/>
      <c r="C4382" s="9" t="s">
        <v>3178</v>
      </c>
      <c r="D4382" s="9" t="s">
        <v>3178</v>
      </c>
      <c r="E4382" s="9" t="s">
        <v>3151</v>
      </c>
      <c r="F4382" s="9" t="s">
        <v>341</v>
      </c>
      <c r="H4382" s="9"/>
    </row>
    <row r="4383" ht="14.25" customHeight="1">
      <c r="A4383" s="9"/>
      <c r="B4383" s="9"/>
      <c r="C4383" s="9" t="s">
        <v>3178</v>
      </c>
      <c r="D4383" s="9" t="s">
        <v>3178</v>
      </c>
      <c r="E4383" s="9" t="s">
        <v>3151</v>
      </c>
      <c r="F4383" s="9" t="s">
        <v>367</v>
      </c>
      <c r="H4383" s="9"/>
    </row>
    <row r="4384" ht="14.25" customHeight="1">
      <c r="A4384" s="9"/>
      <c r="B4384" s="9"/>
      <c r="C4384" s="9" t="s">
        <v>3178</v>
      </c>
      <c r="D4384" s="9" t="s">
        <v>3178</v>
      </c>
      <c r="E4384" s="9" t="s">
        <v>3151</v>
      </c>
      <c r="F4384" s="9" t="s">
        <v>529</v>
      </c>
      <c r="H4384" s="9"/>
    </row>
    <row r="4385" ht="14.25" customHeight="1">
      <c r="A4385" s="9"/>
      <c r="B4385" s="9"/>
      <c r="C4385" s="9" t="s">
        <v>3178</v>
      </c>
      <c r="D4385" s="9" t="s">
        <v>3178</v>
      </c>
      <c r="E4385" s="9" t="s">
        <v>3151</v>
      </c>
      <c r="F4385" s="9" t="s">
        <v>282</v>
      </c>
      <c r="H4385" s="9"/>
    </row>
    <row r="4386" ht="14.25" customHeight="1">
      <c r="A4386" s="9"/>
      <c r="B4386" s="9"/>
      <c r="C4386" s="9" t="s">
        <v>3178</v>
      </c>
      <c r="D4386" s="9" t="s">
        <v>3178</v>
      </c>
      <c r="E4386" s="9" t="s">
        <v>3151</v>
      </c>
      <c r="F4386" s="9" t="s">
        <v>321</v>
      </c>
      <c r="H4386" s="9"/>
    </row>
    <row r="4387" ht="14.25" customHeight="1">
      <c r="A4387" s="9"/>
      <c r="B4387" s="9"/>
      <c r="C4387" s="9" t="s">
        <v>3178</v>
      </c>
      <c r="D4387" s="9" t="s">
        <v>3178</v>
      </c>
      <c r="E4387" s="9" t="s">
        <v>3151</v>
      </c>
      <c r="F4387" s="9" t="s">
        <v>272</v>
      </c>
      <c r="H4387" s="9"/>
    </row>
    <row r="4388" ht="14.25" customHeight="1">
      <c r="A4388" s="9"/>
      <c r="B4388" s="9"/>
      <c r="C4388" s="9" t="s">
        <v>3178</v>
      </c>
      <c r="D4388" s="9" t="s">
        <v>3178</v>
      </c>
      <c r="E4388" s="9" t="s">
        <v>3151</v>
      </c>
      <c r="F4388" s="9" t="s">
        <v>517</v>
      </c>
      <c r="H4388" s="9"/>
    </row>
    <row r="4389" ht="14.25" customHeight="1">
      <c r="A4389" s="9"/>
      <c r="B4389" s="9"/>
      <c r="C4389" s="9" t="s">
        <v>3178</v>
      </c>
      <c r="D4389" s="9" t="s">
        <v>3178</v>
      </c>
      <c r="E4389" s="9" t="s">
        <v>3151</v>
      </c>
      <c r="F4389" s="9" t="s">
        <v>2309</v>
      </c>
      <c r="H4389" s="9"/>
    </row>
    <row r="4390" ht="14.25" customHeight="1">
      <c r="A4390" s="9"/>
      <c r="B4390" s="9"/>
      <c r="C4390" s="9" t="s">
        <v>3178</v>
      </c>
      <c r="D4390" s="9" t="s">
        <v>3178</v>
      </c>
      <c r="E4390" s="9" t="s">
        <v>3151</v>
      </c>
      <c r="F4390" s="9" t="s">
        <v>507</v>
      </c>
      <c r="H4390" s="9"/>
    </row>
    <row r="4391" ht="14.25" customHeight="1">
      <c r="A4391" s="9"/>
      <c r="B4391" s="9"/>
      <c r="C4391" s="9" t="s">
        <v>3178</v>
      </c>
      <c r="D4391" s="9" t="s">
        <v>3178</v>
      </c>
      <c r="E4391" s="9" t="s">
        <v>3151</v>
      </c>
      <c r="F4391" s="9" t="s">
        <v>336</v>
      </c>
      <c r="H4391" s="9"/>
    </row>
    <row r="4392" ht="14.25" customHeight="1">
      <c r="A4392" s="9"/>
      <c r="B4392" s="9"/>
      <c r="C4392" s="9" t="s">
        <v>3178</v>
      </c>
      <c r="D4392" s="9" t="s">
        <v>3178</v>
      </c>
      <c r="E4392" s="9" t="s">
        <v>3151</v>
      </c>
      <c r="F4392" s="9" t="s">
        <v>235</v>
      </c>
      <c r="H4392" s="9"/>
    </row>
    <row r="4393" ht="14.25" customHeight="1">
      <c r="A4393" s="9"/>
      <c r="B4393" s="9"/>
      <c r="C4393" s="9" t="s">
        <v>3178</v>
      </c>
      <c r="D4393" s="9" t="s">
        <v>3178</v>
      </c>
      <c r="E4393" s="9" t="s">
        <v>3151</v>
      </c>
      <c r="F4393" s="9" t="s">
        <v>327</v>
      </c>
      <c r="H4393" s="9"/>
    </row>
    <row r="4394" ht="14.25" customHeight="1">
      <c r="A4394" s="9"/>
      <c r="B4394" s="9"/>
      <c r="C4394" s="9" t="s">
        <v>3178</v>
      </c>
      <c r="D4394" s="9" t="s">
        <v>3178</v>
      </c>
      <c r="E4394" s="9" t="s">
        <v>3151</v>
      </c>
      <c r="F4394" s="9" t="s">
        <v>264</v>
      </c>
      <c r="H4394" s="9"/>
    </row>
    <row r="4395" ht="14.25" customHeight="1">
      <c r="A4395" s="9"/>
      <c r="B4395" s="9"/>
      <c r="C4395" s="9" t="s">
        <v>691</v>
      </c>
      <c r="D4395" s="9" t="s">
        <v>3179</v>
      </c>
      <c r="E4395" s="9" t="s">
        <v>3151</v>
      </c>
      <c r="F4395" s="9" t="s">
        <v>474</v>
      </c>
      <c r="H4395" s="9"/>
    </row>
    <row r="4396" ht="14.25" customHeight="1">
      <c r="A4396" s="9"/>
      <c r="B4396" s="9"/>
      <c r="C4396" s="9" t="s">
        <v>691</v>
      </c>
      <c r="D4396" s="9" t="s">
        <v>3179</v>
      </c>
      <c r="E4396" s="9" t="s">
        <v>3151</v>
      </c>
      <c r="F4396" s="9" t="s">
        <v>284</v>
      </c>
      <c r="H4396" s="9"/>
    </row>
    <row r="4397" ht="14.25" customHeight="1">
      <c r="A4397" s="9"/>
      <c r="B4397" s="9"/>
      <c r="C4397" s="9" t="s">
        <v>691</v>
      </c>
      <c r="D4397" s="9" t="s">
        <v>3179</v>
      </c>
      <c r="E4397" s="9" t="s">
        <v>3151</v>
      </c>
      <c r="F4397" s="9" t="s">
        <v>493</v>
      </c>
      <c r="H4397" s="9"/>
    </row>
    <row r="4398" ht="14.25" customHeight="1">
      <c r="A4398" s="9"/>
      <c r="B4398" s="9"/>
      <c r="C4398" s="9" t="s">
        <v>691</v>
      </c>
      <c r="D4398" s="9" t="s">
        <v>3179</v>
      </c>
      <c r="E4398" s="9" t="s">
        <v>3151</v>
      </c>
      <c r="F4398" s="9" t="s">
        <v>450</v>
      </c>
      <c r="H4398" s="9"/>
    </row>
    <row r="4399" ht="14.25" customHeight="1">
      <c r="A4399" s="9"/>
      <c r="B4399" s="9"/>
      <c r="C4399" s="9" t="s">
        <v>691</v>
      </c>
      <c r="D4399" s="9" t="s">
        <v>3179</v>
      </c>
      <c r="E4399" s="9" t="s">
        <v>3151</v>
      </c>
      <c r="F4399" s="9" t="s">
        <v>2296</v>
      </c>
      <c r="H4399" s="9"/>
    </row>
    <row r="4400" ht="14.25" customHeight="1">
      <c r="A4400" s="9"/>
      <c r="B4400" s="9"/>
      <c r="C4400" s="9" t="s">
        <v>691</v>
      </c>
      <c r="D4400" s="9" t="s">
        <v>3179</v>
      </c>
      <c r="E4400" s="9" t="s">
        <v>3151</v>
      </c>
      <c r="F4400" s="9" t="s">
        <v>276</v>
      </c>
      <c r="H4400" s="9"/>
    </row>
    <row r="4401" ht="14.25" customHeight="1">
      <c r="A4401" s="9"/>
      <c r="B4401" s="9"/>
      <c r="C4401" s="9" t="s">
        <v>691</v>
      </c>
      <c r="D4401" s="9" t="s">
        <v>3179</v>
      </c>
      <c r="E4401" s="9" t="s">
        <v>3151</v>
      </c>
      <c r="F4401" s="9" t="s">
        <v>431</v>
      </c>
      <c r="H4401" s="9"/>
    </row>
    <row r="4402" ht="14.25" customHeight="1">
      <c r="A4402" s="9"/>
      <c r="B4402" s="9"/>
      <c r="C4402" s="9" t="s">
        <v>691</v>
      </c>
      <c r="D4402" s="9" t="s">
        <v>3179</v>
      </c>
      <c r="E4402" s="9" t="s">
        <v>3151</v>
      </c>
      <c r="F4402" s="9" t="s">
        <v>1272</v>
      </c>
      <c r="H4402" s="9"/>
    </row>
    <row r="4403" ht="14.25" customHeight="1">
      <c r="A4403" s="9"/>
      <c r="B4403" s="9"/>
      <c r="C4403" s="9" t="s">
        <v>691</v>
      </c>
      <c r="D4403" s="9" t="s">
        <v>3179</v>
      </c>
      <c r="E4403" s="9" t="s">
        <v>3151</v>
      </c>
      <c r="F4403" s="9" t="s">
        <v>420</v>
      </c>
      <c r="H4403" s="9"/>
    </row>
    <row r="4404" ht="14.25" customHeight="1">
      <c r="A4404" s="9"/>
      <c r="B4404" s="9"/>
      <c r="C4404" s="9" t="s">
        <v>691</v>
      </c>
      <c r="D4404" s="9" t="s">
        <v>3179</v>
      </c>
      <c r="E4404" s="9" t="s">
        <v>3151</v>
      </c>
      <c r="F4404" s="9" t="s">
        <v>482</v>
      </c>
      <c r="H4404" s="9"/>
    </row>
    <row r="4405" ht="14.25" customHeight="1">
      <c r="A4405" s="9"/>
      <c r="B4405" s="9"/>
      <c r="C4405" s="9" t="s">
        <v>691</v>
      </c>
      <c r="D4405" s="9" t="s">
        <v>3179</v>
      </c>
      <c r="E4405" s="9" t="s">
        <v>3151</v>
      </c>
      <c r="F4405" s="9" t="s">
        <v>136</v>
      </c>
      <c r="H4405" s="9"/>
    </row>
    <row r="4406" ht="14.25" customHeight="1">
      <c r="A4406" s="9"/>
      <c r="B4406" s="9"/>
      <c r="C4406" s="9" t="s">
        <v>691</v>
      </c>
      <c r="D4406" s="9" t="s">
        <v>3179</v>
      </c>
      <c r="E4406" s="9" t="s">
        <v>3151</v>
      </c>
      <c r="F4406" s="9" t="s">
        <v>408</v>
      </c>
      <c r="H4406" s="9"/>
    </row>
    <row r="4407" ht="14.25" customHeight="1">
      <c r="A4407" s="9"/>
      <c r="B4407" s="9"/>
      <c r="C4407" s="9" t="s">
        <v>691</v>
      </c>
      <c r="D4407" s="9" t="s">
        <v>3179</v>
      </c>
      <c r="E4407" s="9" t="s">
        <v>3151</v>
      </c>
      <c r="F4407" s="9" t="s">
        <v>2301</v>
      </c>
      <c r="H4407" s="9"/>
    </row>
    <row r="4408" ht="14.25" customHeight="1">
      <c r="A4408" s="9"/>
      <c r="B4408" s="9"/>
      <c r="C4408" s="9" t="s">
        <v>691</v>
      </c>
      <c r="D4408" s="9" t="s">
        <v>3179</v>
      </c>
      <c r="E4408" s="9" t="s">
        <v>3151</v>
      </c>
      <c r="F4408" s="9" t="s">
        <v>197</v>
      </c>
      <c r="H4408" s="9"/>
    </row>
    <row r="4409" ht="14.25" customHeight="1">
      <c r="A4409" s="9"/>
      <c r="B4409" s="9"/>
      <c r="C4409" s="9" t="s">
        <v>691</v>
      </c>
      <c r="D4409" s="9" t="s">
        <v>3179</v>
      </c>
      <c r="E4409" s="9" t="s">
        <v>3151</v>
      </c>
      <c r="F4409" s="9" t="s">
        <v>172</v>
      </c>
      <c r="H4409" s="9"/>
    </row>
    <row r="4410" ht="14.25" customHeight="1">
      <c r="A4410" s="9"/>
      <c r="B4410" s="9"/>
      <c r="C4410" s="9" t="s">
        <v>691</v>
      </c>
      <c r="D4410" s="9" t="s">
        <v>3179</v>
      </c>
      <c r="E4410" s="9" t="s">
        <v>3151</v>
      </c>
      <c r="F4410" s="9" t="s">
        <v>98</v>
      </c>
      <c r="H4410" s="9"/>
    </row>
    <row r="4411" ht="14.25" customHeight="1">
      <c r="A4411" s="9"/>
      <c r="B4411" s="9"/>
      <c r="C4411" s="9" t="s">
        <v>691</v>
      </c>
      <c r="D4411" s="9" t="s">
        <v>3179</v>
      </c>
      <c r="E4411" s="9" t="s">
        <v>3151</v>
      </c>
      <c r="F4411" s="9" t="s">
        <v>341</v>
      </c>
      <c r="H4411" s="9"/>
    </row>
    <row r="4412" ht="14.25" customHeight="1">
      <c r="A4412" s="9"/>
      <c r="B4412" s="9"/>
      <c r="C4412" s="9" t="s">
        <v>691</v>
      </c>
      <c r="D4412" s="9" t="s">
        <v>3179</v>
      </c>
      <c r="E4412" s="9" t="s">
        <v>3151</v>
      </c>
      <c r="F4412" s="9" t="s">
        <v>367</v>
      </c>
      <c r="H4412" s="9"/>
    </row>
    <row r="4413" ht="14.25" customHeight="1">
      <c r="A4413" s="9"/>
      <c r="B4413" s="9"/>
      <c r="C4413" s="9" t="s">
        <v>691</v>
      </c>
      <c r="D4413" s="9" t="s">
        <v>3179</v>
      </c>
      <c r="E4413" s="9" t="s">
        <v>3151</v>
      </c>
      <c r="F4413" s="9" t="s">
        <v>529</v>
      </c>
      <c r="H4413" s="9"/>
    </row>
    <row r="4414" ht="14.25" customHeight="1">
      <c r="A4414" s="9"/>
      <c r="B4414" s="9"/>
      <c r="C4414" s="9" t="s">
        <v>691</v>
      </c>
      <c r="D4414" s="9" t="s">
        <v>3179</v>
      </c>
      <c r="E4414" s="9" t="s">
        <v>3151</v>
      </c>
      <c r="F4414" s="9" t="s">
        <v>282</v>
      </c>
      <c r="H4414" s="9"/>
    </row>
    <row r="4415" ht="14.25" customHeight="1">
      <c r="A4415" s="9"/>
      <c r="B4415" s="9"/>
      <c r="C4415" s="9" t="s">
        <v>691</v>
      </c>
      <c r="D4415" s="9" t="s">
        <v>3179</v>
      </c>
      <c r="E4415" s="9" t="s">
        <v>3151</v>
      </c>
      <c r="F4415" s="9" t="s">
        <v>321</v>
      </c>
      <c r="H4415" s="9"/>
    </row>
    <row r="4416" ht="14.25" customHeight="1">
      <c r="A4416" s="9"/>
      <c r="B4416" s="9"/>
      <c r="C4416" s="9" t="s">
        <v>691</v>
      </c>
      <c r="D4416" s="9" t="s">
        <v>3179</v>
      </c>
      <c r="E4416" s="9" t="s">
        <v>3151</v>
      </c>
      <c r="F4416" s="9" t="s">
        <v>272</v>
      </c>
      <c r="H4416" s="9"/>
    </row>
    <row r="4417" ht="14.25" customHeight="1">
      <c r="A4417" s="9"/>
      <c r="B4417" s="9"/>
      <c r="C4417" s="9" t="s">
        <v>691</v>
      </c>
      <c r="D4417" s="9" t="s">
        <v>3179</v>
      </c>
      <c r="E4417" s="9" t="s">
        <v>3151</v>
      </c>
      <c r="F4417" s="9" t="s">
        <v>517</v>
      </c>
      <c r="H4417" s="9"/>
    </row>
    <row r="4418" ht="14.25" customHeight="1">
      <c r="A4418" s="9"/>
      <c r="B4418" s="9"/>
      <c r="C4418" s="9" t="s">
        <v>691</v>
      </c>
      <c r="D4418" s="9" t="s">
        <v>3179</v>
      </c>
      <c r="E4418" s="9" t="s">
        <v>3151</v>
      </c>
      <c r="F4418" s="9" t="s">
        <v>2309</v>
      </c>
      <c r="H4418" s="9"/>
    </row>
    <row r="4419" ht="14.25" customHeight="1">
      <c r="A4419" s="9"/>
      <c r="B4419" s="9"/>
      <c r="C4419" s="9" t="s">
        <v>691</v>
      </c>
      <c r="D4419" s="9" t="s">
        <v>3179</v>
      </c>
      <c r="E4419" s="9" t="s">
        <v>3151</v>
      </c>
      <c r="F4419" s="9" t="s">
        <v>507</v>
      </c>
      <c r="H4419" s="9"/>
    </row>
    <row r="4420" ht="14.25" customHeight="1">
      <c r="A4420" s="9"/>
      <c r="B4420" s="9"/>
      <c r="C4420" s="9" t="s">
        <v>691</v>
      </c>
      <c r="D4420" s="9" t="s">
        <v>3179</v>
      </c>
      <c r="E4420" s="9" t="s">
        <v>3151</v>
      </c>
      <c r="F4420" s="9" t="s">
        <v>336</v>
      </c>
      <c r="H4420" s="9"/>
    </row>
    <row r="4421" ht="14.25" customHeight="1">
      <c r="A4421" s="9"/>
      <c r="B4421" s="9"/>
      <c r="C4421" s="9" t="s">
        <v>691</v>
      </c>
      <c r="D4421" s="9" t="s">
        <v>3179</v>
      </c>
      <c r="E4421" s="9" t="s">
        <v>3151</v>
      </c>
      <c r="F4421" s="9" t="s">
        <v>235</v>
      </c>
      <c r="H4421" s="9"/>
    </row>
    <row r="4422" ht="14.25" customHeight="1">
      <c r="A4422" s="9"/>
      <c r="B4422" s="9"/>
      <c r="C4422" s="9" t="s">
        <v>691</v>
      </c>
      <c r="D4422" s="9" t="s">
        <v>3179</v>
      </c>
      <c r="E4422" s="9" t="s">
        <v>3151</v>
      </c>
      <c r="F4422" s="9" t="s">
        <v>327</v>
      </c>
      <c r="H4422" s="9"/>
    </row>
    <row r="4423" ht="14.25" customHeight="1">
      <c r="A4423" s="9"/>
      <c r="B4423" s="9"/>
      <c r="C4423" s="9" t="s">
        <v>691</v>
      </c>
      <c r="D4423" s="9" t="s">
        <v>3179</v>
      </c>
      <c r="E4423" s="9" t="s">
        <v>3151</v>
      </c>
      <c r="F4423" s="9" t="s">
        <v>264</v>
      </c>
      <c r="H4423" s="9"/>
    </row>
    <row r="4424" ht="14.25" customHeight="1">
      <c r="A4424" s="9"/>
      <c r="B4424" s="9"/>
      <c r="C4424" s="9" t="s">
        <v>691</v>
      </c>
      <c r="D4424" s="9" t="s">
        <v>3180</v>
      </c>
      <c r="E4424" s="9" t="s">
        <v>3151</v>
      </c>
      <c r="F4424" s="9" t="s">
        <v>474</v>
      </c>
      <c r="H4424" s="9"/>
    </row>
    <row r="4425" ht="14.25" customHeight="1">
      <c r="A4425" s="9"/>
      <c r="B4425" s="9"/>
      <c r="C4425" s="9" t="s">
        <v>691</v>
      </c>
      <c r="D4425" s="9" t="s">
        <v>3180</v>
      </c>
      <c r="E4425" s="9" t="s">
        <v>3151</v>
      </c>
      <c r="F4425" s="9" t="s">
        <v>284</v>
      </c>
      <c r="H4425" s="9"/>
    </row>
    <row r="4426" ht="14.25" customHeight="1">
      <c r="A4426" s="9"/>
      <c r="B4426" s="9"/>
      <c r="C4426" s="9" t="s">
        <v>691</v>
      </c>
      <c r="D4426" s="9" t="s">
        <v>3180</v>
      </c>
      <c r="E4426" s="9" t="s">
        <v>3151</v>
      </c>
      <c r="F4426" s="9" t="s">
        <v>493</v>
      </c>
      <c r="H4426" s="9"/>
    </row>
    <row r="4427" ht="14.25" customHeight="1">
      <c r="A4427" s="9"/>
      <c r="B4427" s="9"/>
      <c r="C4427" s="9" t="s">
        <v>691</v>
      </c>
      <c r="D4427" s="9" t="s">
        <v>3180</v>
      </c>
      <c r="E4427" s="9" t="s">
        <v>3151</v>
      </c>
      <c r="F4427" s="9" t="s">
        <v>450</v>
      </c>
      <c r="H4427" s="9"/>
    </row>
    <row r="4428" ht="14.25" customHeight="1">
      <c r="A4428" s="9"/>
      <c r="B4428" s="9"/>
      <c r="C4428" s="9" t="s">
        <v>691</v>
      </c>
      <c r="D4428" s="9" t="s">
        <v>3180</v>
      </c>
      <c r="E4428" s="9" t="s">
        <v>3151</v>
      </c>
      <c r="F4428" s="9" t="s">
        <v>2296</v>
      </c>
      <c r="H4428" s="9"/>
    </row>
    <row r="4429" ht="14.25" customHeight="1">
      <c r="A4429" s="9"/>
      <c r="B4429" s="9"/>
      <c r="C4429" s="9" t="s">
        <v>691</v>
      </c>
      <c r="D4429" s="9" t="s">
        <v>3180</v>
      </c>
      <c r="E4429" s="9" t="s">
        <v>3151</v>
      </c>
      <c r="F4429" s="9" t="s">
        <v>276</v>
      </c>
      <c r="H4429" s="9"/>
    </row>
    <row r="4430" ht="14.25" customHeight="1">
      <c r="A4430" s="9"/>
      <c r="B4430" s="9"/>
      <c r="C4430" s="9" t="s">
        <v>691</v>
      </c>
      <c r="D4430" s="9" t="s">
        <v>3180</v>
      </c>
      <c r="E4430" s="9" t="s">
        <v>3151</v>
      </c>
      <c r="F4430" s="9" t="s">
        <v>431</v>
      </c>
      <c r="H4430" s="9"/>
    </row>
    <row r="4431" ht="14.25" customHeight="1">
      <c r="A4431" s="9"/>
      <c r="B4431" s="9"/>
      <c r="C4431" s="9" t="s">
        <v>691</v>
      </c>
      <c r="D4431" s="9" t="s">
        <v>3180</v>
      </c>
      <c r="E4431" s="9" t="s">
        <v>3151</v>
      </c>
      <c r="F4431" s="9" t="s">
        <v>1272</v>
      </c>
      <c r="H4431" s="9"/>
    </row>
    <row r="4432" ht="14.25" customHeight="1">
      <c r="A4432" s="9"/>
      <c r="B4432" s="9"/>
      <c r="C4432" s="9" t="s">
        <v>691</v>
      </c>
      <c r="D4432" s="9" t="s">
        <v>3180</v>
      </c>
      <c r="E4432" s="9" t="s">
        <v>3151</v>
      </c>
      <c r="F4432" s="9" t="s">
        <v>420</v>
      </c>
      <c r="H4432" s="9"/>
    </row>
    <row r="4433" ht="14.25" customHeight="1">
      <c r="A4433" s="9"/>
      <c r="B4433" s="9"/>
      <c r="C4433" s="9" t="s">
        <v>691</v>
      </c>
      <c r="D4433" s="9" t="s">
        <v>3180</v>
      </c>
      <c r="E4433" s="9" t="s">
        <v>3151</v>
      </c>
      <c r="F4433" s="9" t="s">
        <v>482</v>
      </c>
      <c r="H4433" s="9"/>
    </row>
    <row r="4434" ht="14.25" customHeight="1">
      <c r="A4434" s="9"/>
      <c r="B4434" s="9"/>
      <c r="C4434" s="9" t="s">
        <v>691</v>
      </c>
      <c r="D4434" s="9" t="s">
        <v>3180</v>
      </c>
      <c r="E4434" s="9" t="s">
        <v>3151</v>
      </c>
      <c r="F4434" s="9" t="s">
        <v>136</v>
      </c>
      <c r="H4434" s="9"/>
    </row>
    <row r="4435" ht="14.25" customHeight="1">
      <c r="A4435" s="9"/>
      <c r="B4435" s="9"/>
      <c r="C4435" s="9" t="s">
        <v>691</v>
      </c>
      <c r="D4435" s="9" t="s">
        <v>3180</v>
      </c>
      <c r="E4435" s="9" t="s">
        <v>3151</v>
      </c>
      <c r="F4435" s="9" t="s">
        <v>408</v>
      </c>
      <c r="H4435" s="9"/>
    </row>
    <row r="4436" ht="14.25" customHeight="1">
      <c r="A4436" s="9"/>
      <c r="B4436" s="9"/>
      <c r="C4436" s="9" t="s">
        <v>691</v>
      </c>
      <c r="D4436" s="9" t="s">
        <v>3180</v>
      </c>
      <c r="E4436" s="9" t="s">
        <v>3151</v>
      </c>
      <c r="F4436" s="9" t="s">
        <v>2301</v>
      </c>
      <c r="H4436" s="9"/>
    </row>
    <row r="4437" ht="14.25" customHeight="1">
      <c r="A4437" s="9"/>
      <c r="B4437" s="9"/>
      <c r="C4437" s="9" t="s">
        <v>691</v>
      </c>
      <c r="D4437" s="9" t="s">
        <v>3180</v>
      </c>
      <c r="E4437" s="9" t="s">
        <v>3151</v>
      </c>
      <c r="F4437" s="9" t="s">
        <v>197</v>
      </c>
      <c r="H4437" s="9"/>
    </row>
    <row r="4438" ht="14.25" customHeight="1">
      <c r="A4438" s="9"/>
      <c r="B4438" s="9"/>
      <c r="C4438" s="9" t="s">
        <v>691</v>
      </c>
      <c r="D4438" s="9" t="s">
        <v>3180</v>
      </c>
      <c r="E4438" s="9" t="s">
        <v>3151</v>
      </c>
      <c r="F4438" s="9" t="s">
        <v>172</v>
      </c>
      <c r="H4438" s="9"/>
    </row>
    <row r="4439" ht="14.25" customHeight="1">
      <c r="A4439" s="9"/>
      <c r="B4439" s="9"/>
      <c r="C4439" s="9" t="s">
        <v>691</v>
      </c>
      <c r="D4439" s="9" t="s">
        <v>3180</v>
      </c>
      <c r="E4439" s="9" t="s">
        <v>3151</v>
      </c>
      <c r="F4439" s="9" t="s">
        <v>98</v>
      </c>
      <c r="H4439" s="9"/>
    </row>
    <row r="4440" ht="14.25" customHeight="1">
      <c r="A4440" s="9"/>
      <c r="B4440" s="9"/>
      <c r="C4440" s="9" t="s">
        <v>691</v>
      </c>
      <c r="D4440" s="9" t="s">
        <v>3180</v>
      </c>
      <c r="E4440" s="9" t="s">
        <v>3151</v>
      </c>
      <c r="F4440" s="9" t="s">
        <v>341</v>
      </c>
      <c r="H4440" s="9"/>
    </row>
    <row r="4441" ht="14.25" customHeight="1">
      <c r="A4441" s="9"/>
      <c r="B4441" s="9"/>
      <c r="C4441" s="9" t="s">
        <v>691</v>
      </c>
      <c r="D4441" s="9" t="s">
        <v>3180</v>
      </c>
      <c r="E4441" s="9" t="s">
        <v>3151</v>
      </c>
      <c r="F4441" s="9" t="s">
        <v>367</v>
      </c>
      <c r="H4441" s="9"/>
    </row>
    <row r="4442" ht="14.25" customHeight="1">
      <c r="A4442" s="9"/>
      <c r="B4442" s="9"/>
      <c r="C4442" s="9" t="s">
        <v>691</v>
      </c>
      <c r="D4442" s="9" t="s">
        <v>3180</v>
      </c>
      <c r="E4442" s="9" t="s">
        <v>3151</v>
      </c>
      <c r="F4442" s="9" t="s">
        <v>529</v>
      </c>
      <c r="H4442" s="9"/>
    </row>
    <row r="4443" ht="14.25" customHeight="1">
      <c r="A4443" s="9"/>
      <c r="B4443" s="9"/>
      <c r="C4443" s="9" t="s">
        <v>691</v>
      </c>
      <c r="D4443" s="9" t="s">
        <v>3180</v>
      </c>
      <c r="E4443" s="9" t="s">
        <v>3151</v>
      </c>
      <c r="F4443" s="9" t="s">
        <v>282</v>
      </c>
      <c r="H4443" s="9"/>
    </row>
    <row r="4444" ht="14.25" customHeight="1">
      <c r="A4444" s="9"/>
      <c r="B4444" s="9"/>
      <c r="C4444" s="9" t="s">
        <v>691</v>
      </c>
      <c r="D4444" s="9" t="s">
        <v>3180</v>
      </c>
      <c r="E4444" s="9" t="s">
        <v>3151</v>
      </c>
      <c r="F4444" s="9" t="s">
        <v>321</v>
      </c>
      <c r="H4444" s="9"/>
    </row>
    <row r="4445" ht="14.25" customHeight="1">
      <c r="A4445" s="9"/>
      <c r="B4445" s="9"/>
      <c r="C4445" s="9" t="s">
        <v>691</v>
      </c>
      <c r="D4445" s="9" t="s">
        <v>3180</v>
      </c>
      <c r="E4445" s="9" t="s">
        <v>3151</v>
      </c>
      <c r="F4445" s="9" t="s">
        <v>272</v>
      </c>
      <c r="H4445" s="9"/>
    </row>
    <row r="4446" ht="14.25" customHeight="1">
      <c r="A4446" s="9"/>
      <c r="B4446" s="9"/>
      <c r="C4446" s="9" t="s">
        <v>691</v>
      </c>
      <c r="D4446" s="9" t="s">
        <v>3180</v>
      </c>
      <c r="E4446" s="9" t="s">
        <v>3151</v>
      </c>
      <c r="F4446" s="9" t="s">
        <v>517</v>
      </c>
      <c r="H4446" s="9"/>
    </row>
    <row r="4447" ht="14.25" customHeight="1">
      <c r="A4447" s="9"/>
      <c r="B4447" s="9"/>
      <c r="C4447" s="9" t="s">
        <v>691</v>
      </c>
      <c r="D4447" s="9" t="s">
        <v>3180</v>
      </c>
      <c r="E4447" s="9" t="s">
        <v>3151</v>
      </c>
      <c r="F4447" s="9" t="s">
        <v>2309</v>
      </c>
      <c r="H4447" s="9"/>
    </row>
    <row r="4448" ht="14.25" customHeight="1">
      <c r="A4448" s="9"/>
      <c r="B4448" s="9"/>
      <c r="C4448" s="9" t="s">
        <v>691</v>
      </c>
      <c r="D4448" s="9" t="s">
        <v>3180</v>
      </c>
      <c r="E4448" s="9" t="s">
        <v>3151</v>
      </c>
      <c r="F4448" s="9" t="s">
        <v>507</v>
      </c>
      <c r="H4448" s="9"/>
    </row>
    <row r="4449" ht="14.25" customHeight="1">
      <c r="A4449" s="9"/>
      <c r="B4449" s="9"/>
      <c r="C4449" s="9" t="s">
        <v>691</v>
      </c>
      <c r="D4449" s="9" t="s">
        <v>3180</v>
      </c>
      <c r="E4449" s="9" t="s">
        <v>3151</v>
      </c>
      <c r="F4449" s="9" t="s">
        <v>336</v>
      </c>
      <c r="H4449" s="9"/>
    </row>
    <row r="4450" ht="14.25" customHeight="1">
      <c r="A4450" s="9"/>
      <c r="B4450" s="9"/>
      <c r="C4450" s="9" t="s">
        <v>691</v>
      </c>
      <c r="D4450" s="9" t="s">
        <v>3180</v>
      </c>
      <c r="E4450" s="9" t="s">
        <v>3151</v>
      </c>
      <c r="F4450" s="9" t="s">
        <v>235</v>
      </c>
      <c r="H4450" s="9"/>
    </row>
    <row r="4451" ht="14.25" customHeight="1">
      <c r="A4451" s="9"/>
      <c r="B4451" s="9"/>
      <c r="C4451" s="9" t="s">
        <v>691</v>
      </c>
      <c r="D4451" s="9" t="s">
        <v>3180</v>
      </c>
      <c r="E4451" s="9" t="s">
        <v>3151</v>
      </c>
      <c r="F4451" s="9" t="s">
        <v>327</v>
      </c>
      <c r="H4451" s="9"/>
    </row>
    <row r="4452" ht="14.25" customHeight="1">
      <c r="A4452" s="9"/>
      <c r="B4452" s="9"/>
      <c r="C4452" s="9" t="s">
        <v>691</v>
      </c>
      <c r="D4452" s="9" t="s">
        <v>3180</v>
      </c>
      <c r="E4452" s="9" t="s">
        <v>3151</v>
      </c>
      <c r="F4452" s="9" t="s">
        <v>264</v>
      </c>
      <c r="H4452" s="9"/>
    </row>
    <row r="4453" ht="14.25" customHeight="1">
      <c r="A4453" s="9"/>
      <c r="B4453" s="9"/>
      <c r="C4453" s="9" t="s">
        <v>691</v>
      </c>
      <c r="D4453" s="9" t="s">
        <v>3181</v>
      </c>
      <c r="E4453" s="9" t="s">
        <v>3151</v>
      </c>
      <c r="F4453" s="9" t="s">
        <v>474</v>
      </c>
      <c r="H4453" s="9"/>
    </row>
    <row r="4454" ht="14.25" customHeight="1">
      <c r="A4454" s="9"/>
      <c r="B4454" s="9"/>
      <c r="C4454" s="9" t="s">
        <v>691</v>
      </c>
      <c r="D4454" s="9" t="s">
        <v>3181</v>
      </c>
      <c r="E4454" s="9" t="s">
        <v>3151</v>
      </c>
      <c r="F4454" s="9" t="s">
        <v>284</v>
      </c>
      <c r="H4454" s="9"/>
    </row>
    <row r="4455" ht="14.25" customHeight="1">
      <c r="A4455" s="9"/>
      <c r="B4455" s="9"/>
      <c r="C4455" s="9" t="s">
        <v>691</v>
      </c>
      <c r="D4455" s="9" t="s">
        <v>3181</v>
      </c>
      <c r="E4455" s="9" t="s">
        <v>3151</v>
      </c>
      <c r="F4455" s="9" t="s">
        <v>493</v>
      </c>
      <c r="H4455" s="9"/>
    </row>
    <row r="4456" ht="14.25" customHeight="1">
      <c r="A4456" s="9"/>
      <c r="B4456" s="9"/>
      <c r="C4456" s="9" t="s">
        <v>691</v>
      </c>
      <c r="D4456" s="9" t="s">
        <v>3181</v>
      </c>
      <c r="E4456" s="9" t="s">
        <v>3151</v>
      </c>
      <c r="F4456" s="9" t="s">
        <v>450</v>
      </c>
      <c r="H4456" s="9"/>
    </row>
    <row r="4457" ht="14.25" customHeight="1">
      <c r="A4457" s="9"/>
      <c r="B4457" s="9"/>
      <c r="C4457" s="9" t="s">
        <v>691</v>
      </c>
      <c r="D4457" s="9" t="s">
        <v>3181</v>
      </c>
      <c r="E4457" s="9" t="s">
        <v>3151</v>
      </c>
      <c r="F4457" s="9" t="s">
        <v>2296</v>
      </c>
      <c r="H4457" s="9"/>
    </row>
    <row r="4458" ht="14.25" customHeight="1">
      <c r="A4458" s="9"/>
      <c r="B4458" s="9"/>
      <c r="C4458" s="9" t="s">
        <v>691</v>
      </c>
      <c r="D4458" s="9" t="s">
        <v>3181</v>
      </c>
      <c r="E4458" s="9" t="s">
        <v>3151</v>
      </c>
      <c r="F4458" s="9" t="s">
        <v>276</v>
      </c>
      <c r="H4458" s="9"/>
    </row>
    <row r="4459" ht="14.25" customHeight="1">
      <c r="A4459" s="9"/>
      <c r="B4459" s="9"/>
      <c r="C4459" s="9" t="s">
        <v>691</v>
      </c>
      <c r="D4459" s="9" t="s">
        <v>3181</v>
      </c>
      <c r="E4459" s="9" t="s">
        <v>3151</v>
      </c>
      <c r="F4459" s="9" t="s">
        <v>431</v>
      </c>
      <c r="H4459" s="9"/>
    </row>
    <row r="4460" ht="14.25" customHeight="1">
      <c r="A4460" s="9"/>
      <c r="B4460" s="9"/>
      <c r="C4460" s="9" t="s">
        <v>691</v>
      </c>
      <c r="D4460" s="9" t="s">
        <v>3181</v>
      </c>
      <c r="E4460" s="9" t="s">
        <v>3151</v>
      </c>
      <c r="F4460" s="9" t="s">
        <v>1272</v>
      </c>
      <c r="H4460" s="9"/>
    </row>
    <row r="4461" ht="14.25" customHeight="1">
      <c r="A4461" s="9"/>
      <c r="B4461" s="9"/>
      <c r="C4461" s="9" t="s">
        <v>691</v>
      </c>
      <c r="D4461" s="9" t="s">
        <v>3181</v>
      </c>
      <c r="E4461" s="9" t="s">
        <v>3151</v>
      </c>
      <c r="F4461" s="9" t="s">
        <v>420</v>
      </c>
      <c r="H4461" s="9"/>
    </row>
    <row r="4462" ht="14.25" customHeight="1">
      <c r="A4462" s="9"/>
      <c r="B4462" s="9"/>
      <c r="C4462" s="9" t="s">
        <v>691</v>
      </c>
      <c r="D4462" s="9" t="s">
        <v>3181</v>
      </c>
      <c r="E4462" s="9" t="s">
        <v>3151</v>
      </c>
      <c r="F4462" s="9" t="s">
        <v>482</v>
      </c>
      <c r="H4462" s="9"/>
    </row>
    <row r="4463" ht="14.25" customHeight="1">
      <c r="A4463" s="9"/>
      <c r="B4463" s="9"/>
      <c r="C4463" s="9" t="s">
        <v>691</v>
      </c>
      <c r="D4463" s="9" t="s">
        <v>3181</v>
      </c>
      <c r="E4463" s="9" t="s">
        <v>3151</v>
      </c>
      <c r="F4463" s="9" t="s">
        <v>136</v>
      </c>
      <c r="H4463" s="9"/>
    </row>
    <row r="4464" ht="14.25" customHeight="1">
      <c r="A4464" s="9"/>
      <c r="B4464" s="9"/>
      <c r="C4464" s="9" t="s">
        <v>691</v>
      </c>
      <c r="D4464" s="9" t="s">
        <v>3181</v>
      </c>
      <c r="E4464" s="9" t="s">
        <v>3151</v>
      </c>
      <c r="F4464" s="9" t="s">
        <v>408</v>
      </c>
      <c r="H4464" s="9"/>
    </row>
    <row r="4465" ht="14.25" customHeight="1">
      <c r="A4465" s="9"/>
      <c r="B4465" s="9"/>
      <c r="C4465" s="9" t="s">
        <v>691</v>
      </c>
      <c r="D4465" s="9" t="s">
        <v>3181</v>
      </c>
      <c r="E4465" s="9" t="s">
        <v>3151</v>
      </c>
      <c r="F4465" s="9" t="s">
        <v>2301</v>
      </c>
      <c r="H4465" s="9"/>
    </row>
    <row r="4466" ht="14.25" customHeight="1">
      <c r="A4466" s="9"/>
      <c r="B4466" s="9"/>
      <c r="C4466" s="9" t="s">
        <v>691</v>
      </c>
      <c r="D4466" s="9" t="s">
        <v>3181</v>
      </c>
      <c r="E4466" s="9" t="s">
        <v>3151</v>
      </c>
      <c r="F4466" s="9" t="s">
        <v>197</v>
      </c>
      <c r="H4466" s="9"/>
    </row>
    <row r="4467" ht="14.25" customHeight="1">
      <c r="A4467" s="9"/>
      <c r="B4467" s="9"/>
      <c r="C4467" s="9" t="s">
        <v>691</v>
      </c>
      <c r="D4467" s="9" t="s">
        <v>3181</v>
      </c>
      <c r="E4467" s="9" t="s">
        <v>3151</v>
      </c>
      <c r="F4467" s="9" t="s">
        <v>172</v>
      </c>
      <c r="H4467" s="9"/>
    </row>
    <row r="4468" ht="14.25" customHeight="1">
      <c r="A4468" s="9"/>
      <c r="B4468" s="9"/>
      <c r="C4468" s="9" t="s">
        <v>691</v>
      </c>
      <c r="D4468" s="9" t="s">
        <v>3181</v>
      </c>
      <c r="E4468" s="9" t="s">
        <v>3151</v>
      </c>
      <c r="F4468" s="9" t="s">
        <v>98</v>
      </c>
      <c r="H4468" s="9"/>
    </row>
    <row r="4469" ht="14.25" customHeight="1">
      <c r="A4469" s="9"/>
      <c r="B4469" s="9"/>
      <c r="C4469" s="9" t="s">
        <v>691</v>
      </c>
      <c r="D4469" s="9" t="s">
        <v>3181</v>
      </c>
      <c r="E4469" s="9" t="s">
        <v>3151</v>
      </c>
      <c r="F4469" s="9" t="s">
        <v>341</v>
      </c>
      <c r="H4469" s="9"/>
    </row>
    <row r="4470" ht="14.25" customHeight="1">
      <c r="A4470" s="9"/>
      <c r="B4470" s="9"/>
      <c r="C4470" s="9" t="s">
        <v>691</v>
      </c>
      <c r="D4470" s="9" t="s">
        <v>3181</v>
      </c>
      <c r="E4470" s="9" t="s">
        <v>3151</v>
      </c>
      <c r="F4470" s="9" t="s">
        <v>367</v>
      </c>
      <c r="H4470" s="9"/>
    </row>
    <row r="4471" ht="14.25" customHeight="1">
      <c r="A4471" s="9"/>
      <c r="B4471" s="9"/>
      <c r="C4471" s="9" t="s">
        <v>691</v>
      </c>
      <c r="D4471" s="9" t="s">
        <v>3181</v>
      </c>
      <c r="E4471" s="9" t="s">
        <v>3151</v>
      </c>
      <c r="F4471" s="9" t="s">
        <v>529</v>
      </c>
      <c r="H4471" s="9"/>
    </row>
    <row r="4472" ht="14.25" customHeight="1">
      <c r="A4472" s="9"/>
      <c r="B4472" s="9"/>
      <c r="C4472" s="9" t="s">
        <v>691</v>
      </c>
      <c r="D4472" s="9" t="s">
        <v>3181</v>
      </c>
      <c r="E4472" s="9" t="s">
        <v>3151</v>
      </c>
      <c r="F4472" s="9" t="s">
        <v>282</v>
      </c>
      <c r="H4472" s="9"/>
    </row>
    <row r="4473" ht="14.25" customHeight="1">
      <c r="A4473" s="9"/>
      <c r="B4473" s="9"/>
      <c r="C4473" s="9" t="s">
        <v>691</v>
      </c>
      <c r="D4473" s="9" t="s">
        <v>3181</v>
      </c>
      <c r="E4473" s="9" t="s">
        <v>3151</v>
      </c>
      <c r="F4473" s="9" t="s">
        <v>321</v>
      </c>
      <c r="H4473" s="9"/>
    </row>
    <row r="4474" ht="14.25" customHeight="1">
      <c r="A4474" s="9"/>
      <c r="B4474" s="9"/>
      <c r="C4474" s="9" t="s">
        <v>691</v>
      </c>
      <c r="D4474" s="9" t="s">
        <v>3181</v>
      </c>
      <c r="E4474" s="9" t="s">
        <v>3151</v>
      </c>
      <c r="F4474" s="9" t="s">
        <v>272</v>
      </c>
      <c r="H4474" s="9"/>
    </row>
    <row r="4475" ht="14.25" customHeight="1">
      <c r="A4475" s="9"/>
      <c r="B4475" s="9"/>
      <c r="C4475" s="9" t="s">
        <v>691</v>
      </c>
      <c r="D4475" s="9" t="s">
        <v>3181</v>
      </c>
      <c r="E4475" s="9" t="s">
        <v>3151</v>
      </c>
      <c r="F4475" s="9" t="s">
        <v>517</v>
      </c>
      <c r="H4475" s="9"/>
    </row>
    <row r="4476" ht="14.25" customHeight="1">
      <c r="A4476" s="9"/>
      <c r="B4476" s="9"/>
      <c r="C4476" s="9" t="s">
        <v>691</v>
      </c>
      <c r="D4476" s="9" t="s">
        <v>3181</v>
      </c>
      <c r="E4476" s="9" t="s">
        <v>3151</v>
      </c>
      <c r="F4476" s="9" t="s">
        <v>2309</v>
      </c>
      <c r="H4476" s="9"/>
    </row>
    <row r="4477" ht="14.25" customHeight="1">
      <c r="A4477" s="9"/>
      <c r="B4477" s="9"/>
      <c r="C4477" s="9" t="s">
        <v>691</v>
      </c>
      <c r="D4477" s="9" t="s">
        <v>3181</v>
      </c>
      <c r="E4477" s="9" t="s">
        <v>3151</v>
      </c>
      <c r="F4477" s="9" t="s">
        <v>507</v>
      </c>
      <c r="H4477" s="9"/>
    </row>
    <row r="4478" ht="14.25" customHeight="1">
      <c r="A4478" s="9"/>
      <c r="B4478" s="9"/>
      <c r="C4478" s="9" t="s">
        <v>691</v>
      </c>
      <c r="D4478" s="9" t="s">
        <v>3181</v>
      </c>
      <c r="E4478" s="9" t="s">
        <v>3151</v>
      </c>
      <c r="F4478" s="9" t="s">
        <v>336</v>
      </c>
      <c r="H4478" s="9"/>
    </row>
    <row r="4479" ht="14.25" customHeight="1">
      <c r="A4479" s="9"/>
      <c r="B4479" s="9"/>
      <c r="C4479" s="9" t="s">
        <v>691</v>
      </c>
      <c r="D4479" s="9" t="s">
        <v>3181</v>
      </c>
      <c r="E4479" s="9" t="s">
        <v>3151</v>
      </c>
      <c r="F4479" s="9" t="s">
        <v>235</v>
      </c>
      <c r="H4479" s="9"/>
    </row>
    <row r="4480" ht="14.25" customHeight="1">
      <c r="A4480" s="9"/>
      <c r="B4480" s="9"/>
      <c r="C4480" s="9" t="s">
        <v>691</v>
      </c>
      <c r="D4480" s="9" t="s">
        <v>3181</v>
      </c>
      <c r="E4480" s="9" t="s">
        <v>3151</v>
      </c>
      <c r="F4480" s="9" t="s">
        <v>327</v>
      </c>
      <c r="H4480" s="9"/>
    </row>
    <row r="4481" ht="14.25" customHeight="1">
      <c r="A4481" s="9"/>
      <c r="B4481" s="9"/>
      <c r="C4481" s="9" t="s">
        <v>691</v>
      </c>
      <c r="D4481" s="9" t="s">
        <v>3181</v>
      </c>
      <c r="E4481" s="9" t="s">
        <v>3151</v>
      </c>
      <c r="F4481" s="9" t="s">
        <v>264</v>
      </c>
      <c r="H4481" s="9"/>
    </row>
    <row r="4482" ht="14.25" customHeight="1">
      <c r="A4482" s="9"/>
      <c r="B4482" s="9"/>
      <c r="C4482" s="9" t="s">
        <v>691</v>
      </c>
      <c r="D4482" s="9" t="s">
        <v>3182</v>
      </c>
      <c r="E4482" s="9" t="s">
        <v>3151</v>
      </c>
      <c r="F4482" s="9" t="s">
        <v>474</v>
      </c>
      <c r="H4482" s="9"/>
    </row>
    <row r="4483" ht="14.25" customHeight="1">
      <c r="A4483" s="9"/>
      <c r="B4483" s="9"/>
      <c r="C4483" s="9" t="s">
        <v>691</v>
      </c>
      <c r="D4483" s="9" t="s">
        <v>3182</v>
      </c>
      <c r="E4483" s="9" t="s">
        <v>3151</v>
      </c>
      <c r="F4483" s="9" t="s">
        <v>284</v>
      </c>
      <c r="H4483" s="9"/>
    </row>
    <row r="4484" ht="14.25" customHeight="1">
      <c r="A4484" s="9"/>
      <c r="B4484" s="9"/>
      <c r="C4484" s="9" t="s">
        <v>691</v>
      </c>
      <c r="D4484" s="9" t="s">
        <v>3182</v>
      </c>
      <c r="E4484" s="9" t="s">
        <v>3151</v>
      </c>
      <c r="F4484" s="9" t="s">
        <v>493</v>
      </c>
      <c r="H4484" s="9"/>
    </row>
    <row r="4485" ht="14.25" customHeight="1">
      <c r="A4485" s="9"/>
      <c r="B4485" s="9"/>
      <c r="C4485" s="9" t="s">
        <v>691</v>
      </c>
      <c r="D4485" s="9" t="s">
        <v>3182</v>
      </c>
      <c r="E4485" s="9" t="s">
        <v>3151</v>
      </c>
      <c r="F4485" s="9" t="s">
        <v>450</v>
      </c>
      <c r="H4485" s="9"/>
    </row>
    <row r="4486" ht="14.25" customHeight="1">
      <c r="A4486" s="9"/>
      <c r="B4486" s="9"/>
      <c r="C4486" s="9" t="s">
        <v>691</v>
      </c>
      <c r="D4486" s="9" t="s">
        <v>3182</v>
      </c>
      <c r="E4486" s="9" t="s">
        <v>3151</v>
      </c>
      <c r="F4486" s="9" t="s">
        <v>2296</v>
      </c>
      <c r="H4486" s="9"/>
    </row>
    <row r="4487" ht="14.25" customHeight="1">
      <c r="A4487" s="9"/>
      <c r="B4487" s="9"/>
      <c r="C4487" s="9" t="s">
        <v>691</v>
      </c>
      <c r="D4487" s="9" t="s">
        <v>3182</v>
      </c>
      <c r="E4487" s="9" t="s">
        <v>3151</v>
      </c>
      <c r="F4487" s="9" t="s">
        <v>276</v>
      </c>
      <c r="H4487" s="9"/>
    </row>
    <row r="4488" ht="14.25" customHeight="1">
      <c r="A4488" s="9"/>
      <c r="B4488" s="9"/>
      <c r="C4488" s="9" t="s">
        <v>691</v>
      </c>
      <c r="D4488" s="9" t="s">
        <v>3182</v>
      </c>
      <c r="E4488" s="9" t="s">
        <v>3151</v>
      </c>
      <c r="F4488" s="9" t="s">
        <v>431</v>
      </c>
      <c r="H4488" s="9"/>
    </row>
    <row r="4489" ht="14.25" customHeight="1">
      <c r="A4489" s="9"/>
      <c r="B4489" s="9"/>
      <c r="C4489" s="9" t="s">
        <v>691</v>
      </c>
      <c r="D4489" s="9" t="s">
        <v>3182</v>
      </c>
      <c r="E4489" s="9" t="s">
        <v>3151</v>
      </c>
      <c r="F4489" s="9" t="s">
        <v>1272</v>
      </c>
      <c r="H4489" s="9"/>
    </row>
    <row r="4490" ht="14.25" customHeight="1">
      <c r="A4490" s="9"/>
      <c r="B4490" s="9"/>
      <c r="C4490" s="9" t="s">
        <v>691</v>
      </c>
      <c r="D4490" s="9" t="s">
        <v>3182</v>
      </c>
      <c r="E4490" s="9" t="s">
        <v>3151</v>
      </c>
      <c r="F4490" s="9" t="s">
        <v>420</v>
      </c>
      <c r="H4490" s="9"/>
    </row>
    <row r="4491" ht="14.25" customHeight="1">
      <c r="A4491" s="9"/>
      <c r="B4491" s="9"/>
      <c r="C4491" s="9" t="s">
        <v>691</v>
      </c>
      <c r="D4491" s="9" t="s">
        <v>3182</v>
      </c>
      <c r="E4491" s="9" t="s">
        <v>3151</v>
      </c>
      <c r="F4491" s="9" t="s">
        <v>482</v>
      </c>
      <c r="H4491" s="9"/>
    </row>
    <row r="4492" ht="14.25" customHeight="1">
      <c r="A4492" s="9"/>
      <c r="B4492" s="9"/>
      <c r="C4492" s="9" t="s">
        <v>691</v>
      </c>
      <c r="D4492" s="9" t="s">
        <v>3182</v>
      </c>
      <c r="E4492" s="9" t="s">
        <v>3151</v>
      </c>
      <c r="F4492" s="9" t="s">
        <v>136</v>
      </c>
      <c r="H4492" s="9"/>
    </row>
    <row r="4493" ht="14.25" customHeight="1">
      <c r="A4493" s="9"/>
      <c r="B4493" s="9"/>
      <c r="C4493" s="9" t="s">
        <v>691</v>
      </c>
      <c r="D4493" s="9" t="s">
        <v>3182</v>
      </c>
      <c r="E4493" s="9" t="s">
        <v>3151</v>
      </c>
      <c r="F4493" s="9" t="s">
        <v>408</v>
      </c>
      <c r="H4493" s="9"/>
    </row>
    <row r="4494" ht="14.25" customHeight="1">
      <c r="A4494" s="9"/>
      <c r="B4494" s="9"/>
      <c r="C4494" s="9" t="s">
        <v>691</v>
      </c>
      <c r="D4494" s="9" t="s">
        <v>3182</v>
      </c>
      <c r="E4494" s="9" t="s">
        <v>3151</v>
      </c>
      <c r="F4494" s="9" t="s">
        <v>2301</v>
      </c>
      <c r="H4494" s="9"/>
    </row>
    <row r="4495" ht="14.25" customHeight="1">
      <c r="A4495" s="9"/>
      <c r="B4495" s="9"/>
      <c r="C4495" s="9" t="s">
        <v>691</v>
      </c>
      <c r="D4495" s="9" t="s">
        <v>3182</v>
      </c>
      <c r="E4495" s="9" t="s">
        <v>3151</v>
      </c>
      <c r="F4495" s="9" t="s">
        <v>197</v>
      </c>
      <c r="H4495" s="9"/>
    </row>
    <row r="4496" ht="14.25" customHeight="1">
      <c r="A4496" s="9"/>
      <c r="B4496" s="9"/>
      <c r="C4496" s="9" t="s">
        <v>691</v>
      </c>
      <c r="D4496" s="9" t="s">
        <v>3182</v>
      </c>
      <c r="E4496" s="9" t="s">
        <v>3151</v>
      </c>
      <c r="F4496" s="9" t="s">
        <v>172</v>
      </c>
      <c r="H4496" s="9"/>
    </row>
    <row r="4497" ht="14.25" customHeight="1">
      <c r="A4497" s="9"/>
      <c r="B4497" s="9"/>
      <c r="C4497" s="9" t="s">
        <v>691</v>
      </c>
      <c r="D4497" s="9" t="s">
        <v>3182</v>
      </c>
      <c r="E4497" s="9" t="s">
        <v>3151</v>
      </c>
      <c r="F4497" s="9" t="s">
        <v>98</v>
      </c>
      <c r="H4497" s="9"/>
    </row>
    <row r="4498" ht="14.25" customHeight="1">
      <c r="A4498" s="9"/>
      <c r="B4498" s="9"/>
      <c r="C4498" s="9" t="s">
        <v>691</v>
      </c>
      <c r="D4498" s="9" t="s">
        <v>3182</v>
      </c>
      <c r="E4498" s="9" t="s">
        <v>3151</v>
      </c>
      <c r="F4498" s="9" t="s">
        <v>341</v>
      </c>
      <c r="H4498" s="9"/>
    </row>
    <row r="4499" ht="14.25" customHeight="1">
      <c r="A4499" s="9"/>
      <c r="B4499" s="9"/>
      <c r="C4499" s="9" t="s">
        <v>691</v>
      </c>
      <c r="D4499" s="9" t="s">
        <v>3182</v>
      </c>
      <c r="E4499" s="9" t="s">
        <v>3151</v>
      </c>
      <c r="F4499" s="9" t="s">
        <v>367</v>
      </c>
      <c r="H4499" s="9"/>
    </row>
    <row r="4500" ht="14.25" customHeight="1">
      <c r="A4500" s="9"/>
      <c r="B4500" s="9"/>
      <c r="C4500" s="9" t="s">
        <v>691</v>
      </c>
      <c r="D4500" s="9" t="s">
        <v>3182</v>
      </c>
      <c r="E4500" s="9" t="s">
        <v>3151</v>
      </c>
      <c r="F4500" s="9" t="s">
        <v>529</v>
      </c>
      <c r="H4500" s="9"/>
    </row>
    <row r="4501" ht="14.25" customHeight="1">
      <c r="A4501" s="9"/>
      <c r="B4501" s="9"/>
      <c r="C4501" s="9" t="s">
        <v>691</v>
      </c>
      <c r="D4501" s="9" t="s">
        <v>3182</v>
      </c>
      <c r="E4501" s="9" t="s">
        <v>3151</v>
      </c>
      <c r="F4501" s="9" t="s">
        <v>282</v>
      </c>
      <c r="H4501" s="9"/>
    </row>
    <row r="4502" ht="14.25" customHeight="1">
      <c r="A4502" s="9"/>
      <c r="B4502" s="9"/>
      <c r="C4502" s="9" t="s">
        <v>691</v>
      </c>
      <c r="D4502" s="9" t="s">
        <v>3182</v>
      </c>
      <c r="E4502" s="9" t="s">
        <v>3151</v>
      </c>
      <c r="F4502" s="9" t="s">
        <v>321</v>
      </c>
      <c r="H4502" s="9"/>
    </row>
    <row r="4503" ht="14.25" customHeight="1">
      <c r="A4503" s="9"/>
      <c r="B4503" s="9"/>
      <c r="C4503" s="9" t="s">
        <v>691</v>
      </c>
      <c r="D4503" s="9" t="s">
        <v>3182</v>
      </c>
      <c r="E4503" s="9" t="s">
        <v>3151</v>
      </c>
      <c r="F4503" s="9" t="s">
        <v>272</v>
      </c>
      <c r="H4503" s="9"/>
    </row>
    <row r="4504" ht="14.25" customHeight="1">
      <c r="A4504" s="9"/>
      <c r="B4504" s="9"/>
      <c r="C4504" s="9" t="s">
        <v>691</v>
      </c>
      <c r="D4504" s="9" t="s">
        <v>3182</v>
      </c>
      <c r="E4504" s="9" t="s">
        <v>3151</v>
      </c>
      <c r="F4504" s="9" t="s">
        <v>517</v>
      </c>
      <c r="H4504" s="9"/>
    </row>
    <row r="4505" ht="14.25" customHeight="1">
      <c r="A4505" s="9"/>
      <c r="B4505" s="9"/>
      <c r="C4505" s="9" t="s">
        <v>691</v>
      </c>
      <c r="D4505" s="9" t="s">
        <v>3182</v>
      </c>
      <c r="E4505" s="9" t="s">
        <v>3151</v>
      </c>
      <c r="F4505" s="9" t="s">
        <v>2309</v>
      </c>
      <c r="H4505" s="9"/>
    </row>
    <row r="4506" ht="14.25" customHeight="1">
      <c r="A4506" s="9"/>
      <c r="B4506" s="9"/>
      <c r="C4506" s="9" t="s">
        <v>691</v>
      </c>
      <c r="D4506" s="9" t="s">
        <v>3182</v>
      </c>
      <c r="E4506" s="9" t="s">
        <v>3151</v>
      </c>
      <c r="F4506" s="9" t="s">
        <v>507</v>
      </c>
      <c r="H4506" s="9"/>
    </row>
    <row r="4507" ht="14.25" customHeight="1">
      <c r="A4507" s="9"/>
      <c r="B4507" s="9"/>
      <c r="C4507" s="9" t="s">
        <v>691</v>
      </c>
      <c r="D4507" s="9" t="s">
        <v>3182</v>
      </c>
      <c r="E4507" s="9" t="s">
        <v>3151</v>
      </c>
      <c r="F4507" s="9" t="s">
        <v>336</v>
      </c>
      <c r="H4507" s="9"/>
    </row>
    <row r="4508" ht="14.25" customHeight="1">
      <c r="A4508" s="9"/>
      <c r="B4508" s="9"/>
      <c r="C4508" s="9" t="s">
        <v>691</v>
      </c>
      <c r="D4508" s="9" t="s">
        <v>3182</v>
      </c>
      <c r="E4508" s="9" t="s">
        <v>3151</v>
      </c>
      <c r="F4508" s="9" t="s">
        <v>235</v>
      </c>
      <c r="H4508" s="9"/>
    </row>
    <row r="4509" ht="14.25" customHeight="1">
      <c r="A4509" s="9"/>
      <c r="B4509" s="9"/>
      <c r="C4509" s="9" t="s">
        <v>691</v>
      </c>
      <c r="D4509" s="9" t="s">
        <v>3182</v>
      </c>
      <c r="E4509" s="9" t="s">
        <v>3151</v>
      </c>
      <c r="F4509" s="9" t="s">
        <v>327</v>
      </c>
      <c r="H4509" s="9"/>
    </row>
    <row r="4510" ht="14.25" customHeight="1">
      <c r="A4510" s="9"/>
      <c r="B4510" s="9"/>
      <c r="C4510" s="9" t="s">
        <v>691</v>
      </c>
      <c r="D4510" s="9" t="s">
        <v>3182</v>
      </c>
      <c r="E4510" s="9" t="s">
        <v>3151</v>
      </c>
      <c r="F4510" s="9" t="s">
        <v>264</v>
      </c>
      <c r="H4510" s="9"/>
    </row>
    <row r="4511" ht="14.25" customHeight="1">
      <c r="A4511" s="9"/>
      <c r="B4511" s="9"/>
      <c r="C4511" s="200" t="s">
        <v>3183</v>
      </c>
      <c r="D4511" s="208" t="s">
        <v>3184</v>
      </c>
      <c r="E4511" s="9" t="s">
        <v>3185</v>
      </c>
      <c r="F4511" s="212" t="s">
        <v>474</v>
      </c>
      <c r="H4511" s="9"/>
    </row>
    <row r="4512" ht="14.25" customHeight="1">
      <c r="A4512" s="9"/>
      <c r="B4512" s="9"/>
      <c r="C4512" s="200" t="s">
        <v>3183</v>
      </c>
      <c r="D4512" s="208" t="s">
        <v>3184</v>
      </c>
      <c r="E4512" s="9" t="s">
        <v>3185</v>
      </c>
      <c r="F4512" s="15" t="s">
        <v>284</v>
      </c>
      <c r="H4512" s="9"/>
    </row>
    <row r="4513" ht="14.25" customHeight="1">
      <c r="A4513" s="9"/>
      <c r="B4513" s="9"/>
      <c r="C4513" s="200" t="s">
        <v>3183</v>
      </c>
      <c r="D4513" s="208" t="s">
        <v>3184</v>
      </c>
      <c r="E4513" s="9" t="s">
        <v>3185</v>
      </c>
      <c r="F4513" s="15" t="s">
        <v>493</v>
      </c>
      <c r="H4513" s="9"/>
    </row>
    <row r="4514" ht="14.25" customHeight="1">
      <c r="A4514" s="9"/>
      <c r="B4514" s="9"/>
      <c r="C4514" s="200" t="s">
        <v>3183</v>
      </c>
      <c r="D4514" s="208" t="s">
        <v>3184</v>
      </c>
      <c r="E4514" s="9" t="s">
        <v>3185</v>
      </c>
      <c r="F4514" s="212" t="s">
        <v>450</v>
      </c>
      <c r="H4514" s="9"/>
    </row>
    <row r="4515" ht="14.25" customHeight="1">
      <c r="A4515" s="9"/>
      <c r="B4515" s="9"/>
      <c r="C4515" s="200" t="s">
        <v>3183</v>
      </c>
      <c r="D4515" s="208" t="s">
        <v>3184</v>
      </c>
      <c r="E4515" s="9" t="s">
        <v>3185</v>
      </c>
      <c r="F4515" s="15" t="s">
        <v>2296</v>
      </c>
      <c r="H4515" s="9"/>
    </row>
    <row r="4516" ht="14.25" customHeight="1">
      <c r="A4516" s="9"/>
      <c r="B4516" s="9"/>
      <c r="C4516" s="200" t="s">
        <v>3183</v>
      </c>
      <c r="D4516" s="208" t="s">
        <v>3184</v>
      </c>
      <c r="E4516" s="9" t="s">
        <v>3185</v>
      </c>
      <c r="F4516" s="15" t="s">
        <v>276</v>
      </c>
      <c r="H4516" s="9"/>
    </row>
    <row r="4517" ht="14.25" customHeight="1">
      <c r="A4517" s="9"/>
      <c r="B4517" s="9"/>
      <c r="C4517" s="200" t="s">
        <v>3183</v>
      </c>
      <c r="D4517" s="208" t="s">
        <v>3184</v>
      </c>
      <c r="E4517" s="9" t="s">
        <v>3185</v>
      </c>
      <c r="F4517" s="15" t="s">
        <v>431</v>
      </c>
      <c r="H4517" s="9"/>
    </row>
    <row r="4518" ht="14.25" customHeight="1">
      <c r="A4518" s="9"/>
      <c r="B4518" s="9"/>
      <c r="C4518" s="200" t="s">
        <v>3183</v>
      </c>
      <c r="D4518" s="208" t="s">
        <v>3184</v>
      </c>
      <c r="E4518" s="9" t="s">
        <v>3185</v>
      </c>
      <c r="F4518" s="15" t="s">
        <v>1272</v>
      </c>
      <c r="H4518" s="9"/>
    </row>
    <row r="4519" ht="14.25" customHeight="1">
      <c r="A4519" s="9"/>
      <c r="B4519" s="9"/>
      <c r="C4519" s="200" t="s">
        <v>3183</v>
      </c>
      <c r="D4519" s="208" t="s">
        <v>3184</v>
      </c>
      <c r="E4519" s="9" t="s">
        <v>3185</v>
      </c>
      <c r="F4519" s="15" t="s">
        <v>420</v>
      </c>
      <c r="H4519" s="9"/>
    </row>
    <row r="4520" ht="14.25" customHeight="1">
      <c r="A4520" s="9"/>
      <c r="B4520" s="9"/>
      <c r="C4520" s="200" t="s">
        <v>3183</v>
      </c>
      <c r="D4520" s="208" t="s">
        <v>3184</v>
      </c>
      <c r="E4520" s="9" t="s">
        <v>3185</v>
      </c>
      <c r="F4520" s="212" t="s">
        <v>482</v>
      </c>
      <c r="H4520" s="9"/>
    </row>
    <row r="4521" ht="14.25" customHeight="1">
      <c r="A4521" s="9"/>
      <c r="B4521" s="9"/>
      <c r="C4521" s="200" t="s">
        <v>3183</v>
      </c>
      <c r="D4521" s="208" t="s">
        <v>3184</v>
      </c>
      <c r="E4521" s="9" t="s">
        <v>3185</v>
      </c>
      <c r="F4521" s="15" t="s">
        <v>136</v>
      </c>
      <c r="H4521" s="9"/>
    </row>
    <row r="4522" ht="14.25" customHeight="1">
      <c r="A4522" s="9"/>
      <c r="B4522" s="9"/>
      <c r="C4522" s="200" t="s">
        <v>3183</v>
      </c>
      <c r="D4522" s="208" t="s">
        <v>3184</v>
      </c>
      <c r="E4522" s="9" t="s">
        <v>3185</v>
      </c>
      <c r="F4522" s="15" t="s">
        <v>408</v>
      </c>
      <c r="H4522" s="9"/>
    </row>
    <row r="4523" ht="14.25" customHeight="1">
      <c r="A4523" s="9"/>
      <c r="B4523" s="9"/>
      <c r="C4523" s="200" t="s">
        <v>3183</v>
      </c>
      <c r="D4523" s="208" t="s">
        <v>3184</v>
      </c>
      <c r="E4523" s="9" t="s">
        <v>3185</v>
      </c>
      <c r="F4523" s="15" t="s">
        <v>2301</v>
      </c>
      <c r="H4523" s="9"/>
    </row>
    <row r="4524" ht="14.25" customHeight="1">
      <c r="A4524" s="9"/>
      <c r="B4524" s="9"/>
      <c r="C4524" s="200" t="s">
        <v>3183</v>
      </c>
      <c r="D4524" s="208" t="s">
        <v>3184</v>
      </c>
      <c r="E4524" s="9" t="s">
        <v>3185</v>
      </c>
      <c r="F4524" s="15" t="s">
        <v>197</v>
      </c>
      <c r="H4524" s="9"/>
    </row>
    <row r="4525" ht="14.25" customHeight="1">
      <c r="A4525" s="9"/>
      <c r="B4525" s="9"/>
      <c r="C4525" s="200" t="s">
        <v>3183</v>
      </c>
      <c r="D4525" s="208" t="s">
        <v>3184</v>
      </c>
      <c r="E4525" s="9" t="s">
        <v>3185</v>
      </c>
      <c r="F4525" s="15" t="s">
        <v>172</v>
      </c>
      <c r="H4525" s="9"/>
    </row>
    <row r="4526" ht="14.25" customHeight="1">
      <c r="A4526" s="9"/>
      <c r="B4526" s="9"/>
      <c r="C4526" s="200" t="s">
        <v>3183</v>
      </c>
      <c r="D4526" s="208" t="s">
        <v>3184</v>
      </c>
      <c r="E4526" s="9" t="s">
        <v>3185</v>
      </c>
      <c r="F4526" s="15" t="s">
        <v>98</v>
      </c>
      <c r="H4526" s="9"/>
    </row>
    <row r="4527" ht="14.25" customHeight="1">
      <c r="A4527" s="9"/>
      <c r="B4527" s="9"/>
      <c r="C4527" s="200" t="s">
        <v>3183</v>
      </c>
      <c r="D4527" s="208" t="s">
        <v>3184</v>
      </c>
      <c r="E4527" s="9" t="s">
        <v>3185</v>
      </c>
      <c r="F4527" s="212" t="s">
        <v>341</v>
      </c>
      <c r="H4527" s="9"/>
    </row>
    <row r="4528" ht="14.25" customHeight="1">
      <c r="A4528" s="9"/>
      <c r="B4528" s="9"/>
      <c r="C4528" s="200" t="s">
        <v>3183</v>
      </c>
      <c r="D4528" s="208" t="s">
        <v>3184</v>
      </c>
      <c r="E4528" s="9" t="s">
        <v>3185</v>
      </c>
      <c r="F4528" s="15" t="s">
        <v>367</v>
      </c>
      <c r="H4528" s="9"/>
    </row>
    <row r="4529" ht="14.25" customHeight="1">
      <c r="A4529" s="9"/>
      <c r="B4529" s="9"/>
      <c r="C4529" s="200" t="s">
        <v>3183</v>
      </c>
      <c r="D4529" s="208" t="s">
        <v>3184</v>
      </c>
      <c r="E4529" s="9" t="s">
        <v>3185</v>
      </c>
      <c r="F4529" s="15" t="s">
        <v>529</v>
      </c>
      <c r="H4529" s="9"/>
    </row>
    <row r="4530" ht="14.25" customHeight="1">
      <c r="A4530" s="9"/>
      <c r="B4530" s="9"/>
      <c r="C4530" s="200" t="s">
        <v>3183</v>
      </c>
      <c r="D4530" s="208" t="s">
        <v>3184</v>
      </c>
      <c r="E4530" s="9" t="s">
        <v>3185</v>
      </c>
      <c r="F4530" s="15" t="s">
        <v>282</v>
      </c>
      <c r="H4530" s="9"/>
    </row>
    <row r="4531" ht="14.25" customHeight="1">
      <c r="A4531" s="9"/>
      <c r="B4531" s="9"/>
      <c r="C4531" s="200" t="s">
        <v>3183</v>
      </c>
      <c r="D4531" s="208" t="s">
        <v>3184</v>
      </c>
      <c r="E4531" s="9" t="s">
        <v>3185</v>
      </c>
      <c r="F4531" s="15" t="s">
        <v>321</v>
      </c>
      <c r="H4531" s="9"/>
    </row>
    <row r="4532" ht="14.25" customHeight="1">
      <c r="A4532" s="9"/>
      <c r="B4532" s="9"/>
      <c r="C4532" s="200" t="s">
        <v>3183</v>
      </c>
      <c r="D4532" s="208" t="s">
        <v>3184</v>
      </c>
      <c r="E4532" s="9" t="s">
        <v>3185</v>
      </c>
      <c r="F4532" s="15" t="s">
        <v>272</v>
      </c>
      <c r="H4532" s="9"/>
    </row>
    <row r="4533" ht="14.25" customHeight="1">
      <c r="A4533" s="9"/>
      <c r="B4533" s="9"/>
      <c r="C4533" s="200" t="s">
        <v>3183</v>
      </c>
      <c r="D4533" s="208" t="s">
        <v>3184</v>
      </c>
      <c r="E4533" s="9" t="s">
        <v>3185</v>
      </c>
      <c r="F4533" s="15" t="s">
        <v>517</v>
      </c>
      <c r="H4533" s="9"/>
    </row>
    <row r="4534" ht="14.25" customHeight="1">
      <c r="A4534" s="9"/>
      <c r="B4534" s="9"/>
      <c r="C4534" s="200" t="s">
        <v>3183</v>
      </c>
      <c r="D4534" s="208" t="s">
        <v>3184</v>
      </c>
      <c r="E4534" s="9" t="s">
        <v>3185</v>
      </c>
      <c r="F4534" s="15" t="s">
        <v>2309</v>
      </c>
      <c r="H4534" s="9"/>
    </row>
    <row r="4535" ht="14.25" customHeight="1">
      <c r="A4535" s="9"/>
      <c r="B4535" s="9"/>
      <c r="C4535" s="200" t="s">
        <v>3183</v>
      </c>
      <c r="D4535" s="208" t="s">
        <v>3184</v>
      </c>
      <c r="E4535" s="9" t="s">
        <v>3185</v>
      </c>
      <c r="F4535" s="212" t="s">
        <v>507</v>
      </c>
      <c r="H4535" s="9"/>
    </row>
    <row r="4536" ht="14.25" customHeight="1">
      <c r="A4536" s="9"/>
      <c r="B4536" s="9"/>
      <c r="C4536" s="200" t="s">
        <v>3183</v>
      </c>
      <c r="D4536" s="208" t="s">
        <v>3184</v>
      </c>
      <c r="E4536" s="9" t="s">
        <v>3185</v>
      </c>
      <c r="F4536" s="15" t="s">
        <v>336</v>
      </c>
      <c r="H4536" s="9"/>
    </row>
    <row r="4537" ht="14.25" customHeight="1">
      <c r="A4537" s="9"/>
      <c r="B4537" s="9"/>
      <c r="C4537" s="200" t="s">
        <v>3183</v>
      </c>
      <c r="D4537" s="208" t="s">
        <v>3184</v>
      </c>
      <c r="E4537" s="9" t="s">
        <v>3185</v>
      </c>
      <c r="F4537" s="212" t="s">
        <v>235</v>
      </c>
      <c r="H4537" s="9"/>
    </row>
    <row r="4538" ht="14.25" customHeight="1">
      <c r="A4538" s="9"/>
      <c r="B4538" s="9"/>
      <c r="C4538" s="200" t="s">
        <v>3183</v>
      </c>
      <c r="D4538" s="208" t="s">
        <v>3184</v>
      </c>
      <c r="E4538" s="9" t="s">
        <v>3185</v>
      </c>
      <c r="F4538" s="15" t="s">
        <v>327</v>
      </c>
      <c r="H4538" s="9"/>
    </row>
    <row r="4539" ht="14.25" customHeight="1">
      <c r="A4539" s="9"/>
      <c r="B4539" s="9"/>
      <c r="C4539" s="200" t="s">
        <v>3183</v>
      </c>
      <c r="D4539" s="208" t="s">
        <v>3184</v>
      </c>
      <c r="E4539" s="9" t="s">
        <v>3185</v>
      </c>
      <c r="F4539" s="15" t="s">
        <v>264</v>
      </c>
      <c r="H4539" s="9"/>
    </row>
    <row r="4540" ht="14.25" customHeight="1">
      <c r="A4540" s="9"/>
      <c r="B4540" s="9"/>
      <c r="C4540" s="200" t="s">
        <v>3186</v>
      </c>
      <c r="D4540" s="208" t="s">
        <v>390</v>
      </c>
      <c r="E4540" s="9" t="s">
        <v>3185</v>
      </c>
      <c r="F4540" s="15" t="s">
        <v>474</v>
      </c>
      <c r="H4540" s="9"/>
    </row>
    <row r="4541" ht="14.25" customHeight="1">
      <c r="A4541" s="9"/>
      <c r="B4541" s="9"/>
      <c r="C4541" s="200" t="s">
        <v>3186</v>
      </c>
      <c r="D4541" s="208" t="s">
        <v>390</v>
      </c>
      <c r="E4541" s="9" t="s">
        <v>3185</v>
      </c>
      <c r="F4541" s="15" t="s">
        <v>3032</v>
      </c>
      <c r="H4541" s="9"/>
    </row>
    <row r="4542" ht="14.25" customHeight="1">
      <c r="A4542" s="9"/>
      <c r="B4542" s="9"/>
      <c r="C4542" s="200" t="s">
        <v>3186</v>
      </c>
      <c r="D4542" s="208" t="s">
        <v>390</v>
      </c>
      <c r="E4542" s="9" t="s">
        <v>3185</v>
      </c>
      <c r="F4542" s="15" t="s">
        <v>284</v>
      </c>
      <c r="H4542" s="9"/>
    </row>
    <row r="4543" ht="14.25" customHeight="1">
      <c r="A4543" s="9"/>
      <c r="B4543" s="9"/>
      <c r="C4543" s="200" t="s">
        <v>3186</v>
      </c>
      <c r="D4543" s="208" t="s">
        <v>390</v>
      </c>
      <c r="E4543" s="9" t="s">
        <v>3185</v>
      </c>
      <c r="F4543" s="15" t="s">
        <v>493</v>
      </c>
      <c r="H4543" s="9"/>
    </row>
    <row r="4544" ht="14.25" customHeight="1">
      <c r="A4544" s="9"/>
      <c r="B4544" s="9"/>
      <c r="C4544" s="200" t="s">
        <v>3186</v>
      </c>
      <c r="D4544" s="208" t="s">
        <v>390</v>
      </c>
      <c r="E4544" s="9" t="s">
        <v>3185</v>
      </c>
      <c r="F4544" s="15" t="s">
        <v>450</v>
      </c>
      <c r="H4544" s="9"/>
    </row>
    <row r="4545" ht="14.25" customHeight="1">
      <c r="A4545" s="9"/>
      <c r="B4545" s="9"/>
      <c r="C4545" s="200" t="s">
        <v>3186</v>
      </c>
      <c r="D4545" s="208" t="s">
        <v>390</v>
      </c>
      <c r="E4545" s="9" t="s">
        <v>3185</v>
      </c>
      <c r="F4545" s="15" t="s">
        <v>2296</v>
      </c>
      <c r="H4545" s="9"/>
    </row>
    <row r="4546" ht="14.25" customHeight="1">
      <c r="A4546" s="9"/>
      <c r="B4546" s="9"/>
      <c r="C4546" s="200" t="s">
        <v>3186</v>
      </c>
      <c r="D4546" s="208" t="s">
        <v>390</v>
      </c>
      <c r="E4546" s="9" t="s">
        <v>3185</v>
      </c>
      <c r="F4546" s="15" t="s">
        <v>276</v>
      </c>
      <c r="H4546" s="9"/>
    </row>
    <row r="4547" ht="14.25" customHeight="1">
      <c r="A4547" s="9"/>
      <c r="B4547" s="9"/>
      <c r="C4547" s="200" t="s">
        <v>3186</v>
      </c>
      <c r="D4547" s="208" t="s">
        <v>390</v>
      </c>
      <c r="E4547" s="9" t="s">
        <v>3185</v>
      </c>
      <c r="F4547" s="15" t="s">
        <v>431</v>
      </c>
      <c r="H4547" s="9"/>
    </row>
    <row r="4548" ht="14.25" customHeight="1">
      <c r="A4548" s="9"/>
      <c r="B4548" s="9"/>
      <c r="C4548" s="200" t="s">
        <v>3186</v>
      </c>
      <c r="D4548" s="208" t="s">
        <v>390</v>
      </c>
      <c r="E4548" s="9" t="s">
        <v>3185</v>
      </c>
      <c r="F4548" s="15" t="s">
        <v>26</v>
      </c>
      <c r="H4548" s="9"/>
    </row>
    <row r="4549" ht="14.25" customHeight="1">
      <c r="A4549" s="9"/>
      <c r="B4549" s="9"/>
      <c r="C4549" s="200" t="s">
        <v>3186</v>
      </c>
      <c r="D4549" s="208" t="s">
        <v>390</v>
      </c>
      <c r="E4549" s="9" t="s">
        <v>3185</v>
      </c>
      <c r="F4549" s="15" t="s">
        <v>420</v>
      </c>
      <c r="H4549" s="9"/>
    </row>
    <row r="4550" ht="14.25" customHeight="1">
      <c r="A4550" s="9"/>
      <c r="B4550" s="9"/>
      <c r="C4550" s="200" t="s">
        <v>3186</v>
      </c>
      <c r="D4550" s="208" t="s">
        <v>390</v>
      </c>
      <c r="E4550" s="9" t="s">
        <v>3185</v>
      </c>
      <c r="F4550" s="15" t="s">
        <v>482</v>
      </c>
      <c r="H4550" s="9"/>
    </row>
    <row r="4551" ht="14.25" customHeight="1">
      <c r="A4551" s="9"/>
      <c r="B4551" s="9"/>
      <c r="C4551" s="200" t="s">
        <v>3186</v>
      </c>
      <c r="D4551" s="208" t="s">
        <v>390</v>
      </c>
      <c r="E4551" s="9" t="s">
        <v>3185</v>
      </c>
      <c r="F4551" s="15" t="s">
        <v>136</v>
      </c>
      <c r="H4551" s="9"/>
    </row>
    <row r="4552" ht="14.25" customHeight="1">
      <c r="A4552" s="9"/>
      <c r="B4552" s="9"/>
      <c r="C4552" s="200" t="s">
        <v>3186</v>
      </c>
      <c r="D4552" s="208" t="s">
        <v>390</v>
      </c>
      <c r="E4552" s="9" t="s">
        <v>3185</v>
      </c>
      <c r="F4552" s="15" t="s">
        <v>408</v>
      </c>
      <c r="H4552" s="9"/>
    </row>
    <row r="4553" ht="14.25" customHeight="1">
      <c r="A4553" s="9"/>
      <c r="B4553" s="9"/>
      <c r="C4553" s="200" t="s">
        <v>3186</v>
      </c>
      <c r="D4553" s="208" t="s">
        <v>390</v>
      </c>
      <c r="E4553" s="9" t="s">
        <v>3185</v>
      </c>
      <c r="F4553" s="15" t="s">
        <v>2301</v>
      </c>
      <c r="H4553" s="9"/>
    </row>
    <row r="4554" ht="14.25" customHeight="1">
      <c r="A4554" s="9"/>
      <c r="B4554" s="9"/>
      <c r="C4554" s="200" t="s">
        <v>3186</v>
      </c>
      <c r="D4554" s="208" t="s">
        <v>390</v>
      </c>
      <c r="E4554" s="9" t="s">
        <v>3185</v>
      </c>
      <c r="F4554" s="15" t="s">
        <v>197</v>
      </c>
      <c r="H4554" s="9"/>
    </row>
    <row r="4555" ht="14.25" customHeight="1">
      <c r="A4555" s="9"/>
      <c r="B4555" s="9"/>
      <c r="C4555" s="200" t="s">
        <v>3186</v>
      </c>
      <c r="D4555" s="208" t="s">
        <v>390</v>
      </c>
      <c r="E4555" s="9" t="s">
        <v>3185</v>
      </c>
      <c r="F4555" s="15" t="s">
        <v>172</v>
      </c>
      <c r="H4555" s="9"/>
    </row>
    <row r="4556" ht="14.25" customHeight="1">
      <c r="A4556" s="9"/>
      <c r="B4556" s="9"/>
      <c r="C4556" s="200" t="s">
        <v>3186</v>
      </c>
      <c r="D4556" s="208" t="s">
        <v>390</v>
      </c>
      <c r="E4556" s="9" t="s">
        <v>3185</v>
      </c>
      <c r="F4556" s="15" t="s">
        <v>98</v>
      </c>
      <c r="H4556" s="9"/>
    </row>
    <row r="4557" ht="14.25" customHeight="1">
      <c r="A4557" s="9"/>
      <c r="B4557" s="9"/>
      <c r="C4557" s="200" t="s">
        <v>3186</v>
      </c>
      <c r="D4557" s="208" t="s">
        <v>390</v>
      </c>
      <c r="E4557" s="9" t="s">
        <v>3185</v>
      </c>
      <c r="F4557" s="15" t="s">
        <v>341</v>
      </c>
      <c r="H4557" s="9"/>
    </row>
    <row r="4558" ht="14.25" customHeight="1">
      <c r="A4558" s="9"/>
      <c r="B4558" s="9"/>
      <c r="C4558" s="200" t="s">
        <v>3186</v>
      </c>
      <c r="D4558" s="208" t="s">
        <v>390</v>
      </c>
      <c r="E4558" s="9" t="s">
        <v>3185</v>
      </c>
      <c r="F4558" s="15" t="s">
        <v>3033</v>
      </c>
      <c r="H4558" s="9"/>
    </row>
    <row r="4559" ht="14.25" customHeight="1">
      <c r="A4559" s="9"/>
      <c r="B4559" s="9"/>
      <c r="C4559" s="200" t="s">
        <v>3186</v>
      </c>
      <c r="D4559" s="208" t="s">
        <v>390</v>
      </c>
      <c r="E4559" s="9" t="s">
        <v>3185</v>
      </c>
      <c r="F4559" s="15" t="s">
        <v>367</v>
      </c>
      <c r="H4559" s="9"/>
    </row>
    <row r="4560" ht="14.25" customHeight="1">
      <c r="A4560" s="9"/>
      <c r="B4560" s="9"/>
      <c r="C4560" s="200" t="s">
        <v>3186</v>
      </c>
      <c r="D4560" s="208" t="s">
        <v>390</v>
      </c>
      <c r="E4560" s="9" t="s">
        <v>3185</v>
      </c>
      <c r="F4560" s="15" t="s">
        <v>529</v>
      </c>
      <c r="H4560" s="9"/>
    </row>
    <row r="4561" ht="14.25" customHeight="1">
      <c r="A4561" s="9"/>
      <c r="B4561" s="9"/>
      <c r="C4561" s="200" t="s">
        <v>3186</v>
      </c>
      <c r="D4561" s="208" t="s">
        <v>390</v>
      </c>
      <c r="E4561" s="9" t="s">
        <v>3185</v>
      </c>
      <c r="F4561" s="15" t="s">
        <v>282</v>
      </c>
      <c r="H4561" s="9"/>
    </row>
    <row r="4562" ht="14.25" customHeight="1">
      <c r="A4562" s="9"/>
      <c r="B4562" s="9"/>
      <c r="C4562" s="200" t="s">
        <v>3186</v>
      </c>
      <c r="D4562" s="208" t="s">
        <v>390</v>
      </c>
      <c r="E4562" s="9" t="s">
        <v>3185</v>
      </c>
      <c r="F4562" s="15" t="s">
        <v>321</v>
      </c>
      <c r="H4562" s="9"/>
    </row>
    <row r="4563" ht="14.25" customHeight="1">
      <c r="A4563" s="9"/>
      <c r="B4563" s="9"/>
      <c r="C4563" s="200" t="s">
        <v>3186</v>
      </c>
      <c r="D4563" s="208" t="s">
        <v>390</v>
      </c>
      <c r="E4563" s="9" t="s">
        <v>3185</v>
      </c>
      <c r="F4563" s="15" t="s">
        <v>479</v>
      </c>
      <c r="H4563" s="9"/>
    </row>
    <row r="4564" ht="14.25" customHeight="1">
      <c r="A4564" s="9"/>
      <c r="B4564" s="9"/>
      <c r="C4564" s="200" t="s">
        <v>3186</v>
      </c>
      <c r="D4564" s="208" t="s">
        <v>390</v>
      </c>
      <c r="E4564" s="9" t="s">
        <v>3185</v>
      </c>
      <c r="F4564" s="15" t="s">
        <v>517</v>
      </c>
      <c r="H4564" s="9"/>
    </row>
    <row r="4565" ht="14.25" customHeight="1">
      <c r="A4565" s="9"/>
      <c r="B4565" s="9"/>
      <c r="C4565" s="200" t="s">
        <v>3186</v>
      </c>
      <c r="D4565" s="208" t="s">
        <v>390</v>
      </c>
      <c r="E4565" s="9" t="s">
        <v>3185</v>
      </c>
      <c r="F4565" s="15" t="s">
        <v>2309</v>
      </c>
      <c r="H4565" s="9"/>
    </row>
    <row r="4566" ht="14.25" customHeight="1">
      <c r="A4566" s="9"/>
      <c r="B4566" s="9"/>
      <c r="C4566" s="200" t="s">
        <v>3186</v>
      </c>
      <c r="D4566" s="208" t="s">
        <v>390</v>
      </c>
      <c r="E4566" s="9" t="s">
        <v>3185</v>
      </c>
      <c r="F4566" s="15" t="s">
        <v>507</v>
      </c>
      <c r="H4566" s="9"/>
    </row>
    <row r="4567" ht="14.25" customHeight="1">
      <c r="A4567" s="9"/>
      <c r="B4567" s="9"/>
      <c r="C4567" s="200" t="s">
        <v>3186</v>
      </c>
      <c r="D4567" s="208" t="s">
        <v>390</v>
      </c>
      <c r="E4567" s="9" t="s">
        <v>3185</v>
      </c>
      <c r="F4567" s="15" t="s">
        <v>336</v>
      </c>
      <c r="H4567" s="9"/>
    </row>
    <row r="4568" ht="14.25" customHeight="1">
      <c r="A4568" s="9"/>
      <c r="B4568" s="9"/>
      <c r="C4568" s="200" t="s">
        <v>3186</v>
      </c>
      <c r="D4568" s="208" t="s">
        <v>390</v>
      </c>
      <c r="E4568" s="9" t="s">
        <v>3185</v>
      </c>
      <c r="F4568" s="15" t="s">
        <v>235</v>
      </c>
      <c r="H4568" s="9"/>
    </row>
    <row r="4569" ht="14.25" customHeight="1">
      <c r="A4569" s="9"/>
      <c r="B4569" s="9"/>
      <c r="C4569" s="200" t="s">
        <v>3186</v>
      </c>
      <c r="D4569" s="208" t="s">
        <v>390</v>
      </c>
      <c r="E4569" s="9" t="s">
        <v>3185</v>
      </c>
      <c r="F4569" s="15" t="s">
        <v>2957</v>
      </c>
      <c r="H4569" s="9"/>
    </row>
    <row r="4570" ht="14.25" customHeight="1">
      <c r="A4570" s="9"/>
      <c r="B4570" s="9"/>
      <c r="C4570" s="200" t="s">
        <v>3186</v>
      </c>
      <c r="D4570" s="208" t="s">
        <v>390</v>
      </c>
      <c r="E4570" s="9" t="s">
        <v>3185</v>
      </c>
      <c r="F4570" s="15" t="s">
        <v>264</v>
      </c>
      <c r="H4570" s="9"/>
    </row>
    <row r="4571" ht="14.25" customHeight="1">
      <c r="A4571" s="9"/>
      <c r="B4571" s="9"/>
      <c r="C4571" s="200" t="s">
        <v>663</v>
      </c>
      <c r="D4571" s="208" t="s">
        <v>3187</v>
      </c>
      <c r="E4571" s="9" t="s">
        <v>3185</v>
      </c>
      <c r="F4571" s="209" t="s">
        <v>474</v>
      </c>
      <c r="H4571" s="9"/>
    </row>
    <row r="4572" ht="14.25" customHeight="1">
      <c r="A4572" s="9"/>
      <c r="B4572" s="9"/>
      <c r="C4572" s="200" t="s">
        <v>663</v>
      </c>
      <c r="D4572" s="208" t="s">
        <v>3187</v>
      </c>
      <c r="E4572" s="9" t="s">
        <v>3185</v>
      </c>
      <c r="F4572" s="209" t="s">
        <v>284</v>
      </c>
      <c r="H4572" s="9"/>
    </row>
    <row r="4573" ht="14.25" customHeight="1">
      <c r="A4573" s="9"/>
      <c r="B4573" s="9"/>
      <c r="C4573" s="200" t="s">
        <v>663</v>
      </c>
      <c r="D4573" s="208" t="s">
        <v>3187</v>
      </c>
      <c r="E4573" s="9" t="s">
        <v>3185</v>
      </c>
      <c r="F4573" s="209" t="s">
        <v>493</v>
      </c>
      <c r="H4573" s="9"/>
    </row>
    <row r="4574" ht="14.25" customHeight="1">
      <c r="A4574" s="9"/>
      <c r="B4574" s="9"/>
      <c r="C4574" s="200" t="s">
        <v>663</v>
      </c>
      <c r="D4574" s="208" t="s">
        <v>3187</v>
      </c>
      <c r="E4574" s="9" t="s">
        <v>3185</v>
      </c>
      <c r="F4574" s="209" t="s">
        <v>450</v>
      </c>
      <c r="H4574" s="9"/>
    </row>
    <row r="4575" ht="14.25" customHeight="1">
      <c r="A4575" s="9"/>
      <c r="B4575" s="9"/>
      <c r="C4575" s="200" t="s">
        <v>663</v>
      </c>
      <c r="D4575" s="208" t="s">
        <v>3187</v>
      </c>
      <c r="E4575" s="9" t="s">
        <v>3185</v>
      </c>
      <c r="F4575" s="209" t="s">
        <v>395</v>
      </c>
      <c r="H4575" s="9"/>
    </row>
    <row r="4576" ht="14.25" customHeight="1">
      <c r="A4576" s="9"/>
      <c r="B4576" s="9"/>
      <c r="C4576" s="200" t="s">
        <v>663</v>
      </c>
      <c r="D4576" s="208" t="s">
        <v>3187</v>
      </c>
      <c r="E4576" s="9" t="s">
        <v>3185</v>
      </c>
      <c r="F4576" s="209" t="s">
        <v>276</v>
      </c>
      <c r="H4576" s="9"/>
    </row>
    <row r="4577" ht="14.25" customHeight="1">
      <c r="A4577" s="9"/>
      <c r="B4577" s="9"/>
      <c r="C4577" s="200" t="s">
        <v>663</v>
      </c>
      <c r="D4577" s="208" t="s">
        <v>3187</v>
      </c>
      <c r="E4577" s="9" t="s">
        <v>3185</v>
      </c>
      <c r="F4577" s="209" t="s">
        <v>431</v>
      </c>
      <c r="H4577" s="9"/>
    </row>
    <row r="4578" ht="14.25" customHeight="1">
      <c r="A4578" s="9"/>
      <c r="B4578" s="9"/>
      <c r="C4578" s="200" t="s">
        <v>663</v>
      </c>
      <c r="D4578" s="208" t="s">
        <v>3187</v>
      </c>
      <c r="E4578" s="9" t="s">
        <v>3185</v>
      </c>
      <c r="F4578" s="209" t="s">
        <v>1272</v>
      </c>
      <c r="H4578" s="9"/>
    </row>
    <row r="4579" ht="14.25" customHeight="1">
      <c r="A4579" s="9"/>
      <c r="B4579" s="9"/>
      <c r="C4579" s="200" t="s">
        <v>663</v>
      </c>
      <c r="D4579" s="208" t="s">
        <v>3187</v>
      </c>
      <c r="E4579" s="9" t="s">
        <v>3185</v>
      </c>
      <c r="F4579" s="209" t="s">
        <v>420</v>
      </c>
      <c r="H4579" s="9"/>
    </row>
    <row r="4580" ht="14.25" customHeight="1">
      <c r="A4580" s="9"/>
      <c r="B4580" s="9"/>
      <c r="C4580" s="200" t="s">
        <v>663</v>
      </c>
      <c r="D4580" s="208" t="s">
        <v>3187</v>
      </c>
      <c r="E4580" s="9" t="s">
        <v>3185</v>
      </c>
      <c r="F4580" s="209" t="s">
        <v>482</v>
      </c>
      <c r="H4580" s="9"/>
    </row>
    <row r="4581" ht="14.25" customHeight="1">
      <c r="A4581" s="9"/>
      <c r="B4581" s="9"/>
      <c r="C4581" s="200" t="s">
        <v>663</v>
      </c>
      <c r="D4581" s="208" t="s">
        <v>3187</v>
      </c>
      <c r="E4581" s="9" t="s">
        <v>3185</v>
      </c>
      <c r="F4581" s="209" t="s">
        <v>136</v>
      </c>
      <c r="H4581" s="9"/>
    </row>
    <row r="4582" ht="14.25" customHeight="1">
      <c r="A4582" s="9"/>
      <c r="B4582" s="9"/>
      <c r="C4582" s="200" t="s">
        <v>663</v>
      </c>
      <c r="D4582" s="208" t="s">
        <v>3187</v>
      </c>
      <c r="E4582" s="9" t="s">
        <v>3185</v>
      </c>
      <c r="F4582" s="209" t="s">
        <v>408</v>
      </c>
      <c r="H4582" s="9"/>
    </row>
    <row r="4583" ht="14.25" customHeight="1">
      <c r="A4583" s="9"/>
      <c r="B4583" s="9"/>
      <c r="C4583" s="200" t="s">
        <v>663</v>
      </c>
      <c r="D4583" s="208" t="s">
        <v>3187</v>
      </c>
      <c r="E4583" s="9" t="s">
        <v>3185</v>
      </c>
      <c r="F4583" s="209" t="s">
        <v>2589</v>
      </c>
      <c r="H4583" s="9"/>
    </row>
    <row r="4584" ht="14.25" customHeight="1">
      <c r="A4584" s="9"/>
      <c r="B4584" s="9"/>
      <c r="C4584" s="200" t="s">
        <v>663</v>
      </c>
      <c r="D4584" s="208" t="s">
        <v>3187</v>
      </c>
      <c r="E4584" s="9" t="s">
        <v>3185</v>
      </c>
      <c r="F4584" s="209" t="s">
        <v>197</v>
      </c>
      <c r="H4584" s="9"/>
    </row>
    <row r="4585" ht="14.25" customHeight="1">
      <c r="A4585" s="9"/>
      <c r="B4585" s="9"/>
      <c r="C4585" s="200" t="s">
        <v>663</v>
      </c>
      <c r="D4585" s="208" t="s">
        <v>3187</v>
      </c>
      <c r="E4585" s="9" t="s">
        <v>3185</v>
      </c>
      <c r="F4585" s="209" t="s">
        <v>172</v>
      </c>
      <c r="H4585" s="9"/>
    </row>
    <row r="4586" ht="14.25" customHeight="1">
      <c r="A4586" s="9"/>
      <c r="B4586" s="9"/>
      <c r="C4586" s="200" t="s">
        <v>663</v>
      </c>
      <c r="D4586" s="208" t="s">
        <v>3187</v>
      </c>
      <c r="E4586" s="9" t="s">
        <v>3185</v>
      </c>
      <c r="F4586" s="209" t="s">
        <v>98</v>
      </c>
      <c r="H4586" s="9"/>
    </row>
    <row r="4587" ht="14.25" customHeight="1">
      <c r="A4587" s="9"/>
      <c r="B4587" s="9"/>
      <c r="C4587" s="200" t="s">
        <v>663</v>
      </c>
      <c r="D4587" s="208" t="s">
        <v>3187</v>
      </c>
      <c r="E4587" s="9" t="s">
        <v>3185</v>
      </c>
      <c r="F4587" s="209" t="s">
        <v>341</v>
      </c>
      <c r="H4587" s="9"/>
    </row>
    <row r="4588" ht="14.25" customHeight="1">
      <c r="A4588" s="9"/>
      <c r="B4588" s="9"/>
      <c r="C4588" s="200" t="s">
        <v>663</v>
      </c>
      <c r="D4588" s="208" t="s">
        <v>3187</v>
      </c>
      <c r="E4588" s="9" t="s">
        <v>3185</v>
      </c>
      <c r="F4588" s="209" t="s">
        <v>367</v>
      </c>
      <c r="H4588" s="9"/>
    </row>
    <row r="4589" ht="14.25" customHeight="1">
      <c r="A4589" s="9"/>
      <c r="B4589" s="9"/>
      <c r="C4589" s="200" t="s">
        <v>663</v>
      </c>
      <c r="D4589" s="208" t="s">
        <v>3187</v>
      </c>
      <c r="E4589" s="9" t="s">
        <v>3185</v>
      </c>
      <c r="F4589" s="209" t="s">
        <v>529</v>
      </c>
      <c r="H4589" s="9"/>
    </row>
    <row r="4590" ht="14.25" customHeight="1">
      <c r="A4590" s="9"/>
      <c r="B4590" s="9"/>
      <c r="C4590" s="200" t="s">
        <v>663</v>
      </c>
      <c r="D4590" s="208" t="s">
        <v>3187</v>
      </c>
      <c r="E4590" s="9" t="s">
        <v>3185</v>
      </c>
      <c r="F4590" s="209" t="s">
        <v>282</v>
      </c>
      <c r="H4590" s="9"/>
    </row>
    <row r="4591" ht="14.25" customHeight="1">
      <c r="A4591" s="9"/>
      <c r="B4591" s="9"/>
      <c r="C4591" s="200" t="s">
        <v>663</v>
      </c>
      <c r="D4591" s="208" t="s">
        <v>3187</v>
      </c>
      <c r="E4591" s="9" t="s">
        <v>3185</v>
      </c>
      <c r="F4591" s="209" t="s">
        <v>321</v>
      </c>
      <c r="H4591" s="9"/>
    </row>
    <row r="4592" ht="14.25" customHeight="1">
      <c r="A4592" s="9"/>
      <c r="B4592" s="9"/>
      <c r="C4592" s="200" t="s">
        <v>663</v>
      </c>
      <c r="D4592" s="208" t="s">
        <v>3187</v>
      </c>
      <c r="E4592" s="9" t="s">
        <v>3185</v>
      </c>
      <c r="F4592" s="209" t="s">
        <v>272</v>
      </c>
      <c r="H4592" s="9"/>
    </row>
    <row r="4593" ht="14.25" customHeight="1">
      <c r="A4593" s="9"/>
      <c r="B4593" s="9"/>
      <c r="C4593" s="200" t="s">
        <v>663</v>
      </c>
      <c r="D4593" s="208" t="s">
        <v>3187</v>
      </c>
      <c r="E4593" s="9" t="s">
        <v>3185</v>
      </c>
      <c r="F4593" s="209" t="s">
        <v>517</v>
      </c>
      <c r="H4593" s="9"/>
    </row>
    <row r="4594" ht="14.25" customHeight="1">
      <c r="A4594" s="9"/>
      <c r="B4594" s="9"/>
      <c r="C4594" s="200" t="s">
        <v>663</v>
      </c>
      <c r="D4594" s="208" t="s">
        <v>3187</v>
      </c>
      <c r="E4594" s="9" t="s">
        <v>3185</v>
      </c>
      <c r="F4594" s="209" t="s">
        <v>2593</v>
      </c>
      <c r="H4594" s="9"/>
    </row>
    <row r="4595" ht="14.25" customHeight="1">
      <c r="A4595" s="9"/>
      <c r="B4595" s="9"/>
      <c r="C4595" s="200" t="s">
        <v>663</v>
      </c>
      <c r="D4595" s="208" t="s">
        <v>3187</v>
      </c>
      <c r="E4595" s="9" t="s">
        <v>3185</v>
      </c>
      <c r="F4595" s="209" t="s">
        <v>507</v>
      </c>
      <c r="H4595" s="9"/>
    </row>
    <row r="4596" ht="14.25" customHeight="1">
      <c r="A4596" s="9"/>
      <c r="B4596" s="9"/>
      <c r="C4596" s="200" t="s">
        <v>663</v>
      </c>
      <c r="D4596" s="208" t="s">
        <v>3187</v>
      </c>
      <c r="E4596" s="9" t="s">
        <v>3185</v>
      </c>
      <c r="F4596" s="209" t="s">
        <v>336</v>
      </c>
      <c r="H4596" s="9"/>
    </row>
    <row r="4597" ht="14.25" customHeight="1">
      <c r="A4597" s="9"/>
      <c r="B4597" s="9"/>
      <c r="C4597" s="200" t="s">
        <v>663</v>
      </c>
      <c r="D4597" s="208" t="s">
        <v>3187</v>
      </c>
      <c r="E4597" s="9" t="s">
        <v>3185</v>
      </c>
      <c r="F4597" s="209" t="s">
        <v>235</v>
      </c>
      <c r="H4597" s="9"/>
    </row>
    <row r="4598" ht="14.25" customHeight="1">
      <c r="A4598" s="9"/>
      <c r="B4598" s="9"/>
      <c r="C4598" s="200" t="s">
        <v>663</v>
      </c>
      <c r="D4598" s="208" t="s">
        <v>3187</v>
      </c>
      <c r="E4598" s="9" t="s">
        <v>3185</v>
      </c>
      <c r="F4598" s="209" t="s">
        <v>327</v>
      </c>
      <c r="H4598" s="9"/>
    </row>
    <row r="4599" ht="14.25" customHeight="1">
      <c r="A4599" s="9"/>
      <c r="B4599" s="9"/>
      <c r="C4599" s="200" t="s">
        <v>663</v>
      </c>
      <c r="D4599" s="208" t="s">
        <v>3187</v>
      </c>
      <c r="E4599" s="9" t="s">
        <v>3185</v>
      </c>
      <c r="F4599" s="209" t="s">
        <v>264</v>
      </c>
      <c r="H4599" s="9"/>
    </row>
    <row r="4600" ht="14.25" customHeight="1">
      <c r="A4600" s="9"/>
      <c r="B4600" s="9"/>
      <c r="C4600" s="200" t="s">
        <v>663</v>
      </c>
      <c r="D4600" s="208" t="s">
        <v>3188</v>
      </c>
      <c r="E4600" s="9" t="s">
        <v>3185</v>
      </c>
      <c r="F4600" s="209" t="s">
        <v>474</v>
      </c>
      <c r="H4600" s="9"/>
    </row>
    <row r="4601" ht="14.25" customHeight="1">
      <c r="A4601" s="9"/>
      <c r="B4601" s="9"/>
      <c r="C4601" s="200" t="s">
        <v>663</v>
      </c>
      <c r="D4601" s="208" t="s">
        <v>3188</v>
      </c>
      <c r="E4601" s="9" t="s">
        <v>3185</v>
      </c>
      <c r="F4601" s="209" t="s">
        <v>284</v>
      </c>
      <c r="H4601" s="9"/>
    </row>
    <row r="4602" ht="14.25" customHeight="1">
      <c r="A4602" s="9"/>
      <c r="B4602" s="9"/>
      <c r="C4602" s="200" t="s">
        <v>663</v>
      </c>
      <c r="D4602" s="208" t="s">
        <v>3188</v>
      </c>
      <c r="E4602" s="9" t="s">
        <v>3185</v>
      </c>
      <c r="F4602" s="209" t="s">
        <v>493</v>
      </c>
      <c r="H4602" s="9"/>
    </row>
    <row r="4603" ht="14.25" customHeight="1">
      <c r="A4603" s="9"/>
      <c r="B4603" s="9"/>
      <c r="C4603" s="200" t="s">
        <v>663</v>
      </c>
      <c r="D4603" s="208" t="s">
        <v>3188</v>
      </c>
      <c r="E4603" s="9" t="s">
        <v>3185</v>
      </c>
      <c r="F4603" s="209" t="s">
        <v>450</v>
      </c>
      <c r="H4603" s="9"/>
    </row>
    <row r="4604" ht="14.25" customHeight="1">
      <c r="A4604" s="9"/>
      <c r="B4604" s="9"/>
      <c r="C4604" s="200" t="s">
        <v>663</v>
      </c>
      <c r="D4604" s="208" t="s">
        <v>3188</v>
      </c>
      <c r="E4604" s="9" t="s">
        <v>3185</v>
      </c>
      <c r="F4604" s="209" t="s">
        <v>395</v>
      </c>
      <c r="H4604" s="9"/>
    </row>
    <row r="4605" ht="14.25" customHeight="1">
      <c r="A4605" s="9"/>
      <c r="B4605" s="9"/>
      <c r="C4605" s="200" t="s">
        <v>663</v>
      </c>
      <c r="D4605" s="208" t="s">
        <v>3188</v>
      </c>
      <c r="E4605" s="9" t="s">
        <v>3185</v>
      </c>
      <c r="F4605" s="209" t="s">
        <v>276</v>
      </c>
      <c r="H4605" s="9"/>
    </row>
    <row r="4606" ht="14.25" customHeight="1">
      <c r="A4606" s="9"/>
      <c r="B4606" s="9"/>
      <c r="C4606" s="200" t="s">
        <v>663</v>
      </c>
      <c r="D4606" s="208" t="s">
        <v>3188</v>
      </c>
      <c r="E4606" s="9" t="s">
        <v>3185</v>
      </c>
      <c r="F4606" s="209" t="s">
        <v>431</v>
      </c>
      <c r="H4606" s="9"/>
    </row>
    <row r="4607" ht="14.25" customHeight="1">
      <c r="A4607" s="9"/>
      <c r="B4607" s="9"/>
      <c r="C4607" s="200" t="s">
        <v>663</v>
      </c>
      <c r="D4607" s="208" t="s">
        <v>3188</v>
      </c>
      <c r="E4607" s="9" t="s">
        <v>3185</v>
      </c>
      <c r="F4607" s="209" t="s">
        <v>1272</v>
      </c>
      <c r="H4607" s="9"/>
    </row>
    <row r="4608" ht="14.25" customHeight="1">
      <c r="A4608" s="9"/>
      <c r="B4608" s="9"/>
      <c r="C4608" s="200" t="s">
        <v>663</v>
      </c>
      <c r="D4608" s="208" t="s">
        <v>3188</v>
      </c>
      <c r="E4608" s="9" t="s">
        <v>3185</v>
      </c>
      <c r="F4608" s="209" t="s">
        <v>420</v>
      </c>
      <c r="H4608" s="9"/>
    </row>
    <row r="4609" ht="14.25" customHeight="1">
      <c r="A4609" s="9"/>
      <c r="B4609" s="9"/>
      <c r="C4609" s="200" t="s">
        <v>663</v>
      </c>
      <c r="D4609" s="208" t="s">
        <v>3188</v>
      </c>
      <c r="E4609" s="9" t="s">
        <v>3185</v>
      </c>
      <c r="F4609" s="209" t="s">
        <v>482</v>
      </c>
      <c r="H4609" s="9"/>
    </row>
    <row r="4610" ht="14.25" customHeight="1">
      <c r="A4610" s="9"/>
      <c r="B4610" s="9"/>
      <c r="C4610" s="200" t="s">
        <v>663</v>
      </c>
      <c r="D4610" s="208" t="s">
        <v>3188</v>
      </c>
      <c r="E4610" s="9" t="s">
        <v>3185</v>
      </c>
      <c r="F4610" s="209" t="s">
        <v>136</v>
      </c>
      <c r="H4610" s="9"/>
    </row>
    <row r="4611" ht="14.25" customHeight="1">
      <c r="A4611" s="9"/>
      <c r="B4611" s="9"/>
      <c r="C4611" s="200" t="s">
        <v>663</v>
      </c>
      <c r="D4611" s="208" t="s">
        <v>3188</v>
      </c>
      <c r="E4611" s="9" t="s">
        <v>3185</v>
      </c>
      <c r="F4611" s="209" t="s">
        <v>408</v>
      </c>
      <c r="H4611" s="9"/>
    </row>
    <row r="4612" ht="14.25" customHeight="1">
      <c r="A4612" s="9"/>
      <c r="B4612" s="9"/>
      <c r="C4612" s="200" t="s">
        <v>663</v>
      </c>
      <c r="D4612" s="208" t="s">
        <v>3188</v>
      </c>
      <c r="E4612" s="9" t="s">
        <v>3185</v>
      </c>
      <c r="F4612" s="209" t="s">
        <v>2589</v>
      </c>
      <c r="H4612" s="9"/>
    </row>
    <row r="4613" ht="14.25" customHeight="1">
      <c r="A4613" s="9"/>
      <c r="B4613" s="9"/>
      <c r="C4613" s="200" t="s">
        <v>663</v>
      </c>
      <c r="D4613" s="208" t="s">
        <v>3188</v>
      </c>
      <c r="E4613" s="9" t="s">
        <v>3185</v>
      </c>
      <c r="F4613" s="209" t="s">
        <v>197</v>
      </c>
      <c r="H4613" s="9"/>
    </row>
    <row r="4614" ht="14.25" customHeight="1">
      <c r="A4614" s="9"/>
      <c r="B4614" s="9"/>
      <c r="C4614" s="200" t="s">
        <v>663</v>
      </c>
      <c r="D4614" s="208" t="s">
        <v>3188</v>
      </c>
      <c r="E4614" s="9" t="s">
        <v>3185</v>
      </c>
      <c r="F4614" s="209" t="s">
        <v>172</v>
      </c>
      <c r="H4614" s="9"/>
    </row>
    <row r="4615" ht="14.25" customHeight="1">
      <c r="A4615" s="9"/>
      <c r="B4615" s="9"/>
      <c r="C4615" s="200" t="s">
        <v>663</v>
      </c>
      <c r="D4615" s="208" t="s">
        <v>3188</v>
      </c>
      <c r="E4615" s="9" t="s">
        <v>3185</v>
      </c>
      <c r="F4615" s="209" t="s">
        <v>98</v>
      </c>
      <c r="H4615" s="9"/>
    </row>
    <row r="4616" ht="14.25" customHeight="1">
      <c r="A4616" s="9"/>
      <c r="B4616" s="9"/>
      <c r="C4616" s="200" t="s">
        <v>663</v>
      </c>
      <c r="D4616" s="208" t="s">
        <v>3188</v>
      </c>
      <c r="E4616" s="9" t="s">
        <v>3185</v>
      </c>
      <c r="F4616" s="209" t="s">
        <v>341</v>
      </c>
      <c r="H4616" s="9"/>
    </row>
    <row r="4617" ht="14.25" customHeight="1">
      <c r="A4617" s="9"/>
      <c r="B4617" s="9"/>
      <c r="C4617" s="200" t="s">
        <v>663</v>
      </c>
      <c r="D4617" s="208" t="s">
        <v>3188</v>
      </c>
      <c r="E4617" s="9" t="s">
        <v>3185</v>
      </c>
      <c r="F4617" s="209" t="s">
        <v>367</v>
      </c>
      <c r="H4617" s="9"/>
    </row>
    <row r="4618" ht="14.25" customHeight="1">
      <c r="A4618" s="9"/>
      <c r="B4618" s="9"/>
      <c r="C4618" s="200" t="s">
        <v>663</v>
      </c>
      <c r="D4618" s="208" t="s">
        <v>3188</v>
      </c>
      <c r="E4618" s="9" t="s">
        <v>3185</v>
      </c>
      <c r="F4618" s="209" t="s">
        <v>529</v>
      </c>
      <c r="H4618" s="9"/>
    </row>
    <row r="4619" ht="14.25" customHeight="1">
      <c r="A4619" s="9"/>
      <c r="B4619" s="9"/>
      <c r="C4619" s="200" t="s">
        <v>663</v>
      </c>
      <c r="D4619" s="208" t="s">
        <v>3188</v>
      </c>
      <c r="E4619" s="9" t="s">
        <v>3185</v>
      </c>
      <c r="F4619" s="209" t="s">
        <v>282</v>
      </c>
      <c r="H4619" s="9"/>
    </row>
    <row r="4620" ht="14.25" customHeight="1">
      <c r="A4620" s="9"/>
      <c r="B4620" s="9"/>
      <c r="C4620" s="200" t="s">
        <v>663</v>
      </c>
      <c r="D4620" s="208" t="s">
        <v>3188</v>
      </c>
      <c r="E4620" s="9" t="s">
        <v>3185</v>
      </c>
      <c r="F4620" s="209" t="s">
        <v>321</v>
      </c>
      <c r="H4620" s="9"/>
    </row>
    <row r="4621" ht="14.25" customHeight="1">
      <c r="A4621" s="9"/>
      <c r="B4621" s="9"/>
      <c r="C4621" s="200" t="s">
        <v>663</v>
      </c>
      <c r="D4621" s="208" t="s">
        <v>3188</v>
      </c>
      <c r="E4621" s="9" t="s">
        <v>3185</v>
      </c>
      <c r="F4621" s="209" t="s">
        <v>272</v>
      </c>
      <c r="H4621" s="9"/>
    </row>
    <row r="4622" ht="14.25" customHeight="1">
      <c r="A4622" s="9"/>
      <c r="B4622" s="9"/>
      <c r="C4622" s="200" t="s">
        <v>663</v>
      </c>
      <c r="D4622" s="208" t="s">
        <v>3188</v>
      </c>
      <c r="E4622" s="9" t="s">
        <v>3185</v>
      </c>
      <c r="F4622" s="209" t="s">
        <v>517</v>
      </c>
      <c r="H4622" s="9"/>
    </row>
    <row r="4623" ht="14.25" customHeight="1">
      <c r="A4623" s="9"/>
      <c r="B4623" s="9"/>
      <c r="C4623" s="200" t="s">
        <v>663</v>
      </c>
      <c r="D4623" s="208" t="s">
        <v>3188</v>
      </c>
      <c r="E4623" s="9" t="s">
        <v>3185</v>
      </c>
      <c r="F4623" s="209" t="s">
        <v>2593</v>
      </c>
      <c r="H4623" s="9"/>
    </row>
    <row r="4624" ht="14.25" customHeight="1">
      <c r="A4624" s="9"/>
      <c r="B4624" s="9"/>
      <c r="C4624" s="200" t="s">
        <v>663</v>
      </c>
      <c r="D4624" s="208" t="s">
        <v>3188</v>
      </c>
      <c r="E4624" s="9" t="s">
        <v>3185</v>
      </c>
      <c r="F4624" s="209" t="s">
        <v>507</v>
      </c>
      <c r="H4624" s="9"/>
    </row>
    <row r="4625" ht="14.25" customHeight="1">
      <c r="A4625" s="9"/>
      <c r="B4625" s="9"/>
      <c r="C4625" s="200" t="s">
        <v>663</v>
      </c>
      <c r="D4625" s="208" t="s">
        <v>3188</v>
      </c>
      <c r="E4625" s="9" t="s">
        <v>3185</v>
      </c>
      <c r="F4625" s="209" t="s">
        <v>336</v>
      </c>
      <c r="H4625" s="9"/>
    </row>
    <row r="4626" ht="14.25" customHeight="1">
      <c r="A4626" s="9"/>
      <c r="B4626" s="9"/>
      <c r="C4626" s="200" t="s">
        <v>663</v>
      </c>
      <c r="D4626" s="208" t="s">
        <v>3188</v>
      </c>
      <c r="E4626" s="9" t="s">
        <v>3185</v>
      </c>
      <c r="F4626" s="209" t="s">
        <v>235</v>
      </c>
      <c r="H4626" s="9"/>
    </row>
    <row r="4627" ht="14.25" customHeight="1">
      <c r="A4627" s="9"/>
      <c r="B4627" s="9"/>
      <c r="C4627" s="200" t="s">
        <v>663</v>
      </c>
      <c r="D4627" s="208" t="s">
        <v>3188</v>
      </c>
      <c r="E4627" s="9" t="s">
        <v>3185</v>
      </c>
      <c r="F4627" s="209" t="s">
        <v>327</v>
      </c>
      <c r="H4627" s="9"/>
    </row>
    <row r="4628" ht="14.25" customHeight="1">
      <c r="A4628" s="9"/>
      <c r="B4628" s="9"/>
      <c r="C4628" s="200" t="s">
        <v>663</v>
      </c>
      <c r="D4628" s="208" t="s">
        <v>3188</v>
      </c>
      <c r="E4628" s="9" t="s">
        <v>3185</v>
      </c>
      <c r="F4628" s="209" t="s">
        <v>264</v>
      </c>
      <c r="H4628" s="9"/>
    </row>
    <row r="4629" ht="14.25" customHeight="1">
      <c r="A4629" s="9"/>
      <c r="B4629" s="9"/>
      <c r="C4629" s="200" t="s">
        <v>670</v>
      </c>
      <c r="D4629" s="208" t="s">
        <v>3189</v>
      </c>
      <c r="E4629" s="9" t="s">
        <v>3185</v>
      </c>
      <c r="F4629" s="212" t="s">
        <v>474</v>
      </c>
      <c r="H4629" s="9"/>
    </row>
    <row r="4630" ht="14.25" customHeight="1">
      <c r="A4630" s="9"/>
      <c r="B4630" s="9"/>
      <c r="C4630" s="200" t="s">
        <v>670</v>
      </c>
      <c r="D4630" s="208" t="s">
        <v>3189</v>
      </c>
      <c r="E4630" s="9" t="s">
        <v>3185</v>
      </c>
      <c r="F4630" s="15" t="s">
        <v>284</v>
      </c>
      <c r="H4630" s="9"/>
    </row>
    <row r="4631" ht="14.25" customHeight="1">
      <c r="A4631" s="9"/>
      <c r="B4631" s="9"/>
      <c r="C4631" s="200" t="s">
        <v>670</v>
      </c>
      <c r="D4631" s="208" t="s">
        <v>3189</v>
      </c>
      <c r="E4631" s="9" t="s">
        <v>3185</v>
      </c>
      <c r="F4631" s="15" t="s">
        <v>493</v>
      </c>
      <c r="H4631" s="9"/>
    </row>
    <row r="4632" ht="14.25" customHeight="1">
      <c r="A4632" s="9"/>
      <c r="B4632" s="9"/>
      <c r="C4632" s="200" t="s">
        <v>670</v>
      </c>
      <c r="D4632" s="208" t="s">
        <v>3189</v>
      </c>
      <c r="E4632" s="9" t="s">
        <v>3185</v>
      </c>
      <c r="F4632" s="212" t="s">
        <v>450</v>
      </c>
      <c r="H4632" s="9"/>
    </row>
    <row r="4633" ht="14.25" customHeight="1">
      <c r="A4633" s="9"/>
      <c r="B4633" s="9"/>
      <c r="C4633" s="200" t="s">
        <v>670</v>
      </c>
      <c r="D4633" s="208" t="s">
        <v>3189</v>
      </c>
      <c r="E4633" s="9" t="s">
        <v>3185</v>
      </c>
      <c r="F4633" s="15" t="s">
        <v>2296</v>
      </c>
      <c r="H4633" s="9"/>
    </row>
    <row r="4634" ht="14.25" customHeight="1">
      <c r="A4634" s="9"/>
      <c r="B4634" s="9"/>
      <c r="C4634" s="200" t="s">
        <v>670</v>
      </c>
      <c r="D4634" s="208" t="s">
        <v>3189</v>
      </c>
      <c r="E4634" s="9" t="s">
        <v>3185</v>
      </c>
      <c r="F4634" s="15" t="s">
        <v>276</v>
      </c>
      <c r="H4634" s="9"/>
    </row>
    <row r="4635" ht="14.25" customHeight="1">
      <c r="A4635" s="9"/>
      <c r="B4635" s="9"/>
      <c r="C4635" s="200" t="s">
        <v>670</v>
      </c>
      <c r="D4635" s="208" t="s">
        <v>3189</v>
      </c>
      <c r="E4635" s="9" t="s">
        <v>3185</v>
      </c>
      <c r="F4635" s="15" t="s">
        <v>431</v>
      </c>
      <c r="H4635" s="9"/>
    </row>
    <row r="4636" ht="14.25" customHeight="1">
      <c r="A4636" s="9"/>
      <c r="B4636" s="9"/>
      <c r="C4636" s="200" t="s">
        <v>670</v>
      </c>
      <c r="D4636" s="208" t="s">
        <v>3189</v>
      </c>
      <c r="E4636" s="9" t="s">
        <v>3185</v>
      </c>
      <c r="F4636" s="15" t="s">
        <v>1272</v>
      </c>
      <c r="H4636" s="9"/>
    </row>
    <row r="4637" ht="14.25" customHeight="1">
      <c r="A4637" s="9"/>
      <c r="B4637" s="9"/>
      <c r="C4637" s="200" t="s">
        <v>670</v>
      </c>
      <c r="D4637" s="208" t="s">
        <v>3189</v>
      </c>
      <c r="E4637" s="9" t="s">
        <v>3185</v>
      </c>
      <c r="F4637" s="15" t="s">
        <v>420</v>
      </c>
      <c r="H4637" s="9"/>
    </row>
    <row r="4638" ht="14.25" customHeight="1">
      <c r="A4638" s="9"/>
      <c r="B4638" s="9"/>
      <c r="C4638" s="200" t="s">
        <v>670</v>
      </c>
      <c r="D4638" s="208" t="s">
        <v>3189</v>
      </c>
      <c r="E4638" s="9" t="s">
        <v>3185</v>
      </c>
      <c r="F4638" s="212" t="s">
        <v>482</v>
      </c>
      <c r="H4638" s="9"/>
    </row>
    <row r="4639" ht="14.25" customHeight="1">
      <c r="A4639" s="9"/>
      <c r="B4639" s="9"/>
      <c r="C4639" s="200" t="s">
        <v>670</v>
      </c>
      <c r="D4639" s="208" t="s">
        <v>3189</v>
      </c>
      <c r="E4639" s="9" t="s">
        <v>3185</v>
      </c>
      <c r="F4639" s="15" t="s">
        <v>136</v>
      </c>
      <c r="H4639" s="9"/>
    </row>
    <row r="4640" ht="14.25" customHeight="1">
      <c r="A4640" s="9"/>
      <c r="B4640" s="9"/>
      <c r="C4640" s="200" t="s">
        <v>670</v>
      </c>
      <c r="D4640" s="208" t="s">
        <v>3189</v>
      </c>
      <c r="E4640" s="9" t="s">
        <v>3185</v>
      </c>
      <c r="F4640" s="15" t="s">
        <v>408</v>
      </c>
      <c r="H4640" s="9"/>
    </row>
    <row r="4641" ht="14.25" customHeight="1">
      <c r="A4641" s="9"/>
      <c r="B4641" s="9"/>
      <c r="C4641" s="200" t="s">
        <v>670</v>
      </c>
      <c r="D4641" s="208" t="s">
        <v>3189</v>
      </c>
      <c r="E4641" s="9" t="s">
        <v>3185</v>
      </c>
      <c r="F4641" s="15" t="s">
        <v>2301</v>
      </c>
      <c r="H4641" s="9"/>
    </row>
    <row r="4642" ht="14.25" customHeight="1">
      <c r="A4642" s="9"/>
      <c r="B4642" s="9"/>
      <c r="C4642" s="200" t="s">
        <v>670</v>
      </c>
      <c r="D4642" s="208" t="s">
        <v>3189</v>
      </c>
      <c r="E4642" s="9" t="s">
        <v>3185</v>
      </c>
      <c r="F4642" s="15" t="s">
        <v>197</v>
      </c>
      <c r="H4642" s="9"/>
    </row>
    <row r="4643" ht="14.25" customHeight="1">
      <c r="A4643" s="9"/>
      <c r="B4643" s="9"/>
      <c r="C4643" s="200" t="s">
        <v>670</v>
      </c>
      <c r="D4643" s="208" t="s">
        <v>3189</v>
      </c>
      <c r="E4643" s="9" t="s">
        <v>3185</v>
      </c>
      <c r="F4643" s="15" t="s">
        <v>172</v>
      </c>
      <c r="H4643" s="9"/>
    </row>
    <row r="4644" ht="14.25" customHeight="1">
      <c r="A4644" s="9"/>
      <c r="B4644" s="9"/>
      <c r="C4644" s="200" t="s">
        <v>670</v>
      </c>
      <c r="D4644" s="208" t="s">
        <v>3189</v>
      </c>
      <c r="E4644" s="9" t="s">
        <v>3185</v>
      </c>
      <c r="F4644" s="15" t="s">
        <v>98</v>
      </c>
      <c r="H4644" s="9"/>
    </row>
    <row r="4645" ht="14.25" customHeight="1">
      <c r="A4645" s="9"/>
      <c r="B4645" s="9"/>
      <c r="C4645" s="200" t="s">
        <v>670</v>
      </c>
      <c r="D4645" s="208" t="s">
        <v>3189</v>
      </c>
      <c r="E4645" s="9" t="s">
        <v>3185</v>
      </c>
      <c r="F4645" s="212" t="s">
        <v>341</v>
      </c>
      <c r="H4645" s="9"/>
    </row>
    <row r="4646" ht="14.25" customHeight="1">
      <c r="A4646" s="9"/>
      <c r="B4646" s="9"/>
      <c r="C4646" s="200" t="s">
        <v>670</v>
      </c>
      <c r="D4646" s="208" t="s">
        <v>3189</v>
      </c>
      <c r="E4646" s="9" t="s">
        <v>3185</v>
      </c>
      <c r="F4646" s="15" t="s">
        <v>367</v>
      </c>
      <c r="H4646" s="9"/>
    </row>
    <row r="4647" ht="14.25" customHeight="1">
      <c r="A4647" s="9"/>
      <c r="B4647" s="9"/>
      <c r="C4647" s="200" t="s">
        <v>670</v>
      </c>
      <c r="D4647" s="208" t="s">
        <v>3189</v>
      </c>
      <c r="E4647" s="9" t="s">
        <v>3185</v>
      </c>
      <c r="F4647" s="15" t="s">
        <v>529</v>
      </c>
      <c r="H4647" s="9"/>
    </row>
    <row r="4648" ht="14.25" customHeight="1">
      <c r="A4648" s="9"/>
      <c r="B4648" s="9"/>
      <c r="C4648" s="200" t="s">
        <v>670</v>
      </c>
      <c r="D4648" s="208" t="s">
        <v>3189</v>
      </c>
      <c r="E4648" s="9" t="s">
        <v>3185</v>
      </c>
      <c r="F4648" s="15" t="s">
        <v>282</v>
      </c>
      <c r="H4648" s="9"/>
    </row>
    <row r="4649" ht="14.25" customHeight="1">
      <c r="A4649" s="9"/>
      <c r="B4649" s="9"/>
      <c r="C4649" s="200" t="s">
        <v>670</v>
      </c>
      <c r="D4649" s="208" t="s">
        <v>3189</v>
      </c>
      <c r="E4649" s="9" t="s">
        <v>3185</v>
      </c>
      <c r="F4649" s="15" t="s">
        <v>321</v>
      </c>
      <c r="H4649" s="9"/>
    </row>
    <row r="4650" ht="14.25" customHeight="1">
      <c r="A4650" s="9"/>
      <c r="B4650" s="9"/>
      <c r="C4650" s="200" t="s">
        <v>670</v>
      </c>
      <c r="D4650" s="208" t="s">
        <v>3189</v>
      </c>
      <c r="E4650" s="9" t="s">
        <v>3185</v>
      </c>
      <c r="F4650" s="15" t="s">
        <v>272</v>
      </c>
      <c r="H4650" s="9"/>
    </row>
    <row r="4651" ht="14.25" customHeight="1">
      <c r="A4651" s="9"/>
      <c r="B4651" s="9"/>
      <c r="C4651" s="200" t="s">
        <v>670</v>
      </c>
      <c r="D4651" s="208" t="s">
        <v>3189</v>
      </c>
      <c r="E4651" s="9" t="s">
        <v>3185</v>
      </c>
      <c r="F4651" s="15" t="s">
        <v>517</v>
      </c>
      <c r="H4651" s="9"/>
    </row>
    <row r="4652" ht="14.25" customHeight="1">
      <c r="A4652" s="9"/>
      <c r="B4652" s="9"/>
      <c r="C4652" s="200" t="s">
        <v>670</v>
      </c>
      <c r="D4652" s="208" t="s">
        <v>3189</v>
      </c>
      <c r="E4652" s="9" t="s">
        <v>3185</v>
      </c>
      <c r="F4652" s="15" t="s">
        <v>2309</v>
      </c>
      <c r="H4652" s="9"/>
    </row>
    <row r="4653" ht="14.25" customHeight="1">
      <c r="A4653" s="9"/>
      <c r="B4653" s="9"/>
      <c r="C4653" s="200" t="s">
        <v>670</v>
      </c>
      <c r="D4653" s="208" t="s">
        <v>3189</v>
      </c>
      <c r="E4653" s="9" t="s">
        <v>3185</v>
      </c>
      <c r="F4653" s="212" t="s">
        <v>507</v>
      </c>
      <c r="H4653" s="9"/>
    </row>
    <row r="4654" ht="14.25" customHeight="1">
      <c r="A4654" s="9"/>
      <c r="B4654" s="9"/>
      <c r="C4654" s="200" t="s">
        <v>670</v>
      </c>
      <c r="D4654" s="208" t="s">
        <v>3189</v>
      </c>
      <c r="E4654" s="9" t="s">
        <v>3185</v>
      </c>
      <c r="F4654" s="15" t="s">
        <v>336</v>
      </c>
      <c r="H4654" s="9"/>
    </row>
    <row r="4655" ht="14.25" customHeight="1">
      <c r="A4655" s="9"/>
      <c r="B4655" s="9"/>
      <c r="C4655" s="200" t="s">
        <v>670</v>
      </c>
      <c r="D4655" s="208" t="s">
        <v>3189</v>
      </c>
      <c r="E4655" s="9" t="s">
        <v>3185</v>
      </c>
      <c r="F4655" s="212" t="s">
        <v>235</v>
      </c>
      <c r="H4655" s="9"/>
    </row>
    <row r="4656" ht="14.25" customHeight="1">
      <c r="A4656" s="9"/>
      <c r="B4656" s="9"/>
      <c r="C4656" s="200" t="s">
        <v>670</v>
      </c>
      <c r="D4656" s="208" t="s">
        <v>3189</v>
      </c>
      <c r="E4656" s="9" t="s">
        <v>3185</v>
      </c>
      <c r="F4656" s="15" t="s">
        <v>327</v>
      </c>
      <c r="H4656" s="9"/>
    </row>
    <row r="4657" ht="14.25" customHeight="1">
      <c r="A4657" s="9"/>
      <c r="B4657" s="9"/>
      <c r="C4657" s="200" t="s">
        <v>670</v>
      </c>
      <c r="D4657" s="208" t="s">
        <v>3189</v>
      </c>
      <c r="E4657" s="9" t="s">
        <v>3185</v>
      </c>
      <c r="F4657" s="15" t="s">
        <v>264</v>
      </c>
      <c r="H4657" s="9"/>
    </row>
    <row r="4658" ht="14.25" customHeight="1">
      <c r="A4658" s="9"/>
      <c r="B4658" s="9"/>
      <c r="C4658" s="200" t="s">
        <v>670</v>
      </c>
      <c r="D4658" s="208" t="s">
        <v>3190</v>
      </c>
      <c r="E4658" s="9" t="s">
        <v>3185</v>
      </c>
      <c r="F4658" s="212" t="s">
        <v>474</v>
      </c>
      <c r="H4658" s="9"/>
    </row>
    <row r="4659" ht="14.25" customHeight="1">
      <c r="A4659" s="9"/>
      <c r="B4659" s="9"/>
      <c r="C4659" s="200" t="s">
        <v>670</v>
      </c>
      <c r="D4659" s="208" t="s">
        <v>3190</v>
      </c>
      <c r="E4659" s="9" t="s">
        <v>3185</v>
      </c>
      <c r="F4659" s="15" t="s">
        <v>284</v>
      </c>
      <c r="H4659" s="9"/>
    </row>
    <row r="4660" ht="14.25" customHeight="1">
      <c r="A4660" s="9"/>
      <c r="B4660" s="9"/>
      <c r="C4660" s="200" t="s">
        <v>670</v>
      </c>
      <c r="D4660" s="208" t="s">
        <v>3190</v>
      </c>
      <c r="E4660" s="9" t="s">
        <v>3185</v>
      </c>
      <c r="F4660" s="15" t="s">
        <v>493</v>
      </c>
      <c r="H4660" s="9"/>
    </row>
    <row r="4661" ht="14.25" customHeight="1">
      <c r="A4661" s="9"/>
      <c r="B4661" s="9"/>
      <c r="C4661" s="200" t="s">
        <v>670</v>
      </c>
      <c r="D4661" s="208" t="s">
        <v>3190</v>
      </c>
      <c r="E4661" s="9" t="s">
        <v>3185</v>
      </c>
      <c r="F4661" s="212" t="s">
        <v>450</v>
      </c>
      <c r="H4661" s="9"/>
    </row>
    <row r="4662" ht="14.25" customHeight="1">
      <c r="A4662" s="9"/>
      <c r="B4662" s="9"/>
      <c r="C4662" s="200" t="s">
        <v>670</v>
      </c>
      <c r="D4662" s="208" t="s">
        <v>3190</v>
      </c>
      <c r="E4662" s="9" t="s">
        <v>3185</v>
      </c>
      <c r="F4662" s="15" t="s">
        <v>2296</v>
      </c>
      <c r="H4662" s="9"/>
    </row>
    <row r="4663" ht="14.25" customHeight="1">
      <c r="A4663" s="9"/>
      <c r="B4663" s="9"/>
      <c r="C4663" s="200" t="s">
        <v>670</v>
      </c>
      <c r="D4663" s="208" t="s">
        <v>3190</v>
      </c>
      <c r="E4663" s="9" t="s">
        <v>3185</v>
      </c>
      <c r="F4663" s="15" t="s">
        <v>276</v>
      </c>
      <c r="H4663" s="9"/>
    </row>
    <row r="4664" ht="14.25" customHeight="1">
      <c r="A4664" s="9"/>
      <c r="B4664" s="9"/>
      <c r="C4664" s="200" t="s">
        <v>670</v>
      </c>
      <c r="D4664" s="208" t="s">
        <v>3190</v>
      </c>
      <c r="E4664" s="9" t="s">
        <v>3185</v>
      </c>
      <c r="F4664" s="15" t="s">
        <v>431</v>
      </c>
      <c r="H4664" s="9"/>
    </row>
    <row r="4665" ht="14.25" customHeight="1">
      <c r="A4665" s="9"/>
      <c r="B4665" s="9"/>
      <c r="C4665" s="200" t="s">
        <v>670</v>
      </c>
      <c r="D4665" s="208" t="s">
        <v>3190</v>
      </c>
      <c r="E4665" s="9" t="s">
        <v>3185</v>
      </c>
      <c r="F4665" s="15" t="s">
        <v>1272</v>
      </c>
      <c r="H4665" s="9"/>
    </row>
    <row r="4666" ht="14.25" customHeight="1">
      <c r="A4666" s="9"/>
      <c r="B4666" s="9"/>
      <c r="C4666" s="200" t="s">
        <v>670</v>
      </c>
      <c r="D4666" s="208" t="s">
        <v>3190</v>
      </c>
      <c r="E4666" s="9" t="s">
        <v>3185</v>
      </c>
      <c r="F4666" s="15" t="s">
        <v>420</v>
      </c>
      <c r="H4666" s="9"/>
    </row>
    <row r="4667" ht="14.25" customHeight="1">
      <c r="A4667" s="9"/>
      <c r="B4667" s="9"/>
      <c r="C4667" s="200" t="s">
        <v>670</v>
      </c>
      <c r="D4667" s="208" t="s">
        <v>3190</v>
      </c>
      <c r="E4667" s="9" t="s">
        <v>3185</v>
      </c>
      <c r="F4667" s="212" t="s">
        <v>482</v>
      </c>
      <c r="H4667" s="9"/>
    </row>
    <row r="4668" ht="14.25" customHeight="1">
      <c r="A4668" s="9"/>
      <c r="B4668" s="9"/>
      <c r="C4668" s="200" t="s">
        <v>670</v>
      </c>
      <c r="D4668" s="208" t="s">
        <v>3190</v>
      </c>
      <c r="E4668" s="9" t="s">
        <v>3185</v>
      </c>
      <c r="F4668" s="15" t="s">
        <v>136</v>
      </c>
      <c r="H4668" s="9"/>
    </row>
    <row r="4669" ht="14.25" customHeight="1">
      <c r="A4669" s="9"/>
      <c r="B4669" s="9"/>
      <c r="C4669" s="200" t="s">
        <v>670</v>
      </c>
      <c r="D4669" s="208" t="s">
        <v>3190</v>
      </c>
      <c r="E4669" s="9" t="s">
        <v>3185</v>
      </c>
      <c r="F4669" s="15" t="s">
        <v>408</v>
      </c>
      <c r="H4669" s="9"/>
    </row>
    <row r="4670" ht="14.25" customHeight="1">
      <c r="A4670" s="9"/>
      <c r="B4670" s="9"/>
      <c r="C4670" s="200" t="s">
        <v>670</v>
      </c>
      <c r="D4670" s="208" t="s">
        <v>3190</v>
      </c>
      <c r="E4670" s="9" t="s">
        <v>3185</v>
      </c>
      <c r="F4670" s="15" t="s">
        <v>2301</v>
      </c>
      <c r="H4670" s="9"/>
    </row>
    <row r="4671" ht="14.25" customHeight="1">
      <c r="A4671" s="9"/>
      <c r="B4671" s="9"/>
      <c r="C4671" s="200" t="s">
        <v>670</v>
      </c>
      <c r="D4671" s="208" t="s">
        <v>3190</v>
      </c>
      <c r="E4671" s="9" t="s">
        <v>3185</v>
      </c>
      <c r="F4671" s="15" t="s">
        <v>197</v>
      </c>
      <c r="H4671" s="9"/>
    </row>
    <row r="4672" ht="14.25" customHeight="1">
      <c r="A4672" s="9"/>
      <c r="B4672" s="9"/>
      <c r="C4672" s="200" t="s">
        <v>670</v>
      </c>
      <c r="D4672" s="208" t="s">
        <v>3190</v>
      </c>
      <c r="E4672" s="9" t="s">
        <v>3185</v>
      </c>
      <c r="F4672" s="15" t="s">
        <v>172</v>
      </c>
      <c r="H4672" s="9"/>
    </row>
    <row r="4673" ht="14.25" customHeight="1">
      <c r="A4673" s="9"/>
      <c r="B4673" s="9"/>
      <c r="C4673" s="200" t="s">
        <v>670</v>
      </c>
      <c r="D4673" s="208" t="s">
        <v>3190</v>
      </c>
      <c r="E4673" s="9" t="s">
        <v>3185</v>
      </c>
      <c r="F4673" s="15" t="s">
        <v>98</v>
      </c>
      <c r="H4673" s="9"/>
    </row>
    <row r="4674" ht="14.25" customHeight="1">
      <c r="A4674" s="9"/>
      <c r="B4674" s="9"/>
      <c r="C4674" s="200" t="s">
        <v>670</v>
      </c>
      <c r="D4674" s="208" t="s">
        <v>3190</v>
      </c>
      <c r="E4674" s="9" t="s">
        <v>3185</v>
      </c>
      <c r="F4674" s="212" t="s">
        <v>341</v>
      </c>
      <c r="H4674" s="9"/>
    </row>
    <row r="4675" ht="14.25" customHeight="1">
      <c r="A4675" s="9"/>
      <c r="B4675" s="9"/>
      <c r="C4675" s="200" t="s">
        <v>670</v>
      </c>
      <c r="D4675" s="208" t="s">
        <v>3190</v>
      </c>
      <c r="E4675" s="9" t="s">
        <v>3185</v>
      </c>
      <c r="F4675" s="15" t="s">
        <v>367</v>
      </c>
      <c r="H4675" s="9"/>
    </row>
    <row r="4676" ht="14.25" customHeight="1">
      <c r="A4676" s="9"/>
      <c r="B4676" s="9"/>
      <c r="C4676" s="200" t="s">
        <v>670</v>
      </c>
      <c r="D4676" s="208" t="s">
        <v>3190</v>
      </c>
      <c r="E4676" s="9" t="s">
        <v>3185</v>
      </c>
      <c r="F4676" s="15" t="s">
        <v>529</v>
      </c>
      <c r="H4676" s="9"/>
    </row>
    <row r="4677" ht="14.25" customHeight="1">
      <c r="A4677" s="9"/>
      <c r="B4677" s="9"/>
      <c r="C4677" s="200" t="s">
        <v>670</v>
      </c>
      <c r="D4677" s="208" t="s">
        <v>3190</v>
      </c>
      <c r="E4677" s="9" t="s">
        <v>3185</v>
      </c>
      <c r="F4677" s="15" t="s">
        <v>282</v>
      </c>
      <c r="H4677" s="9"/>
    </row>
    <row r="4678" ht="14.25" customHeight="1">
      <c r="A4678" s="9"/>
      <c r="B4678" s="9"/>
      <c r="C4678" s="200" t="s">
        <v>670</v>
      </c>
      <c r="D4678" s="208" t="s">
        <v>3190</v>
      </c>
      <c r="E4678" s="9" t="s">
        <v>3185</v>
      </c>
      <c r="F4678" s="15" t="s">
        <v>321</v>
      </c>
      <c r="H4678" s="9"/>
    </row>
    <row r="4679" ht="14.25" customHeight="1">
      <c r="A4679" s="9"/>
      <c r="B4679" s="9"/>
      <c r="C4679" s="200" t="s">
        <v>670</v>
      </c>
      <c r="D4679" s="208" t="s">
        <v>3190</v>
      </c>
      <c r="E4679" s="9" t="s">
        <v>3185</v>
      </c>
      <c r="F4679" s="15" t="s">
        <v>272</v>
      </c>
      <c r="H4679" s="9"/>
    </row>
    <row r="4680" ht="14.25" customHeight="1">
      <c r="A4680" s="9"/>
      <c r="B4680" s="9"/>
      <c r="C4680" s="200" t="s">
        <v>670</v>
      </c>
      <c r="D4680" s="208" t="s">
        <v>3190</v>
      </c>
      <c r="E4680" s="9" t="s">
        <v>3185</v>
      </c>
      <c r="F4680" s="15" t="s">
        <v>517</v>
      </c>
      <c r="H4680" s="9"/>
    </row>
    <row r="4681" ht="14.25" customHeight="1">
      <c r="A4681" s="9"/>
      <c r="B4681" s="9"/>
      <c r="C4681" s="200" t="s">
        <v>670</v>
      </c>
      <c r="D4681" s="208" t="s">
        <v>3190</v>
      </c>
      <c r="E4681" s="9" t="s">
        <v>3185</v>
      </c>
      <c r="F4681" s="15" t="s">
        <v>2309</v>
      </c>
      <c r="H4681" s="9"/>
    </row>
    <row r="4682" ht="14.25" customHeight="1">
      <c r="A4682" s="9"/>
      <c r="B4682" s="9"/>
      <c r="C4682" s="200" t="s">
        <v>670</v>
      </c>
      <c r="D4682" s="208" t="s">
        <v>3190</v>
      </c>
      <c r="E4682" s="9" t="s">
        <v>3185</v>
      </c>
      <c r="F4682" s="212" t="s">
        <v>507</v>
      </c>
      <c r="H4682" s="9"/>
    </row>
    <row r="4683" ht="14.25" customHeight="1">
      <c r="A4683" s="9"/>
      <c r="B4683" s="9"/>
      <c r="C4683" s="200" t="s">
        <v>670</v>
      </c>
      <c r="D4683" s="208" t="s">
        <v>3190</v>
      </c>
      <c r="E4683" s="9" t="s">
        <v>3185</v>
      </c>
      <c r="F4683" s="15" t="s">
        <v>336</v>
      </c>
      <c r="H4683" s="9"/>
    </row>
    <row r="4684" ht="14.25" customHeight="1">
      <c r="A4684" s="9"/>
      <c r="B4684" s="9"/>
      <c r="C4684" s="200" t="s">
        <v>670</v>
      </c>
      <c r="D4684" s="208" t="s">
        <v>3190</v>
      </c>
      <c r="E4684" s="9" t="s">
        <v>3185</v>
      </c>
      <c r="F4684" s="212" t="s">
        <v>235</v>
      </c>
      <c r="H4684" s="9"/>
    </row>
    <row r="4685" ht="14.25" customHeight="1">
      <c r="A4685" s="9"/>
      <c r="B4685" s="9"/>
      <c r="C4685" s="200" t="s">
        <v>670</v>
      </c>
      <c r="D4685" s="208" t="s">
        <v>3190</v>
      </c>
      <c r="E4685" s="9" t="s">
        <v>3185</v>
      </c>
      <c r="F4685" s="15" t="s">
        <v>327</v>
      </c>
      <c r="H4685" s="9"/>
    </row>
    <row r="4686" ht="14.25" customHeight="1">
      <c r="A4686" s="9"/>
      <c r="B4686" s="9"/>
      <c r="C4686" s="200" t="s">
        <v>670</v>
      </c>
      <c r="D4686" s="208" t="s">
        <v>3190</v>
      </c>
      <c r="E4686" s="9" t="s">
        <v>3185</v>
      </c>
      <c r="F4686" s="15" t="s">
        <v>264</v>
      </c>
      <c r="H4686" s="9"/>
    </row>
    <row r="4687" ht="14.25" customHeight="1">
      <c r="A4687" s="9"/>
      <c r="B4687" s="9"/>
      <c r="C4687" s="185" t="s">
        <v>670</v>
      </c>
      <c r="D4687" s="9" t="s">
        <v>3191</v>
      </c>
      <c r="E4687" s="9" t="s">
        <v>3185</v>
      </c>
      <c r="F4687" s="15" t="s">
        <v>474</v>
      </c>
      <c r="H4687" s="9"/>
    </row>
    <row r="4688" ht="14.25" customHeight="1">
      <c r="A4688" s="9"/>
      <c r="B4688" s="9"/>
      <c r="C4688" s="185" t="s">
        <v>670</v>
      </c>
      <c r="D4688" s="9" t="s">
        <v>3191</v>
      </c>
      <c r="E4688" s="9" t="s">
        <v>3185</v>
      </c>
      <c r="F4688" s="15" t="s">
        <v>284</v>
      </c>
      <c r="H4688" s="9"/>
    </row>
    <row r="4689" ht="14.25" customHeight="1">
      <c r="A4689" s="9"/>
      <c r="B4689" s="9"/>
      <c r="C4689" s="185" t="s">
        <v>670</v>
      </c>
      <c r="D4689" s="9" t="s">
        <v>3191</v>
      </c>
      <c r="E4689" s="9" t="s">
        <v>3185</v>
      </c>
      <c r="F4689" s="15" t="s">
        <v>493</v>
      </c>
      <c r="H4689" s="9"/>
    </row>
    <row r="4690" ht="14.25" customHeight="1">
      <c r="A4690" s="9"/>
      <c r="B4690" s="9"/>
      <c r="C4690" s="185" t="s">
        <v>670</v>
      </c>
      <c r="D4690" s="9" t="s">
        <v>3191</v>
      </c>
      <c r="E4690" s="9" t="s">
        <v>3185</v>
      </c>
      <c r="F4690" s="15" t="s">
        <v>450</v>
      </c>
      <c r="H4690" s="9"/>
    </row>
    <row r="4691" ht="14.25" customHeight="1">
      <c r="A4691" s="9"/>
      <c r="B4691" s="9"/>
      <c r="C4691" s="185" t="s">
        <v>670</v>
      </c>
      <c r="D4691" s="9" t="s">
        <v>3191</v>
      </c>
      <c r="E4691" s="9" t="s">
        <v>3185</v>
      </c>
      <c r="F4691" s="15" t="s">
        <v>395</v>
      </c>
      <c r="H4691" s="9"/>
    </row>
    <row r="4692" ht="14.25" customHeight="1">
      <c r="A4692" s="9"/>
      <c r="B4692" s="9"/>
      <c r="C4692" s="185" t="s">
        <v>670</v>
      </c>
      <c r="D4692" s="9" t="s">
        <v>3191</v>
      </c>
      <c r="E4692" s="9" t="s">
        <v>3185</v>
      </c>
      <c r="F4692" s="15" t="s">
        <v>276</v>
      </c>
      <c r="H4692" s="9"/>
    </row>
    <row r="4693" ht="14.25" customHeight="1">
      <c r="A4693" s="9"/>
      <c r="B4693" s="9"/>
      <c r="C4693" s="185" t="s">
        <v>670</v>
      </c>
      <c r="D4693" s="9" t="s">
        <v>3191</v>
      </c>
      <c r="E4693" s="9" t="s">
        <v>3185</v>
      </c>
      <c r="F4693" s="15" t="s">
        <v>431</v>
      </c>
      <c r="H4693" s="9"/>
    </row>
    <row r="4694" ht="14.25" customHeight="1">
      <c r="A4694" s="9"/>
      <c r="B4694" s="9"/>
      <c r="C4694" s="185" t="s">
        <v>670</v>
      </c>
      <c r="D4694" s="9" t="s">
        <v>3191</v>
      </c>
      <c r="E4694" s="9" t="s">
        <v>3185</v>
      </c>
      <c r="F4694" s="15" t="s">
        <v>1272</v>
      </c>
      <c r="H4694" s="9"/>
    </row>
    <row r="4695" ht="14.25" customHeight="1">
      <c r="A4695" s="9"/>
      <c r="B4695" s="9"/>
      <c r="C4695" s="185" t="s">
        <v>670</v>
      </c>
      <c r="D4695" s="9" t="s">
        <v>3191</v>
      </c>
      <c r="E4695" s="9" t="s">
        <v>3185</v>
      </c>
      <c r="F4695" s="15" t="s">
        <v>420</v>
      </c>
      <c r="H4695" s="9"/>
    </row>
    <row r="4696" ht="14.25" customHeight="1">
      <c r="A4696" s="9"/>
      <c r="B4696" s="9"/>
      <c r="C4696" s="185" t="s">
        <v>670</v>
      </c>
      <c r="D4696" s="9" t="s">
        <v>3191</v>
      </c>
      <c r="E4696" s="9" t="s">
        <v>3185</v>
      </c>
      <c r="F4696" s="15" t="s">
        <v>482</v>
      </c>
      <c r="H4696" s="9"/>
    </row>
    <row r="4697" ht="14.25" customHeight="1">
      <c r="A4697" s="9"/>
      <c r="B4697" s="9"/>
      <c r="C4697" s="185" t="s">
        <v>670</v>
      </c>
      <c r="D4697" s="9" t="s">
        <v>3191</v>
      </c>
      <c r="E4697" s="9" t="s">
        <v>3185</v>
      </c>
      <c r="F4697" s="15" t="s">
        <v>136</v>
      </c>
      <c r="H4697" s="9"/>
    </row>
    <row r="4698" ht="14.25" customHeight="1">
      <c r="A4698" s="9"/>
      <c r="B4698" s="9"/>
      <c r="C4698" s="185" t="s">
        <v>670</v>
      </c>
      <c r="D4698" s="9" t="s">
        <v>3191</v>
      </c>
      <c r="E4698" s="9" t="s">
        <v>3185</v>
      </c>
      <c r="F4698" s="15" t="s">
        <v>408</v>
      </c>
      <c r="H4698" s="9"/>
    </row>
    <row r="4699" ht="14.25" customHeight="1">
      <c r="A4699" s="9"/>
      <c r="B4699" s="9"/>
      <c r="C4699" s="185" t="s">
        <v>670</v>
      </c>
      <c r="D4699" s="9" t="s">
        <v>3191</v>
      </c>
      <c r="E4699" s="9" t="s">
        <v>3185</v>
      </c>
      <c r="F4699" s="15" t="s">
        <v>2589</v>
      </c>
      <c r="H4699" s="9"/>
    </row>
    <row r="4700" ht="14.25" customHeight="1">
      <c r="A4700" s="9"/>
      <c r="B4700" s="9"/>
      <c r="C4700" s="185" t="s">
        <v>670</v>
      </c>
      <c r="D4700" s="9" t="s">
        <v>3191</v>
      </c>
      <c r="E4700" s="9" t="s">
        <v>3185</v>
      </c>
      <c r="F4700" s="15" t="s">
        <v>197</v>
      </c>
      <c r="H4700" s="9"/>
    </row>
    <row r="4701" ht="14.25" customHeight="1">
      <c r="A4701" s="9"/>
      <c r="B4701" s="9"/>
      <c r="C4701" s="185" t="s">
        <v>670</v>
      </c>
      <c r="D4701" s="9" t="s">
        <v>3191</v>
      </c>
      <c r="E4701" s="9" t="s">
        <v>3185</v>
      </c>
      <c r="F4701" s="15" t="s">
        <v>172</v>
      </c>
      <c r="H4701" s="9"/>
    </row>
    <row r="4702" ht="14.25" customHeight="1">
      <c r="A4702" s="9"/>
      <c r="B4702" s="9"/>
      <c r="C4702" s="185" t="s">
        <v>670</v>
      </c>
      <c r="D4702" s="9" t="s">
        <v>3191</v>
      </c>
      <c r="E4702" s="9" t="s">
        <v>3185</v>
      </c>
      <c r="F4702" s="15" t="s">
        <v>98</v>
      </c>
      <c r="H4702" s="9"/>
    </row>
    <row r="4703" ht="14.25" customHeight="1">
      <c r="A4703" s="9"/>
      <c r="B4703" s="9"/>
      <c r="C4703" s="185" t="s">
        <v>670</v>
      </c>
      <c r="D4703" s="9" t="s">
        <v>3191</v>
      </c>
      <c r="E4703" s="9" t="s">
        <v>3185</v>
      </c>
      <c r="F4703" s="15" t="s">
        <v>341</v>
      </c>
      <c r="H4703" s="9"/>
    </row>
    <row r="4704" ht="14.25" customHeight="1">
      <c r="A4704" s="9"/>
      <c r="B4704" s="9"/>
      <c r="C4704" s="185" t="s">
        <v>670</v>
      </c>
      <c r="D4704" s="9" t="s">
        <v>3191</v>
      </c>
      <c r="E4704" s="9" t="s">
        <v>3185</v>
      </c>
      <c r="F4704" s="15" t="s">
        <v>367</v>
      </c>
      <c r="H4704" s="9"/>
    </row>
    <row r="4705" ht="14.25" customHeight="1">
      <c r="A4705" s="9"/>
      <c r="B4705" s="9"/>
      <c r="C4705" s="185" t="s">
        <v>670</v>
      </c>
      <c r="D4705" s="9" t="s">
        <v>3191</v>
      </c>
      <c r="E4705" s="9" t="s">
        <v>3185</v>
      </c>
      <c r="F4705" s="15" t="s">
        <v>529</v>
      </c>
      <c r="H4705" s="9"/>
    </row>
    <row r="4706" ht="14.25" customHeight="1">
      <c r="A4706" s="9"/>
      <c r="B4706" s="9"/>
      <c r="C4706" s="185" t="s">
        <v>670</v>
      </c>
      <c r="D4706" s="9" t="s">
        <v>3191</v>
      </c>
      <c r="E4706" s="9" t="s">
        <v>3185</v>
      </c>
      <c r="F4706" s="15" t="s">
        <v>282</v>
      </c>
      <c r="H4706" s="9"/>
    </row>
    <row r="4707" ht="14.25" customHeight="1">
      <c r="A4707" s="9"/>
      <c r="B4707" s="9"/>
      <c r="C4707" s="185" t="s">
        <v>670</v>
      </c>
      <c r="D4707" s="9" t="s">
        <v>3191</v>
      </c>
      <c r="E4707" s="9" t="s">
        <v>3185</v>
      </c>
      <c r="F4707" s="15" t="s">
        <v>321</v>
      </c>
      <c r="H4707" s="9"/>
    </row>
    <row r="4708" ht="14.25" customHeight="1">
      <c r="A4708" s="9"/>
      <c r="B4708" s="9"/>
      <c r="C4708" s="185" t="s">
        <v>670</v>
      </c>
      <c r="D4708" s="9" t="s">
        <v>3191</v>
      </c>
      <c r="E4708" s="9" t="s">
        <v>3185</v>
      </c>
      <c r="F4708" s="15" t="s">
        <v>272</v>
      </c>
      <c r="H4708" s="9"/>
    </row>
    <row r="4709" ht="14.25" customHeight="1">
      <c r="A4709" s="9"/>
      <c r="B4709" s="9"/>
      <c r="C4709" s="185" t="s">
        <v>670</v>
      </c>
      <c r="D4709" s="9" t="s">
        <v>3191</v>
      </c>
      <c r="E4709" s="9" t="s">
        <v>3185</v>
      </c>
      <c r="F4709" s="15" t="s">
        <v>517</v>
      </c>
      <c r="H4709" s="9"/>
    </row>
    <row r="4710" ht="14.25" customHeight="1">
      <c r="A4710" s="9"/>
      <c r="B4710" s="9"/>
      <c r="C4710" s="185" t="s">
        <v>670</v>
      </c>
      <c r="D4710" s="9" t="s">
        <v>3191</v>
      </c>
      <c r="E4710" s="9" t="s">
        <v>3185</v>
      </c>
      <c r="F4710" s="15" t="s">
        <v>2593</v>
      </c>
      <c r="H4710" s="9"/>
    </row>
    <row r="4711" ht="14.25" customHeight="1">
      <c r="A4711" s="9"/>
      <c r="B4711" s="9"/>
      <c r="C4711" s="185" t="s">
        <v>670</v>
      </c>
      <c r="D4711" s="9" t="s">
        <v>3191</v>
      </c>
      <c r="E4711" s="9" t="s">
        <v>3185</v>
      </c>
      <c r="F4711" s="15" t="s">
        <v>507</v>
      </c>
      <c r="H4711" s="9"/>
    </row>
    <row r="4712" ht="14.25" customHeight="1">
      <c r="A4712" s="9"/>
      <c r="B4712" s="9"/>
      <c r="C4712" s="185" t="s">
        <v>670</v>
      </c>
      <c r="D4712" s="9" t="s">
        <v>3191</v>
      </c>
      <c r="E4712" s="9" t="s">
        <v>3185</v>
      </c>
      <c r="F4712" s="15" t="s">
        <v>336</v>
      </c>
      <c r="H4712" s="9"/>
    </row>
    <row r="4713" ht="14.25" customHeight="1">
      <c r="A4713" s="9"/>
      <c r="B4713" s="9"/>
      <c r="C4713" s="185" t="s">
        <v>670</v>
      </c>
      <c r="D4713" s="9" t="s">
        <v>3191</v>
      </c>
      <c r="E4713" s="9" t="s">
        <v>3185</v>
      </c>
      <c r="F4713" s="15" t="s">
        <v>235</v>
      </c>
      <c r="H4713" s="9"/>
    </row>
    <row r="4714" ht="14.25" customHeight="1">
      <c r="A4714" s="9"/>
      <c r="B4714" s="9"/>
      <c r="C4714" s="185" t="s">
        <v>670</v>
      </c>
      <c r="D4714" s="9" t="s">
        <v>3191</v>
      </c>
      <c r="E4714" s="9" t="s">
        <v>3185</v>
      </c>
      <c r="F4714" s="15" t="s">
        <v>327</v>
      </c>
      <c r="H4714" s="9"/>
    </row>
    <row r="4715" ht="14.25" customHeight="1">
      <c r="A4715" s="9"/>
      <c r="B4715" s="9"/>
      <c r="C4715" s="185" t="s">
        <v>670</v>
      </c>
      <c r="D4715" s="9" t="s">
        <v>3191</v>
      </c>
      <c r="E4715" s="9" t="s">
        <v>3185</v>
      </c>
      <c r="F4715" s="15" t="s">
        <v>264</v>
      </c>
      <c r="H4715" s="9"/>
    </row>
    <row r="4716" ht="14.25" customHeight="1">
      <c r="A4716" s="9"/>
      <c r="B4716" s="9"/>
      <c r="C4716" s="185" t="s">
        <v>670</v>
      </c>
      <c r="D4716" s="207" t="s">
        <v>3192</v>
      </c>
      <c r="E4716" s="9" t="s">
        <v>3185</v>
      </c>
      <c r="F4716" s="15" t="s">
        <v>474</v>
      </c>
      <c r="H4716" s="9"/>
    </row>
    <row r="4717" ht="14.25" customHeight="1">
      <c r="A4717" s="9"/>
      <c r="B4717" s="9"/>
      <c r="C4717" s="185" t="s">
        <v>670</v>
      </c>
      <c r="D4717" s="207" t="s">
        <v>3192</v>
      </c>
      <c r="E4717" s="9" t="s">
        <v>3185</v>
      </c>
      <c r="F4717" s="15" t="s">
        <v>284</v>
      </c>
      <c r="H4717" s="9"/>
    </row>
    <row r="4718" ht="14.25" customHeight="1">
      <c r="A4718" s="9"/>
      <c r="B4718" s="9"/>
      <c r="C4718" s="185" t="s">
        <v>670</v>
      </c>
      <c r="D4718" s="207" t="s">
        <v>3192</v>
      </c>
      <c r="E4718" s="9" t="s">
        <v>3185</v>
      </c>
      <c r="F4718" s="15" t="s">
        <v>493</v>
      </c>
      <c r="H4718" s="9"/>
    </row>
    <row r="4719" ht="14.25" customHeight="1">
      <c r="A4719" s="9"/>
      <c r="B4719" s="9"/>
      <c r="C4719" s="185" t="s">
        <v>670</v>
      </c>
      <c r="D4719" s="207" t="s">
        <v>3192</v>
      </c>
      <c r="E4719" s="9" t="s">
        <v>3185</v>
      </c>
      <c r="F4719" s="15" t="s">
        <v>450</v>
      </c>
      <c r="H4719" s="9"/>
    </row>
    <row r="4720" ht="14.25" customHeight="1">
      <c r="A4720" s="9"/>
      <c r="B4720" s="9"/>
      <c r="C4720" s="185" t="s">
        <v>670</v>
      </c>
      <c r="D4720" s="207" t="s">
        <v>3192</v>
      </c>
      <c r="E4720" s="9" t="s">
        <v>3185</v>
      </c>
      <c r="F4720" s="15" t="s">
        <v>395</v>
      </c>
      <c r="H4720" s="9"/>
    </row>
    <row r="4721" ht="14.25" customHeight="1">
      <c r="A4721" s="9"/>
      <c r="B4721" s="9"/>
      <c r="C4721" s="185" t="s">
        <v>670</v>
      </c>
      <c r="D4721" s="207" t="s">
        <v>3192</v>
      </c>
      <c r="E4721" s="9" t="s">
        <v>3185</v>
      </c>
      <c r="F4721" s="15" t="s">
        <v>276</v>
      </c>
      <c r="H4721" s="9"/>
    </row>
    <row r="4722" ht="14.25" customHeight="1">
      <c r="A4722" s="9"/>
      <c r="B4722" s="9"/>
      <c r="C4722" s="185" t="s">
        <v>670</v>
      </c>
      <c r="D4722" s="207" t="s">
        <v>3192</v>
      </c>
      <c r="E4722" s="9" t="s">
        <v>3185</v>
      </c>
      <c r="F4722" s="15" t="s">
        <v>431</v>
      </c>
      <c r="H4722" s="9"/>
    </row>
    <row r="4723" ht="14.25" customHeight="1">
      <c r="A4723" s="9"/>
      <c r="B4723" s="9"/>
      <c r="C4723" s="185" t="s">
        <v>670</v>
      </c>
      <c r="D4723" s="207" t="s">
        <v>3192</v>
      </c>
      <c r="E4723" s="9" t="s">
        <v>3185</v>
      </c>
      <c r="F4723" s="15" t="s">
        <v>1272</v>
      </c>
      <c r="H4723" s="9"/>
    </row>
    <row r="4724" ht="14.25" customHeight="1">
      <c r="A4724" s="9"/>
      <c r="B4724" s="9"/>
      <c r="C4724" s="185" t="s">
        <v>670</v>
      </c>
      <c r="D4724" s="207" t="s">
        <v>3192</v>
      </c>
      <c r="E4724" s="9" t="s">
        <v>3185</v>
      </c>
      <c r="F4724" s="15" t="s">
        <v>420</v>
      </c>
      <c r="H4724" s="9"/>
    </row>
    <row r="4725" ht="14.25" customHeight="1">
      <c r="A4725" s="9"/>
      <c r="B4725" s="9"/>
      <c r="C4725" s="185" t="s">
        <v>670</v>
      </c>
      <c r="D4725" s="207" t="s">
        <v>3192</v>
      </c>
      <c r="E4725" s="9" t="s">
        <v>3185</v>
      </c>
      <c r="F4725" s="15" t="s">
        <v>482</v>
      </c>
      <c r="H4725" s="9"/>
    </row>
    <row r="4726" ht="14.25" customHeight="1">
      <c r="A4726" s="9"/>
      <c r="B4726" s="9"/>
      <c r="C4726" s="185" t="s">
        <v>670</v>
      </c>
      <c r="D4726" s="207" t="s">
        <v>3192</v>
      </c>
      <c r="E4726" s="9" t="s">
        <v>3185</v>
      </c>
      <c r="F4726" s="15" t="s">
        <v>136</v>
      </c>
      <c r="H4726" s="9"/>
    </row>
    <row r="4727" ht="14.25" customHeight="1">
      <c r="A4727" s="9"/>
      <c r="B4727" s="9"/>
      <c r="C4727" s="185" t="s">
        <v>670</v>
      </c>
      <c r="D4727" s="207" t="s">
        <v>3192</v>
      </c>
      <c r="E4727" s="9" t="s">
        <v>3185</v>
      </c>
      <c r="F4727" s="15" t="s">
        <v>408</v>
      </c>
      <c r="H4727" s="9"/>
    </row>
    <row r="4728" ht="14.25" customHeight="1">
      <c r="A4728" s="9"/>
      <c r="B4728" s="9"/>
      <c r="C4728" s="185" t="s">
        <v>670</v>
      </c>
      <c r="D4728" s="207" t="s">
        <v>3192</v>
      </c>
      <c r="E4728" s="9" t="s">
        <v>3185</v>
      </c>
      <c r="F4728" s="15" t="s">
        <v>2589</v>
      </c>
      <c r="H4728" s="9"/>
    </row>
    <row r="4729" ht="14.25" customHeight="1">
      <c r="A4729" s="9"/>
      <c r="B4729" s="9"/>
      <c r="C4729" s="185" t="s">
        <v>670</v>
      </c>
      <c r="D4729" s="207" t="s">
        <v>3192</v>
      </c>
      <c r="E4729" s="9" t="s">
        <v>3185</v>
      </c>
      <c r="F4729" s="15" t="s">
        <v>197</v>
      </c>
      <c r="H4729" s="9"/>
    </row>
    <row r="4730" ht="14.25" customHeight="1">
      <c r="A4730" s="9"/>
      <c r="B4730" s="9"/>
      <c r="C4730" s="185" t="s">
        <v>670</v>
      </c>
      <c r="D4730" s="207" t="s">
        <v>3192</v>
      </c>
      <c r="E4730" s="9" t="s">
        <v>3185</v>
      </c>
      <c r="F4730" s="15" t="s">
        <v>172</v>
      </c>
      <c r="H4730" s="9"/>
    </row>
    <row r="4731" ht="14.25" customHeight="1">
      <c r="A4731" s="9"/>
      <c r="B4731" s="9"/>
      <c r="C4731" s="185" t="s">
        <v>670</v>
      </c>
      <c r="D4731" s="207" t="s">
        <v>3192</v>
      </c>
      <c r="E4731" s="9" t="s">
        <v>3185</v>
      </c>
      <c r="F4731" s="15" t="s">
        <v>98</v>
      </c>
      <c r="H4731" s="9"/>
    </row>
    <row r="4732" ht="14.25" customHeight="1">
      <c r="A4732" s="9"/>
      <c r="B4732" s="9"/>
      <c r="C4732" s="185" t="s">
        <v>670</v>
      </c>
      <c r="D4732" s="207" t="s">
        <v>3192</v>
      </c>
      <c r="E4732" s="9" t="s">
        <v>3185</v>
      </c>
      <c r="F4732" s="15" t="s">
        <v>341</v>
      </c>
      <c r="H4732" s="9"/>
    </row>
    <row r="4733" ht="14.25" customHeight="1">
      <c r="A4733" s="9"/>
      <c r="B4733" s="9"/>
      <c r="C4733" s="185" t="s">
        <v>670</v>
      </c>
      <c r="D4733" s="207" t="s">
        <v>3192</v>
      </c>
      <c r="E4733" s="9" t="s">
        <v>3185</v>
      </c>
      <c r="F4733" s="15" t="s">
        <v>367</v>
      </c>
      <c r="H4733" s="9"/>
    </row>
    <row r="4734" ht="14.25" customHeight="1">
      <c r="A4734" s="9"/>
      <c r="B4734" s="9"/>
      <c r="C4734" s="185" t="s">
        <v>670</v>
      </c>
      <c r="D4734" s="207" t="s">
        <v>3192</v>
      </c>
      <c r="E4734" s="9" t="s">
        <v>3185</v>
      </c>
      <c r="F4734" s="15" t="s">
        <v>529</v>
      </c>
      <c r="H4734" s="9"/>
    </row>
    <row r="4735" ht="14.25" customHeight="1">
      <c r="A4735" s="9"/>
      <c r="B4735" s="9"/>
      <c r="C4735" s="185" t="s">
        <v>670</v>
      </c>
      <c r="D4735" s="207" t="s">
        <v>3192</v>
      </c>
      <c r="E4735" s="9" t="s">
        <v>3185</v>
      </c>
      <c r="F4735" s="15" t="s">
        <v>282</v>
      </c>
      <c r="H4735" s="9"/>
    </row>
    <row r="4736" ht="14.25" customHeight="1">
      <c r="A4736" s="9"/>
      <c r="B4736" s="9"/>
      <c r="C4736" s="185" t="s">
        <v>670</v>
      </c>
      <c r="D4736" s="207" t="s">
        <v>3192</v>
      </c>
      <c r="E4736" s="9" t="s">
        <v>3185</v>
      </c>
      <c r="F4736" s="15" t="s">
        <v>321</v>
      </c>
      <c r="H4736" s="9"/>
    </row>
    <row r="4737" ht="14.25" customHeight="1">
      <c r="A4737" s="9"/>
      <c r="B4737" s="9"/>
      <c r="C4737" s="185" t="s">
        <v>670</v>
      </c>
      <c r="D4737" s="207" t="s">
        <v>3192</v>
      </c>
      <c r="E4737" s="9" t="s">
        <v>3185</v>
      </c>
      <c r="F4737" s="15" t="s">
        <v>272</v>
      </c>
      <c r="H4737" s="9"/>
    </row>
    <row r="4738" ht="14.25" customHeight="1">
      <c r="A4738" s="9"/>
      <c r="B4738" s="9"/>
      <c r="C4738" s="185" t="s">
        <v>670</v>
      </c>
      <c r="D4738" s="207" t="s">
        <v>3192</v>
      </c>
      <c r="E4738" s="9" t="s">
        <v>3185</v>
      </c>
      <c r="F4738" s="15" t="s">
        <v>517</v>
      </c>
      <c r="H4738" s="9"/>
    </row>
    <row r="4739" ht="14.25" customHeight="1">
      <c r="A4739" s="9"/>
      <c r="B4739" s="9"/>
      <c r="C4739" s="185" t="s">
        <v>670</v>
      </c>
      <c r="D4739" s="207" t="s">
        <v>3192</v>
      </c>
      <c r="E4739" s="9" t="s">
        <v>3185</v>
      </c>
      <c r="F4739" s="15" t="s">
        <v>2593</v>
      </c>
      <c r="H4739" s="9"/>
    </row>
    <row r="4740" ht="14.25" customHeight="1">
      <c r="A4740" s="9"/>
      <c r="B4740" s="9"/>
      <c r="C4740" s="185" t="s">
        <v>670</v>
      </c>
      <c r="D4740" s="207" t="s">
        <v>3192</v>
      </c>
      <c r="E4740" s="9" t="s">
        <v>3185</v>
      </c>
      <c r="F4740" s="15" t="s">
        <v>507</v>
      </c>
      <c r="H4740" s="9"/>
    </row>
    <row r="4741" ht="14.25" customHeight="1">
      <c r="A4741" s="9"/>
      <c r="B4741" s="9"/>
      <c r="C4741" s="185" t="s">
        <v>670</v>
      </c>
      <c r="D4741" s="207" t="s">
        <v>3192</v>
      </c>
      <c r="E4741" s="9" t="s">
        <v>3185</v>
      </c>
      <c r="F4741" s="15" t="s">
        <v>336</v>
      </c>
      <c r="H4741" s="9"/>
    </row>
    <row r="4742" ht="14.25" customHeight="1">
      <c r="A4742" s="9"/>
      <c r="B4742" s="9"/>
      <c r="C4742" s="185" t="s">
        <v>670</v>
      </c>
      <c r="D4742" s="207" t="s">
        <v>3192</v>
      </c>
      <c r="E4742" s="9" t="s">
        <v>3185</v>
      </c>
      <c r="F4742" s="15" t="s">
        <v>235</v>
      </c>
      <c r="H4742" s="9"/>
    </row>
    <row r="4743" ht="14.25" customHeight="1">
      <c r="A4743" s="9"/>
      <c r="B4743" s="9"/>
      <c r="C4743" s="185" t="s">
        <v>670</v>
      </c>
      <c r="D4743" s="207" t="s">
        <v>3192</v>
      </c>
      <c r="E4743" s="9" t="s">
        <v>3185</v>
      </c>
      <c r="F4743" s="15" t="s">
        <v>327</v>
      </c>
      <c r="H4743" s="9"/>
    </row>
    <row r="4744" ht="14.25" customHeight="1">
      <c r="A4744" s="9"/>
      <c r="B4744" s="9"/>
      <c r="C4744" s="185" t="s">
        <v>670</v>
      </c>
      <c r="D4744" s="207" t="s">
        <v>3192</v>
      </c>
      <c r="E4744" s="9" t="s">
        <v>3185</v>
      </c>
      <c r="F4744" s="15" t="s">
        <v>264</v>
      </c>
      <c r="H4744" s="9"/>
    </row>
    <row r="4745" ht="14.25" customHeight="1">
      <c r="A4745" s="9"/>
      <c r="B4745" s="9"/>
      <c r="C4745" s="185" t="s">
        <v>670</v>
      </c>
      <c r="D4745" s="9" t="s">
        <v>3193</v>
      </c>
      <c r="E4745" s="9" t="s">
        <v>3185</v>
      </c>
      <c r="F4745" s="15" t="s">
        <v>474</v>
      </c>
      <c r="H4745" s="9"/>
    </row>
    <row r="4746" ht="14.25" customHeight="1">
      <c r="A4746" s="9"/>
      <c r="B4746" s="9"/>
      <c r="C4746" s="185" t="s">
        <v>670</v>
      </c>
      <c r="D4746" s="9" t="s">
        <v>3193</v>
      </c>
      <c r="E4746" s="9" t="s">
        <v>3185</v>
      </c>
      <c r="F4746" s="15" t="s">
        <v>284</v>
      </c>
      <c r="H4746" s="9"/>
    </row>
    <row r="4747" ht="14.25" customHeight="1">
      <c r="A4747" s="9"/>
      <c r="B4747" s="9"/>
      <c r="C4747" s="185" t="s">
        <v>670</v>
      </c>
      <c r="D4747" s="9" t="s">
        <v>3193</v>
      </c>
      <c r="E4747" s="9" t="s">
        <v>3185</v>
      </c>
      <c r="F4747" s="15" t="s">
        <v>493</v>
      </c>
      <c r="H4747" s="9"/>
    </row>
    <row r="4748" ht="14.25" customHeight="1">
      <c r="A4748" s="9"/>
      <c r="B4748" s="9"/>
      <c r="C4748" s="185" t="s">
        <v>670</v>
      </c>
      <c r="D4748" s="9" t="s">
        <v>3193</v>
      </c>
      <c r="E4748" s="9" t="s">
        <v>3185</v>
      </c>
      <c r="F4748" s="15" t="s">
        <v>450</v>
      </c>
      <c r="H4748" s="9"/>
    </row>
    <row r="4749" ht="14.25" customHeight="1">
      <c r="A4749" s="9"/>
      <c r="B4749" s="9"/>
      <c r="C4749" s="185" t="s">
        <v>670</v>
      </c>
      <c r="D4749" s="9" t="s">
        <v>3193</v>
      </c>
      <c r="E4749" s="9" t="s">
        <v>3185</v>
      </c>
      <c r="F4749" s="15" t="s">
        <v>395</v>
      </c>
      <c r="H4749" s="9"/>
    </row>
    <row r="4750" ht="14.25" customHeight="1">
      <c r="A4750" s="9"/>
      <c r="B4750" s="9"/>
      <c r="C4750" s="185" t="s">
        <v>670</v>
      </c>
      <c r="D4750" s="9" t="s">
        <v>3193</v>
      </c>
      <c r="E4750" s="9" t="s">
        <v>3185</v>
      </c>
      <c r="F4750" s="15" t="s">
        <v>276</v>
      </c>
      <c r="H4750" s="9"/>
    </row>
    <row r="4751" ht="14.25" customHeight="1">
      <c r="A4751" s="9"/>
      <c r="B4751" s="9"/>
      <c r="C4751" s="185" t="s">
        <v>670</v>
      </c>
      <c r="D4751" s="9" t="s">
        <v>3193</v>
      </c>
      <c r="E4751" s="9" t="s">
        <v>3185</v>
      </c>
      <c r="F4751" s="15" t="s">
        <v>431</v>
      </c>
      <c r="H4751" s="9"/>
    </row>
    <row r="4752" ht="14.25" customHeight="1">
      <c r="A4752" s="9"/>
      <c r="B4752" s="9"/>
      <c r="C4752" s="185" t="s">
        <v>670</v>
      </c>
      <c r="D4752" s="9" t="s">
        <v>3193</v>
      </c>
      <c r="E4752" s="9" t="s">
        <v>3185</v>
      </c>
      <c r="F4752" s="15" t="s">
        <v>1272</v>
      </c>
      <c r="H4752" s="9"/>
    </row>
    <row r="4753" ht="14.25" customHeight="1">
      <c r="A4753" s="9"/>
      <c r="B4753" s="9"/>
      <c r="C4753" s="185" t="s">
        <v>670</v>
      </c>
      <c r="D4753" s="9" t="s">
        <v>3193</v>
      </c>
      <c r="E4753" s="9" t="s">
        <v>3185</v>
      </c>
      <c r="F4753" s="15" t="s">
        <v>420</v>
      </c>
      <c r="H4753" s="9"/>
    </row>
    <row r="4754" ht="14.25" customHeight="1">
      <c r="A4754" s="9"/>
      <c r="B4754" s="9"/>
      <c r="C4754" s="185" t="s">
        <v>670</v>
      </c>
      <c r="D4754" s="9" t="s">
        <v>3193</v>
      </c>
      <c r="E4754" s="9" t="s">
        <v>3185</v>
      </c>
      <c r="F4754" s="15" t="s">
        <v>482</v>
      </c>
      <c r="H4754" s="9"/>
    </row>
    <row r="4755" ht="14.25" customHeight="1">
      <c r="A4755" s="9"/>
      <c r="B4755" s="9"/>
      <c r="C4755" s="185" t="s">
        <v>670</v>
      </c>
      <c r="D4755" s="9" t="s">
        <v>3193</v>
      </c>
      <c r="E4755" s="9" t="s">
        <v>3185</v>
      </c>
      <c r="F4755" s="15" t="s">
        <v>136</v>
      </c>
      <c r="H4755" s="9"/>
    </row>
    <row r="4756" ht="14.25" customHeight="1">
      <c r="A4756" s="9"/>
      <c r="B4756" s="9"/>
      <c r="C4756" s="185" t="s">
        <v>670</v>
      </c>
      <c r="D4756" s="9" t="s">
        <v>3193</v>
      </c>
      <c r="E4756" s="9" t="s">
        <v>3185</v>
      </c>
      <c r="F4756" s="15" t="s">
        <v>408</v>
      </c>
      <c r="H4756" s="9"/>
    </row>
    <row r="4757" ht="14.25" customHeight="1">
      <c r="A4757" s="9"/>
      <c r="B4757" s="9"/>
      <c r="C4757" s="185" t="s">
        <v>670</v>
      </c>
      <c r="D4757" s="9" t="s">
        <v>3193</v>
      </c>
      <c r="E4757" s="9" t="s">
        <v>3185</v>
      </c>
      <c r="F4757" s="15" t="s">
        <v>2589</v>
      </c>
      <c r="H4757" s="9"/>
    </row>
    <row r="4758" ht="14.25" customHeight="1">
      <c r="A4758" s="9"/>
      <c r="B4758" s="9"/>
      <c r="C4758" s="185" t="s">
        <v>670</v>
      </c>
      <c r="D4758" s="9" t="s">
        <v>3193</v>
      </c>
      <c r="E4758" s="9" t="s">
        <v>3185</v>
      </c>
      <c r="F4758" s="15" t="s">
        <v>197</v>
      </c>
      <c r="H4758" s="9"/>
    </row>
    <row r="4759" ht="14.25" customHeight="1">
      <c r="A4759" s="9"/>
      <c r="B4759" s="9"/>
      <c r="C4759" s="185" t="s">
        <v>670</v>
      </c>
      <c r="D4759" s="9" t="s">
        <v>3193</v>
      </c>
      <c r="E4759" s="9" t="s">
        <v>3185</v>
      </c>
      <c r="F4759" s="15" t="s">
        <v>172</v>
      </c>
      <c r="H4759" s="9"/>
    </row>
    <row r="4760" ht="14.25" customHeight="1">
      <c r="A4760" s="9"/>
      <c r="B4760" s="9"/>
      <c r="C4760" s="185" t="s">
        <v>670</v>
      </c>
      <c r="D4760" s="9" t="s">
        <v>3193</v>
      </c>
      <c r="E4760" s="9" t="s">
        <v>3185</v>
      </c>
      <c r="F4760" s="15" t="s">
        <v>98</v>
      </c>
      <c r="H4760" s="9"/>
    </row>
    <row r="4761" ht="14.25" customHeight="1">
      <c r="A4761" s="9"/>
      <c r="B4761" s="9"/>
      <c r="C4761" s="185" t="s">
        <v>670</v>
      </c>
      <c r="D4761" s="9" t="s">
        <v>3193</v>
      </c>
      <c r="E4761" s="9" t="s">
        <v>3185</v>
      </c>
      <c r="F4761" s="15" t="s">
        <v>341</v>
      </c>
      <c r="H4761" s="9"/>
    </row>
    <row r="4762" ht="14.25" customHeight="1">
      <c r="A4762" s="9"/>
      <c r="B4762" s="9"/>
      <c r="C4762" s="185" t="s">
        <v>670</v>
      </c>
      <c r="D4762" s="9" t="s">
        <v>3193</v>
      </c>
      <c r="E4762" s="9" t="s">
        <v>3185</v>
      </c>
      <c r="F4762" s="15" t="s">
        <v>367</v>
      </c>
      <c r="H4762" s="9"/>
    </row>
    <row r="4763" ht="14.25" customHeight="1">
      <c r="A4763" s="9"/>
      <c r="B4763" s="9"/>
      <c r="C4763" s="185" t="s">
        <v>670</v>
      </c>
      <c r="D4763" s="9" t="s">
        <v>3193</v>
      </c>
      <c r="E4763" s="9" t="s">
        <v>3185</v>
      </c>
      <c r="F4763" s="15" t="s">
        <v>529</v>
      </c>
      <c r="H4763" s="9"/>
    </row>
    <row r="4764" ht="14.25" customHeight="1">
      <c r="A4764" s="9"/>
      <c r="B4764" s="9"/>
      <c r="C4764" s="185" t="s">
        <v>670</v>
      </c>
      <c r="D4764" s="9" t="s">
        <v>3193</v>
      </c>
      <c r="E4764" s="9" t="s">
        <v>3185</v>
      </c>
      <c r="F4764" s="15" t="s">
        <v>282</v>
      </c>
      <c r="H4764" s="9"/>
    </row>
    <row r="4765" ht="14.25" customHeight="1">
      <c r="A4765" s="9"/>
      <c r="B4765" s="9"/>
      <c r="C4765" s="185" t="s">
        <v>670</v>
      </c>
      <c r="D4765" s="9" t="s">
        <v>3193</v>
      </c>
      <c r="E4765" s="9" t="s">
        <v>3185</v>
      </c>
      <c r="F4765" s="15" t="s">
        <v>321</v>
      </c>
      <c r="H4765" s="9"/>
    </row>
    <row r="4766" ht="14.25" customHeight="1">
      <c r="A4766" s="9"/>
      <c r="B4766" s="9"/>
      <c r="C4766" s="185" t="s">
        <v>670</v>
      </c>
      <c r="D4766" s="9" t="s">
        <v>3193</v>
      </c>
      <c r="E4766" s="9" t="s">
        <v>3185</v>
      </c>
      <c r="F4766" s="15" t="s">
        <v>272</v>
      </c>
      <c r="H4766" s="9"/>
    </row>
    <row r="4767" ht="14.25" customHeight="1">
      <c r="A4767" s="9"/>
      <c r="B4767" s="9"/>
      <c r="C4767" s="185" t="s">
        <v>670</v>
      </c>
      <c r="D4767" s="9" t="s">
        <v>3193</v>
      </c>
      <c r="E4767" s="9" t="s">
        <v>3185</v>
      </c>
      <c r="F4767" s="15" t="s">
        <v>517</v>
      </c>
      <c r="H4767" s="9"/>
    </row>
    <row r="4768" ht="14.25" customHeight="1">
      <c r="A4768" s="9"/>
      <c r="B4768" s="9"/>
      <c r="C4768" s="185" t="s">
        <v>670</v>
      </c>
      <c r="D4768" s="9" t="s">
        <v>3193</v>
      </c>
      <c r="E4768" s="9" t="s">
        <v>3185</v>
      </c>
      <c r="F4768" s="15" t="s">
        <v>2593</v>
      </c>
      <c r="H4768" s="9"/>
    </row>
    <row r="4769" ht="14.25" customHeight="1">
      <c r="A4769" s="9"/>
      <c r="B4769" s="9"/>
      <c r="C4769" s="185" t="s">
        <v>670</v>
      </c>
      <c r="D4769" s="9" t="s">
        <v>3193</v>
      </c>
      <c r="E4769" s="9" t="s">
        <v>3185</v>
      </c>
      <c r="F4769" s="15" t="s">
        <v>507</v>
      </c>
      <c r="H4769" s="9"/>
    </row>
    <row r="4770" ht="14.25" customHeight="1">
      <c r="A4770" s="9"/>
      <c r="B4770" s="9"/>
      <c r="C4770" s="185" t="s">
        <v>670</v>
      </c>
      <c r="D4770" s="9" t="s">
        <v>3193</v>
      </c>
      <c r="E4770" s="9" t="s">
        <v>3185</v>
      </c>
      <c r="F4770" s="15" t="s">
        <v>336</v>
      </c>
      <c r="H4770" s="9"/>
    </row>
    <row r="4771" ht="14.25" customHeight="1">
      <c r="A4771" s="9"/>
      <c r="B4771" s="9"/>
      <c r="C4771" s="185" t="s">
        <v>670</v>
      </c>
      <c r="D4771" s="9" t="s">
        <v>3193</v>
      </c>
      <c r="E4771" s="9" t="s">
        <v>3185</v>
      </c>
      <c r="F4771" s="15" t="s">
        <v>235</v>
      </c>
      <c r="H4771" s="9"/>
    </row>
    <row r="4772" ht="14.25" customHeight="1">
      <c r="A4772" s="9"/>
      <c r="B4772" s="9"/>
      <c r="C4772" s="185" t="s">
        <v>670</v>
      </c>
      <c r="D4772" s="9" t="s">
        <v>3193</v>
      </c>
      <c r="E4772" s="9" t="s">
        <v>3185</v>
      </c>
      <c r="F4772" s="15" t="s">
        <v>327</v>
      </c>
      <c r="H4772" s="9"/>
    </row>
    <row r="4773" ht="14.25" customHeight="1">
      <c r="A4773" s="9"/>
      <c r="B4773" s="9"/>
      <c r="C4773" s="185" t="s">
        <v>670</v>
      </c>
      <c r="D4773" s="9" t="s">
        <v>3193</v>
      </c>
      <c r="E4773" s="9" t="s">
        <v>3185</v>
      </c>
      <c r="F4773" s="15" t="s">
        <v>264</v>
      </c>
      <c r="H4773" s="9"/>
    </row>
    <row r="4774" ht="14.25" customHeight="1">
      <c r="A4774" s="9"/>
      <c r="B4774" s="9"/>
      <c r="C4774" s="185" t="s">
        <v>670</v>
      </c>
      <c r="D4774" s="9" t="s">
        <v>3194</v>
      </c>
      <c r="E4774" s="9" t="s">
        <v>3185</v>
      </c>
      <c r="F4774" s="15" t="s">
        <v>1439</v>
      </c>
      <c r="H4774" s="9"/>
    </row>
    <row r="4775" ht="14.25" customHeight="1">
      <c r="A4775" s="9"/>
      <c r="B4775" s="9"/>
      <c r="C4775" s="185" t="s">
        <v>670</v>
      </c>
      <c r="D4775" s="9" t="s">
        <v>3194</v>
      </c>
      <c r="E4775" s="9" t="s">
        <v>3185</v>
      </c>
      <c r="F4775" s="213" t="s">
        <v>3132</v>
      </c>
      <c r="H4775" s="9"/>
    </row>
    <row r="4776" ht="14.25" customHeight="1">
      <c r="A4776" s="9"/>
      <c r="B4776" s="9"/>
      <c r="C4776" s="185" t="s">
        <v>670</v>
      </c>
      <c r="D4776" s="9" t="s">
        <v>3194</v>
      </c>
      <c r="E4776" s="9" t="s">
        <v>3185</v>
      </c>
      <c r="F4776" s="15" t="s">
        <v>1440</v>
      </c>
      <c r="H4776" s="9"/>
    </row>
    <row r="4777" ht="14.25" customHeight="1">
      <c r="A4777" s="9"/>
      <c r="B4777" s="9"/>
      <c r="C4777" s="185" t="s">
        <v>670</v>
      </c>
      <c r="D4777" s="9" t="s">
        <v>3194</v>
      </c>
      <c r="E4777" s="9" t="s">
        <v>3185</v>
      </c>
      <c r="F4777" s="15" t="s">
        <v>482</v>
      </c>
      <c r="H4777" s="9"/>
    </row>
    <row r="4778" ht="14.25" customHeight="1">
      <c r="A4778" s="9"/>
      <c r="B4778" s="9"/>
      <c r="C4778" s="185" t="s">
        <v>670</v>
      </c>
      <c r="D4778" s="9" t="s">
        <v>3194</v>
      </c>
      <c r="E4778" s="9" t="s">
        <v>3185</v>
      </c>
      <c r="F4778" s="15" t="s">
        <v>3133</v>
      </c>
      <c r="H4778" s="9"/>
    </row>
    <row r="4779" ht="14.25" customHeight="1">
      <c r="A4779" s="9"/>
      <c r="B4779" s="9"/>
      <c r="C4779" s="185" t="s">
        <v>670</v>
      </c>
      <c r="D4779" s="9" t="s">
        <v>3194</v>
      </c>
      <c r="E4779" s="9" t="s">
        <v>3185</v>
      </c>
      <c r="F4779" s="15" t="s">
        <v>341</v>
      </c>
      <c r="H4779" s="9"/>
    </row>
    <row r="4780" ht="14.25" customHeight="1">
      <c r="A4780" s="9"/>
      <c r="B4780" s="9"/>
      <c r="C4780" s="185" t="s">
        <v>670</v>
      </c>
      <c r="D4780" s="9" t="s">
        <v>3194</v>
      </c>
      <c r="E4780" s="9" t="s">
        <v>3185</v>
      </c>
      <c r="F4780" s="15" t="s">
        <v>367</v>
      </c>
      <c r="H4780" s="9"/>
    </row>
    <row r="4781" ht="14.25" customHeight="1">
      <c r="A4781" s="9"/>
      <c r="B4781" s="9"/>
      <c r="C4781" s="185" t="s">
        <v>670</v>
      </c>
      <c r="D4781" s="9" t="s">
        <v>3194</v>
      </c>
      <c r="E4781" s="9" t="s">
        <v>3185</v>
      </c>
      <c r="F4781" s="15" t="s">
        <v>529</v>
      </c>
      <c r="H4781" s="9"/>
    </row>
    <row r="4782" ht="14.25" customHeight="1">
      <c r="A4782" s="9"/>
      <c r="B4782" s="9"/>
      <c r="C4782" s="185" t="s">
        <v>670</v>
      </c>
      <c r="D4782" s="9" t="s">
        <v>3194</v>
      </c>
      <c r="E4782" s="9" t="s">
        <v>3185</v>
      </c>
      <c r="F4782" s="15" t="s">
        <v>1435</v>
      </c>
      <c r="H4782" s="9"/>
    </row>
    <row r="4783" ht="14.25" customHeight="1">
      <c r="A4783" s="9"/>
      <c r="B4783" s="9"/>
      <c r="C4783" s="185" t="s">
        <v>670</v>
      </c>
      <c r="D4783" s="9" t="s">
        <v>3194</v>
      </c>
      <c r="E4783" s="9" t="s">
        <v>3185</v>
      </c>
      <c r="F4783" s="15" t="s">
        <v>1437</v>
      </c>
      <c r="H4783" s="9"/>
    </row>
    <row r="4784" ht="14.25" customHeight="1">
      <c r="A4784" s="9"/>
      <c r="B4784" s="9"/>
      <c r="C4784" s="185" t="s">
        <v>670</v>
      </c>
      <c r="D4784" s="9" t="s">
        <v>3194</v>
      </c>
      <c r="E4784" s="9" t="s">
        <v>3185</v>
      </c>
      <c r="F4784" s="15" t="s">
        <v>1436</v>
      </c>
      <c r="H4784" s="9"/>
    </row>
    <row r="4785" ht="14.25" customHeight="1">
      <c r="A4785" s="9"/>
      <c r="B4785" s="9"/>
      <c r="C4785" s="185" t="s">
        <v>670</v>
      </c>
      <c r="D4785" s="9" t="s">
        <v>3194</v>
      </c>
      <c r="E4785" s="9" t="s">
        <v>3185</v>
      </c>
      <c r="F4785" s="15" t="s">
        <v>3134</v>
      </c>
      <c r="H4785" s="9"/>
    </row>
    <row r="4786" ht="14.25" customHeight="1">
      <c r="A4786" s="9"/>
      <c r="B4786" s="9"/>
      <c r="C4786" s="185" t="s">
        <v>670</v>
      </c>
      <c r="D4786" s="9" t="s">
        <v>3194</v>
      </c>
      <c r="E4786" s="9" t="s">
        <v>3185</v>
      </c>
      <c r="F4786" s="15" t="s">
        <v>1434</v>
      </c>
      <c r="H4786" s="9"/>
    </row>
    <row r="4787" ht="14.25" customHeight="1">
      <c r="A4787" s="9"/>
      <c r="B4787" s="9"/>
      <c r="C4787" s="185" t="s">
        <v>670</v>
      </c>
      <c r="D4787" s="9" t="s">
        <v>3194</v>
      </c>
      <c r="E4787" s="9" t="s">
        <v>3185</v>
      </c>
      <c r="F4787" s="15" t="s">
        <v>517</v>
      </c>
      <c r="H4787" s="9"/>
    </row>
    <row r="4788" ht="14.25" customHeight="1">
      <c r="A4788" s="9"/>
      <c r="B4788" s="9"/>
      <c r="C4788" s="185" t="s">
        <v>670</v>
      </c>
      <c r="D4788" s="9" t="s">
        <v>3194</v>
      </c>
      <c r="E4788" s="9" t="s">
        <v>3185</v>
      </c>
      <c r="F4788" s="15" t="s">
        <v>507</v>
      </c>
      <c r="H4788" s="9"/>
    </row>
    <row r="4789" ht="14.25" customHeight="1">
      <c r="A4789" s="9"/>
      <c r="B4789" s="9"/>
      <c r="C4789" s="185" t="s">
        <v>670</v>
      </c>
      <c r="D4789" s="9" t="s">
        <v>3194</v>
      </c>
      <c r="E4789" s="9" t="s">
        <v>3185</v>
      </c>
      <c r="F4789" s="15" t="s">
        <v>1441</v>
      </c>
      <c r="H4789" s="9"/>
    </row>
    <row r="4790" ht="14.25" customHeight="1">
      <c r="A4790" s="9"/>
      <c r="B4790" s="9"/>
      <c r="C4790" s="185" t="s">
        <v>670</v>
      </c>
      <c r="D4790" s="9" t="s">
        <v>3194</v>
      </c>
      <c r="E4790" s="9" t="s">
        <v>3185</v>
      </c>
      <c r="F4790" s="15" t="s">
        <v>1438</v>
      </c>
      <c r="H4790" s="9"/>
    </row>
    <row r="4791" ht="14.25" customHeight="1">
      <c r="A4791" s="9"/>
      <c r="B4791" s="9"/>
      <c r="C4791" s="185" t="s">
        <v>670</v>
      </c>
      <c r="D4791" s="9" t="s">
        <v>3195</v>
      </c>
      <c r="E4791" s="9" t="s">
        <v>3185</v>
      </c>
      <c r="F4791" s="15" t="s">
        <v>474</v>
      </c>
      <c r="H4791" s="9"/>
    </row>
    <row r="4792" ht="14.25" customHeight="1">
      <c r="A4792" s="9"/>
      <c r="B4792" s="9"/>
      <c r="C4792" s="185" t="s">
        <v>670</v>
      </c>
      <c r="D4792" s="9" t="s">
        <v>3195</v>
      </c>
      <c r="E4792" s="9" t="s">
        <v>3185</v>
      </c>
      <c r="F4792" s="15" t="s">
        <v>284</v>
      </c>
      <c r="H4792" s="9"/>
    </row>
    <row r="4793" ht="14.25" customHeight="1">
      <c r="A4793" s="9"/>
      <c r="B4793" s="9"/>
      <c r="C4793" s="185" t="s">
        <v>670</v>
      </c>
      <c r="D4793" s="9" t="s">
        <v>3195</v>
      </c>
      <c r="E4793" s="9" t="s">
        <v>3185</v>
      </c>
      <c r="F4793" s="15" t="s">
        <v>493</v>
      </c>
      <c r="H4793" s="9"/>
    </row>
    <row r="4794" ht="14.25" customHeight="1">
      <c r="A4794" s="9"/>
      <c r="B4794" s="9"/>
      <c r="C4794" s="185" t="s">
        <v>670</v>
      </c>
      <c r="D4794" s="9" t="s">
        <v>3195</v>
      </c>
      <c r="E4794" s="9" t="s">
        <v>3185</v>
      </c>
      <c r="F4794" s="15" t="s">
        <v>450</v>
      </c>
      <c r="H4794" s="9"/>
    </row>
    <row r="4795" ht="14.25" customHeight="1">
      <c r="A4795" s="9"/>
      <c r="B4795" s="9"/>
      <c r="C4795" s="185" t="s">
        <v>670</v>
      </c>
      <c r="D4795" s="9" t="s">
        <v>3195</v>
      </c>
      <c r="E4795" s="9" t="s">
        <v>3185</v>
      </c>
      <c r="F4795" s="15" t="s">
        <v>395</v>
      </c>
      <c r="H4795" s="9"/>
    </row>
    <row r="4796" ht="14.25" customHeight="1">
      <c r="A4796" s="9"/>
      <c r="B4796" s="9"/>
      <c r="C4796" s="185" t="s">
        <v>670</v>
      </c>
      <c r="D4796" s="9" t="s">
        <v>3195</v>
      </c>
      <c r="E4796" s="9" t="s">
        <v>3185</v>
      </c>
      <c r="F4796" s="15" t="s">
        <v>276</v>
      </c>
      <c r="H4796" s="9"/>
    </row>
    <row r="4797" ht="14.25" customHeight="1">
      <c r="A4797" s="9"/>
      <c r="B4797" s="9"/>
      <c r="C4797" s="185" t="s">
        <v>670</v>
      </c>
      <c r="D4797" s="9" t="s">
        <v>3195</v>
      </c>
      <c r="E4797" s="9" t="s">
        <v>3185</v>
      </c>
      <c r="F4797" s="15" t="s">
        <v>431</v>
      </c>
      <c r="H4797" s="9"/>
    </row>
    <row r="4798" ht="14.25" customHeight="1">
      <c r="A4798" s="9"/>
      <c r="B4798" s="9"/>
      <c r="C4798" s="185" t="s">
        <v>670</v>
      </c>
      <c r="D4798" s="9" t="s">
        <v>3195</v>
      </c>
      <c r="E4798" s="9" t="s">
        <v>3185</v>
      </c>
      <c r="F4798" s="15" t="s">
        <v>1272</v>
      </c>
      <c r="H4798" s="9"/>
    </row>
    <row r="4799" ht="14.25" customHeight="1">
      <c r="A4799" s="9"/>
      <c r="B4799" s="9"/>
      <c r="C4799" s="185" t="s">
        <v>670</v>
      </c>
      <c r="D4799" s="9" t="s">
        <v>3195</v>
      </c>
      <c r="E4799" s="9" t="s">
        <v>3185</v>
      </c>
      <c r="F4799" s="15" t="s">
        <v>420</v>
      </c>
      <c r="H4799" s="9"/>
    </row>
    <row r="4800" ht="14.25" customHeight="1">
      <c r="A4800" s="9"/>
      <c r="B4800" s="9"/>
      <c r="C4800" s="185" t="s">
        <v>670</v>
      </c>
      <c r="D4800" s="9" t="s">
        <v>3195</v>
      </c>
      <c r="E4800" s="9" t="s">
        <v>3185</v>
      </c>
      <c r="F4800" s="15" t="s">
        <v>482</v>
      </c>
      <c r="H4800" s="9"/>
    </row>
    <row r="4801" ht="14.25" customHeight="1">
      <c r="A4801" s="9"/>
      <c r="B4801" s="9"/>
      <c r="C4801" s="185" t="s">
        <v>670</v>
      </c>
      <c r="D4801" s="9" t="s">
        <v>3195</v>
      </c>
      <c r="E4801" s="9" t="s">
        <v>3185</v>
      </c>
      <c r="F4801" s="15" t="s">
        <v>136</v>
      </c>
      <c r="H4801" s="9"/>
    </row>
    <row r="4802" ht="14.25" customHeight="1">
      <c r="A4802" s="9"/>
      <c r="B4802" s="9"/>
      <c r="C4802" s="185" t="s">
        <v>670</v>
      </c>
      <c r="D4802" s="9" t="s">
        <v>3195</v>
      </c>
      <c r="E4802" s="9" t="s">
        <v>3185</v>
      </c>
      <c r="F4802" s="15" t="s">
        <v>408</v>
      </c>
      <c r="H4802" s="9"/>
    </row>
    <row r="4803" ht="14.25" customHeight="1">
      <c r="A4803" s="9"/>
      <c r="B4803" s="9"/>
      <c r="C4803" s="185" t="s">
        <v>670</v>
      </c>
      <c r="D4803" s="9" t="s">
        <v>3195</v>
      </c>
      <c r="E4803" s="9" t="s">
        <v>3185</v>
      </c>
      <c r="F4803" s="15" t="s">
        <v>2589</v>
      </c>
      <c r="H4803" s="9"/>
    </row>
    <row r="4804" ht="14.25" customHeight="1">
      <c r="A4804" s="9"/>
      <c r="B4804" s="9"/>
      <c r="C4804" s="185" t="s">
        <v>670</v>
      </c>
      <c r="D4804" s="9" t="s">
        <v>3195</v>
      </c>
      <c r="E4804" s="9" t="s">
        <v>3185</v>
      </c>
      <c r="F4804" s="15" t="s">
        <v>197</v>
      </c>
      <c r="H4804" s="9"/>
    </row>
    <row r="4805" ht="14.25" customHeight="1">
      <c r="A4805" s="9"/>
      <c r="B4805" s="9"/>
      <c r="C4805" s="185" t="s">
        <v>670</v>
      </c>
      <c r="D4805" s="9" t="s">
        <v>3195</v>
      </c>
      <c r="E4805" s="9" t="s">
        <v>3185</v>
      </c>
      <c r="F4805" s="15" t="s">
        <v>172</v>
      </c>
      <c r="H4805" s="9"/>
    </row>
    <row r="4806" ht="14.25" customHeight="1">
      <c r="A4806" s="9"/>
      <c r="B4806" s="9"/>
      <c r="C4806" s="185" t="s">
        <v>670</v>
      </c>
      <c r="D4806" s="9" t="s">
        <v>3195</v>
      </c>
      <c r="E4806" s="9" t="s">
        <v>3185</v>
      </c>
      <c r="F4806" s="15" t="s">
        <v>98</v>
      </c>
      <c r="H4806" s="9"/>
    </row>
    <row r="4807" ht="14.25" customHeight="1">
      <c r="A4807" s="9"/>
      <c r="B4807" s="9"/>
      <c r="C4807" s="185" t="s">
        <v>670</v>
      </c>
      <c r="D4807" s="9" t="s">
        <v>3195</v>
      </c>
      <c r="E4807" s="9" t="s">
        <v>3185</v>
      </c>
      <c r="F4807" s="15" t="s">
        <v>341</v>
      </c>
      <c r="H4807" s="9"/>
    </row>
    <row r="4808" ht="14.25" customHeight="1">
      <c r="A4808" s="9"/>
      <c r="B4808" s="9"/>
      <c r="C4808" s="185" t="s">
        <v>670</v>
      </c>
      <c r="D4808" s="9" t="s">
        <v>3195</v>
      </c>
      <c r="E4808" s="9" t="s">
        <v>3185</v>
      </c>
      <c r="F4808" s="15" t="s">
        <v>367</v>
      </c>
      <c r="H4808" s="9"/>
    </row>
    <row r="4809" ht="14.25" customHeight="1">
      <c r="A4809" s="9"/>
      <c r="B4809" s="9"/>
      <c r="C4809" s="185" t="s">
        <v>670</v>
      </c>
      <c r="D4809" s="9" t="s">
        <v>3195</v>
      </c>
      <c r="E4809" s="9" t="s">
        <v>3185</v>
      </c>
      <c r="F4809" s="15" t="s">
        <v>529</v>
      </c>
      <c r="H4809" s="9"/>
    </row>
    <row r="4810" ht="14.25" customHeight="1">
      <c r="A4810" s="9"/>
      <c r="B4810" s="9"/>
      <c r="C4810" s="185" t="s">
        <v>670</v>
      </c>
      <c r="D4810" s="9" t="s">
        <v>3195</v>
      </c>
      <c r="E4810" s="9" t="s">
        <v>3185</v>
      </c>
      <c r="F4810" s="15" t="s">
        <v>282</v>
      </c>
      <c r="H4810" s="9"/>
    </row>
    <row r="4811" ht="14.25" customHeight="1">
      <c r="A4811" s="9"/>
      <c r="B4811" s="9"/>
      <c r="C4811" s="185" t="s">
        <v>670</v>
      </c>
      <c r="D4811" s="9" t="s">
        <v>3195</v>
      </c>
      <c r="E4811" s="9" t="s">
        <v>3185</v>
      </c>
      <c r="F4811" s="15" t="s">
        <v>321</v>
      </c>
      <c r="H4811" s="9"/>
    </row>
    <row r="4812" ht="14.25" customHeight="1">
      <c r="A4812" s="9"/>
      <c r="B4812" s="9"/>
      <c r="C4812" s="185" t="s">
        <v>670</v>
      </c>
      <c r="D4812" s="9" t="s">
        <v>3195</v>
      </c>
      <c r="E4812" s="9" t="s">
        <v>3185</v>
      </c>
      <c r="F4812" s="15" t="s">
        <v>272</v>
      </c>
      <c r="H4812" s="9"/>
    </row>
    <row r="4813" ht="14.25" customHeight="1">
      <c r="A4813" s="9"/>
      <c r="B4813" s="9"/>
      <c r="C4813" s="185" t="s">
        <v>670</v>
      </c>
      <c r="D4813" s="9" t="s">
        <v>3195</v>
      </c>
      <c r="E4813" s="9" t="s">
        <v>3185</v>
      </c>
      <c r="F4813" s="15" t="s">
        <v>517</v>
      </c>
      <c r="H4813" s="9"/>
    </row>
    <row r="4814" ht="14.25" customHeight="1">
      <c r="A4814" s="9"/>
      <c r="B4814" s="9"/>
      <c r="C4814" s="185" t="s">
        <v>670</v>
      </c>
      <c r="D4814" s="9" t="s">
        <v>3195</v>
      </c>
      <c r="E4814" s="9" t="s">
        <v>3185</v>
      </c>
      <c r="F4814" s="15" t="s">
        <v>2593</v>
      </c>
      <c r="H4814" s="9"/>
    </row>
    <row r="4815" ht="14.25" customHeight="1">
      <c r="A4815" s="9"/>
      <c r="B4815" s="9"/>
      <c r="C4815" s="185" t="s">
        <v>670</v>
      </c>
      <c r="D4815" s="9" t="s">
        <v>3195</v>
      </c>
      <c r="E4815" s="9" t="s">
        <v>3185</v>
      </c>
      <c r="F4815" s="15" t="s">
        <v>507</v>
      </c>
      <c r="H4815" s="9"/>
    </row>
    <row r="4816" ht="14.25" customHeight="1">
      <c r="A4816" s="9"/>
      <c r="B4816" s="9"/>
      <c r="C4816" s="185" t="s">
        <v>670</v>
      </c>
      <c r="D4816" s="9" t="s">
        <v>3195</v>
      </c>
      <c r="E4816" s="9" t="s">
        <v>3185</v>
      </c>
      <c r="F4816" s="15" t="s">
        <v>336</v>
      </c>
      <c r="H4816" s="9"/>
    </row>
    <row r="4817" ht="14.25" customHeight="1">
      <c r="A4817" s="9"/>
      <c r="B4817" s="9"/>
      <c r="C4817" s="185" t="s">
        <v>670</v>
      </c>
      <c r="D4817" s="9" t="s">
        <v>3195</v>
      </c>
      <c r="E4817" s="9" t="s">
        <v>3185</v>
      </c>
      <c r="F4817" s="15" t="s">
        <v>235</v>
      </c>
      <c r="H4817" s="9"/>
    </row>
    <row r="4818" ht="14.25" customHeight="1">
      <c r="A4818" s="9"/>
      <c r="B4818" s="9"/>
      <c r="C4818" s="185" t="s">
        <v>670</v>
      </c>
      <c r="D4818" s="9" t="s">
        <v>3195</v>
      </c>
      <c r="E4818" s="9" t="s">
        <v>3185</v>
      </c>
      <c r="F4818" s="15" t="s">
        <v>327</v>
      </c>
      <c r="H4818" s="9"/>
    </row>
    <row r="4819" ht="14.25" customHeight="1">
      <c r="A4819" s="9"/>
      <c r="B4819" s="9"/>
      <c r="C4819" s="185" t="s">
        <v>670</v>
      </c>
      <c r="D4819" s="9" t="s">
        <v>3195</v>
      </c>
      <c r="E4819" s="9" t="s">
        <v>3185</v>
      </c>
      <c r="F4819" s="15" t="s">
        <v>264</v>
      </c>
      <c r="H4819" s="9"/>
    </row>
    <row r="4820" ht="14.25" customHeight="1">
      <c r="A4820" s="9"/>
      <c r="B4820" s="9"/>
      <c r="C4820" s="200" t="s">
        <v>3196</v>
      </c>
      <c r="D4820" s="9" t="s">
        <v>717</v>
      </c>
      <c r="E4820" s="9" t="s">
        <v>3185</v>
      </c>
      <c r="F4820" s="212" t="s">
        <v>474</v>
      </c>
      <c r="H4820" s="9"/>
    </row>
    <row r="4821" ht="14.25" customHeight="1">
      <c r="A4821" s="9"/>
      <c r="B4821" s="9"/>
      <c r="C4821" s="200" t="s">
        <v>3196</v>
      </c>
      <c r="D4821" s="9" t="s">
        <v>717</v>
      </c>
      <c r="E4821" s="9" t="s">
        <v>3185</v>
      </c>
      <c r="F4821" s="15" t="s">
        <v>284</v>
      </c>
      <c r="H4821" s="9"/>
    </row>
    <row r="4822" ht="14.25" customHeight="1">
      <c r="A4822" s="9"/>
      <c r="B4822" s="9"/>
      <c r="C4822" s="200" t="s">
        <v>3196</v>
      </c>
      <c r="D4822" s="9" t="s">
        <v>717</v>
      </c>
      <c r="E4822" s="9" t="s">
        <v>3185</v>
      </c>
      <c r="F4822" s="15" t="s">
        <v>493</v>
      </c>
      <c r="H4822" s="9"/>
    </row>
    <row r="4823" ht="14.25" customHeight="1">
      <c r="A4823" s="9"/>
      <c r="B4823" s="9"/>
      <c r="C4823" s="200" t="s">
        <v>3196</v>
      </c>
      <c r="D4823" s="9" t="s">
        <v>717</v>
      </c>
      <c r="E4823" s="9" t="s">
        <v>3185</v>
      </c>
      <c r="F4823" s="212" t="s">
        <v>450</v>
      </c>
      <c r="H4823" s="9"/>
    </row>
    <row r="4824" ht="14.25" customHeight="1">
      <c r="A4824" s="9"/>
      <c r="B4824" s="9"/>
      <c r="C4824" s="200" t="s">
        <v>3196</v>
      </c>
      <c r="D4824" s="9" t="s">
        <v>717</v>
      </c>
      <c r="E4824" s="9" t="s">
        <v>3185</v>
      </c>
      <c r="F4824" s="15" t="s">
        <v>2296</v>
      </c>
      <c r="H4824" s="9"/>
    </row>
    <row r="4825" ht="14.25" customHeight="1">
      <c r="A4825" s="9"/>
      <c r="B4825" s="9"/>
      <c r="C4825" s="200" t="s">
        <v>3196</v>
      </c>
      <c r="D4825" s="9" t="s">
        <v>717</v>
      </c>
      <c r="E4825" s="9" t="s">
        <v>3185</v>
      </c>
      <c r="F4825" s="15" t="s">
        <v>276</v>
      </c>
      <c r="H4825" s="9"/>
    </row>
    <row r="4826" ht="14.25" customHeight="1">
      <c r="A4826" s="9"/>
      <c r="B4826" s="9"/>
      <c r="C4826" s="200" t="s">
        <v>3196</v>
      </c>
      <c r="D4826" s="9" t="s">
        <v>717</v>
      </c>
      <c r="E4826" s="9" t="s">
        <v>3185</v>
      </c>
      <c r="F4826" s="15" t="s">
        <v>431</v>
      </c>
      <c r="H4826" s="9"/>
    </row>
    <row r="4827" ht="14.25" customHeight="1">
      <c r="A4827" s="9"/>
      <c r="B4827" s="9"/>
      <c r="C4827" s="200" t="s">
        <v>3196</v>
      </c>
      <c r="D4827" s="9" t="s">
        <v>717</v>
      </c>
      <c r="E4827" s="9" t="s">
        <v>3185</v>
      </c>
      <c r="F4827" s="15" t="s">
        <v>1272</v>
      </c>
      <c r="H4827" s="9"/>
    </row>
    <row r="4828" ht="14.25" customHeight="1">
      <c r="A4828" s="9"/>
      <c r="B4828" s="9"/>
      <c r="C4828" s="200" t="s">
        <v>3196</v>
      </c>
      <c r="D4828" s="9" t="s">
        <v>717</v>
      </c>
      <c r="E4828" s="9" t="s">
        <v>3185</v>
      </c>
      <c r="F4828" s="15" t="s">
        <v>420</v>
      </c>
      <c r="H4828" s="9"/>
    </row>
    <row r="4829" ht="14.25" customHeight="1">
      <c r="A4829" s="9"/>
      <c r="B4829" s="9"/>
      <c r="C4829" s="200" t="s">
        <v>3196</v>
      </c>
      <c r="D4829" s="9" t="s">
        <v>717</v>
      </c>
      <c r="E4829" s="9" t="s">
        <v>3185</v>
      </c>
      <c r="F4829" s="212" t="s">
        <v>482</v>
      </c>
      <c r="H4829" s="9"/>
    </row>
    <row r="4830" ht="14.25" customHeight="1">
      <c r="A4830" s="9"/>
      <c r="B4830" s="9"/>
      <c r="C4830" s="200" t="s">
        <v>3196</v>
      </c>
      <c r="D4830" s="9" t="s">
        <v>717</v>
      </c>
      <c r="E4830" s="9" t="s">
        <v>3185</v>
      </c>
      <c r="F4830" s="15" t="s">
        <v>136</v>
      </c>
      <c r="H4830" s="9"/>
    </row>
    <row r="4831" ht="14.25" customHeight="1">
      <c r="A4831" s="9"/>
      <c r="B4831" s="9"/>
      <c r="C4831" s="200" t="s">
        <v>3196</v>
      </c>
      <c r="D4831" s="9" t="s">
        <v>717</v>
      </c>
      <c r="E4831" s="9" t="s">
        <v>3185</v>
      </c>
      <c r="F4831" s="15" t="s">
        <v>408</v>
      </c>
      <c r="H4831" s="9"/>
    </row>
    <row r="4832" ht="14.25" customHeight="1">
      <c r="A4832" s="9"/>
      <c r="B4832" s="9"/>
      <c r="C4832" s="200" t="s">
        <v>3196</v>
      </c>
      <c r="D4832" s="9" t="s">
        <v>717</v>
      </c>
      <c r="E4832" s="9" t="s">
        <v>3185</v>
      </c>
      <c r="F4832" s="15" t="s">
        <v>2301</v>
      </c>
      <c r="H4832" s="9"/>
    </row>
    <row r="4833" ht="14.25" customHeight="1">
      <c r="A4833" s="9"/>
      <c r="B4833" s="9"/>
      <c r="C4833" s="200" t="s">
        <v>3196</v>
      </c>
      <c r="D4833" s="9" t="s">
        <v>717</v>
      </c>
      <c r="E4833" s="9" t="s">
        <v>3185</v>
      </c>
      <c r="F4833" s="15" t="s">
        <v>197</v>
      </c>
      <c r="H4833" s="9"/>
    </row>
    <row r="4834" ht="14.25" customHeight="1">
      <c r="A4834" s="9"/>
      <c r="B4834" s="9"/>
      <c r="C4834" s="200" t="s">
        <v>3196</v>
      </c>
      <c r="D4834" s="9" t="s">
        <v>717</v>
      </c>
      <c r="E4834" s="9" t="s">
        <v>3185</v>
      </c>
      <c r="F4834" s="15" t="s">
        <v>172</v>
      </c>
      <c r="H4834" s="9"/>
    </row>
    <row r="4835" ht="14.25" customHeight="1">
      <c r="A4835" s="9"/>
      <c r="B4835" s="9"/>
      <c r="C4835" s="200" t="s">
        <v>3196</v>
      </c>
      <c r="D4835" s="9" t="s">
        <v>717</v>
      </c>
      <c r="E4835" s="9" t="s">
        <v>3185</v>
      </c>
      <c r="F4835" s="15" t="s">
        <v>98</v>
      </c>
      <c r="H4835" s="9"/>
    </row>
    <row r="4836" ht="14.25" customHeight="1">
      <c r="A4836" s="9"/>
      <c r="B4836" s="9"/>
      <c r="C4836" s="200" t="s">
        <v>3196</v>
      </c>
      <c r="D4836" s="9" t="s">
        <v>717</v>
      </c>
      <c r="E4836" s="9" t="s">
        <v>3185</v>
      </c>
      <c r="F4836" s="212" t="s">
        <v>341</v>
      </c>
      <c r="H4836" s="9"/>
    </row>
    <row r="4837" ht="14.25" customHeight="1">
      <c r="A4837" s="9"/>
      <c r="B4837" s="9"/>
      <c r="C4837" s="200" t="s">
        <v>3196</v>
      </c>
      <c r="D4837" s="9" t="s">
        <v>717</v>
      </c>
      <c r="E4837" s="9" t="s">
        <v>3185</v>
      </c>
      <c r="F4837" s="15" t="s">
        <v>367</v>
      </c>
      <c r="H4837" s="9"/>
    </row>
    <row r="4838" ht="14.25" customHeight="1">
      <c r="A4838" s="9"/>
      <c r="B4838" s="9"/>
      <c r="C4838" s="200" t="s">
        <v>3196</v>
      </c>
      <c r="D4838" s="9" t="s">
        <v>717</v>
      </c>
      <c r="E4838" s="9" t="s">
        <v>3185</v>
      </c>
      <c r="F4838" s="15" t="s">
        <v>529</v>
      </c>
      <c r="H4838" s="9"/>
    </row>
    <row r="4839" ht="14.25" customHeight="1">
      <c r="A4839" s="9"/>
      <c r="B4839" s="9"/>
      <c r="C4839" s="200" t="s">
        <v>3196</v>
      </c>
      <c r="D4839" s="9" t="s">
        <v>717</v>
      </c>
      <c r="E4839" s="9" t="s">
        <v>3185</v>
      </c>
      <c r="F4839" s="15" t="s">
        <v>282</v>
      </c>
      <c r="H4839" s="9"/>
    </row>
    <row r="4840" ht="14.25" customHeight="1">
      <c r="A4840" s="9"/>
      <c r="B4840" s="9"/>
      <c r="C4840" s="200" t="s">
        <v>3196</v>
      </c>
      <c r="D4840" s="9" t="s">
        <v>717</v>
      </c>
      <c r="E4840" s="9" t="s">
        <v>3185</v>
      </c>
      <c r="F4840" s="15" t="s">
        <v>321</v>
      </c>
      <c r="H4840" s="9"/>
    </row>
    <row r="4841" ht="14.25" customHeight="1">
      <c r="A4841" s="9"/>
      <c r="B4841" s="9"/>
      <c r="C4841" s="200" t="s">
        <v>3196</v>
      </c>
      <c r="D4841" s="9" t="s">
        <v>717</v>
      </c>
      <c r="E4841" s="9" t="s">
        <v>3185</v>
      </c>
      <c r="F4841" s="15" t="s">
        <v>272</v>
      </c>
      <c r="H4841" s="9"/>
    </row>
    <row r="4842" ht="14.25" customHeight="1">
      <c r="A4842" s="9"/>
      <c r="B4842" s="9"/>
      <c r="C4842" s="200" t="s">
        <v>3196</v>
      </c>
      <c r="D4842" s="9" t="s">
        <v>717</v>
      </c>
      <c r="E4842" s="9" t="s">
        <v>3185</v>
      </c>
      <c r="F4842" s="15" t="s">
        <v>517</v>
      </c>
      <c r="H4842" s="9"/>
    </row>
    <row r="4843" ht="14.25" customHeight="1">
      <c r="A4843" s="9"/>
      <c r="B4843" s="9"/>
      <c r="C4843" s="200" t="s">
        <v>3196</v>
      </c>
      <c r="D4843" s="9" t="s">
        <v>717</v>
      </c>
      <c r="E4843" s="9" t="s">
        <v>3185</v>
      </c>
      <c r="F4843" s="15" t="s">
        <v>2309</v>
      </c>
      <c r="H4843" s="9"/>
    </row>
    <row r="4844" ht="14.25" customHeight="1">
      <c r="A4844" s="9"/>
      <c r="B4844" s="9"/>
      <c r="C4844" s="200" t="s">
        <v>3196</v>
      </c>
      <c r="D4844" s="9" t="s">
        <v>717</v>
      </c>
      <c r="E4844" s="9" t="s">
        <v>3185</v>
      </c>
      <c r="F4844" s="212" t="s">
        <v>507</v>
      </c>
      <c r="H4844" s="9"/>
    </row>
    <row r="4845" ht="14.25" customHeight="1">
      <c r="A4845" s="9"/>
      <c r="B4845" s="9"/>
      <c r="C4845" s="200" t="s">
        <v>3196</v>
      </c>
      <c r="D4845" s="9" t="s">
        <v>717</v>
      </c>
      <c r="E4845" s="9" t="s">
        <v>3185</v>
      </c>
      <c r="F4845" s="15" t="s">
        <v>336</v>
      </c>
      <c r="H4845" s="9"/>
    </row>
    <row r="4846" ht="14.25" customHeight="1">
      <c r="A4846" s="9"/>
      <c r="B4846" s="9"/>
      <c r="C4846" s="200" t="s">
        <v>3196</v>
      </c>
      <c r="D4846" s="9" t="s">
        <v>717</v>
      </c>
      <c r="E4846" s="9" t="s">
        <v>3185</v>
      </c>
      <c r="F4846" s="212" t="s">
        <v>235</v>
      </c>
      <c r="H4846" s="9"/>
    </row>
    <row r="4847" ht="14.25" customHeight="1">
      <c r="A4847" s="9"/>
      <c r="B4847" s="9"/>
      <c r="C4847" s="200" t="s">
        <v>3196</v>
      </c>
      <c r="D4847" s="9" t="s">
        <v>717</v>
      </c>
      <c r="E4847" s="9" t="s">
        <v>3185</v>
      </c>
      <c r="F4847" s="15" t="s">
        <v>327</v>
      </c>
      <c r="H4847" s="9"/>
    </row>
    <row r="4848" ht="14.25" customHeight="1">
      <c r="A4848" s="9"/>
      <c r="B4848" s="9"/>
      <c r="C4848" s="200" t="s">
        <v>3196</v>
      </c>
      <c r="D4848" s="9" t="s">
        <v>717</v>
      </c>
      <c r="E4848" s="9" t="s">
        <v>3185</v>
      </c>
      <c r="F4848" s="15" t="s">
        <v>264</v>
      </c>
      <c r="H4848" s="9"/>
    </row>
    <row r="4849" ht="14.25" customHeight="1">
      <c r="A4849" s="9"/>
      <c r="B4849" s="9"/>
      <c r="C4849" s="185" t="s">
        <v>3197</v>
      </c>
      <c r="D4849" s="207" t="s">
        <v>3198</v>
      </c>
      <c r="E4849" s="9" t="s">
        <v>3185</v>
      </c>
      <c r="F4849" s="15" t="s">
        <v>474</v>
      </c>
      <c r="H4849" s="9"/>
    </row>
    <row r="4850" ht="14.25" customHeight="1">
      <c r="A4850" s="9"/>
      <c r="B4850" s="9"/>
      <c r="C4850" s="185" t="s">
        <v>3197</v>
      </c>
      <c r="D4850" s="207" t="s">
        <v>3198</v>
      </c>
      <c r="E4850" s="9" t="s">
        <v>3185</v>
      </c>
      <c r="F4850" s="15" t="s">
        <v>284</v>
      </c>
      <c r="H4850" s="9"/>
    </row>
    <row r="4851" ht="14.25" customHeight="1">
      <c r="A4851" s="9"/>
      <c r="B4851" s="9"/>
      <c r="C4851" s="185" t="s">
        <v>3197</v>
      </c>
      <c r="D4851" s="207" t="s">
        <v>3198</v>
      </c>
      <c r="E4851" s="9" t="s">
        <v>3185</v>
      </c>
      <c r="F4851" s="15" t="s">
        <v>493</v>
      </c>
      <c r="H4851" s="9"/>
    </row>
    <row r="4852" ht="14.25" customHeight="1">
      <c r="A4852" s="9"/>
      <c r="B4852" s="9"/>
      <c r="C4852" s="185" t="s">
        <v>3197</v>
      </c>
      <c r="D4852" s="207" t="s">
        <v>3198</v>
      </c>
      <c r="E4852" s="9" t="s">
        <v>3185</v>
      </c>
      <c r="F4852" s="15" t="s">
        <v>450</v>
      </c>
      <c r="H4852" s="9"/>
    </row>
    <row r="4853" ht="14.25" customHeight="1">
      <c r="A4853" s="9"/>
      <c r="B4853" s="9"/>
      <c r="C4853" s="185" t="s">
        <v>3197</v>
      </c>
      <c r="D4853" s="207" t="s">
        <v>3198</v>
      </c>
      <c r="E4853" s="9" t="s">
        <v>3185</v>
      </c>
      <c r="F4853" s="15" t="s">
        <v>395</v>
      </c>
      <c r="H4853" s="9"/>
    </row>
    <row r="4854" ht="14.25" customHeight="1">
      <c r="A4854" s="9"/>
      <c r="B4854" s="9"/>
      <c r="C4854" s="185" t="s">
        <v>3197</v>
      </c>
      <c r="D4854" s="207" t="s">
        <v>3198</v>
      </c>
      <c r="E4854" s="9" t="s">
        <v>3185</v>
      </c>
      <c r="F4854" s="15" t="s">
        <v>276</v>
      </c>
      <c r="H4854" s="9"/>
    </row>
    <row r="4855" ht="14.25" customHeight="1">
      <c r="A4855" s="9"/>
      <c r="B4855" s="9"/>
      <c r="C4855" s="185" t="s">
        <v>3197</v>
      </c>
      <c r="D4855" s="207" t="s">
        <v>3198</v>
      </c>
      <c r="E4855" s="9" t="s">
        <v>3185</v>
      </c>
      <c r="F4855" s="15" t="s">
        <v>431</v>
      </c>
      <c r="H4855" s="9"/>
    </row>
    <row r="4856" ht="14.25" customHeight="1">
      <c r="A4856" s="9"/>
      <c r="B4856" s="9"/>
      <c r="C4856" s="185" t="s">
        <v>3197</v>
      </c>
      <c r="D4856" s="207" t="s">
        <v>3198</v>
      </c>
      <c r="E4856" s="9" t="s">
        <v>3185</v>
      </c>
      <c r="F4856" s="15" t="s">
        <v>1272</v>
      </c>
      <c r="H4856" s="9"/>
    </row>
    <row r="4857" ht="14.25" customHeight="1">
      <c r="A4857" s="9"/>
      <c r="B4857" s="9"/>
      <c r="C4857" s="185" t="s">
        <v>3197</v>
      </c>
      <c r="D4857" s="207" t="s">
        <v>3198</v>
      </c>
      <c r="E4857" s="9" t="s">
        <v>3185</v>
      </c>
      <c r="F4857" s="15" t="s">
        <v>420</v>
      </c>
      <c r="H4857" s="9"/>
    </row>
    <row r="4858" ht="14.25" customHeight="1">
      <c r="A4858" s="9"/>
      <c r="B4858" s="9"/>
      <c r="C4858" s="185" t="s">
        <v>3197</v>
      </c>
      <c r="D4858" s="207" t="s">
        <v>3198</v>
      </c>
      <c r="E4858" s="9" t="s">
        <v>3185</v>
      </c>
      <c r="F4858" s="15" t="s">
        <v>482</v>
      </c>
      <c r="H4858" s="9"/>
    </row>
    <row r="4859" ht="14.25" customHeight="1">
      <c r="A4859" s="9"/>
      <c r="B4859" s="9"/>
      <c r="C4859" s="185" t="s">
        <v>3197</v>
      </c>
      <c r="D4859" s="207" t="s">
        <v>3198</v>
      </c>
      <c r="E4859" s="9" t="s">
        <v>3185</v>
      </c>
      <c r="F4859" s="15" t="s">
        <v>136</v>
      </c>
      <c r="H4859" s="9"/>
    </row>
    <row r="4860" ht="14.25" customHeight="1">
      <c r="A4860" s="9"/>
      <c r="B4860" s="9"/>
      <c r="C4860" s="185" t="s">
        <v>3197</v>
      </c>
      <c r="D4860" s="207" t="s">
        <v>3198</v>
      </c>
      <c r="E4860" s="9" t="s">
        <v>3185</v>
      </c>
      <c r="F4860" s="15" t="s">
        <v>408</v>
      </c>
      <c r="H4860" s="9"/>
    </row>
    <row r="4861" ht="14.25" customHeight="1">
      <c r="A4861" s="9"/>
      <c r="B4861" s="9"/>
      <c r="C4861" s="185" t="s">
        <v>3197</v>
      </c>
      <c r="D4861" s="207" t="s">
        <v>3198</v>
      </c>
      <c r="E4861" s="9" t="s">
        <v>3185</v>
      </c>
      <c r="F4861" s="15" t="s">
        <v>2589</v>
      </c>
      <c r="H4861" s="9"/>
    </row>
    <row r="4862" ht="14.25" customHeight="1">
      <c r="A4862" s="9"/>
      <c r="B4862" s="9"/>
      <c r="C4862" s="185" t="s">
        <v>3197</v>
      </c>
      <c r="D4862" s="207" t="s">
        <v>3198</v>
      </c>
      <c r="E4862" s="9" t="s">
        <v>3185</v>
      </c>
      <c r="F4862" s="15" t="s">
        <v>197</v>
      </c>
      <c r="H4862" s="9"/>
    </row>
    <row r="4863" ht="14.25" customHeight="1">
      <c r="A4863" s="9"/>
      <c r="B4863" s="9"/>
      <c r="C4863" s="185" t="s">
        <v>3197</v>
      </c>
      <c r="D4863" s="207" t="s">
        <v>3198</v>
      </c>
      <c r="E4863" s="9" t="s">
        <v>3185</v>
      </c>
      <c r="F4863" s="15" t="s">
        <v>172</v>
      </c>
      <c r="H4863" s="9"/>
    </row>
    <row r="4864" ht="14.25" customHeight="1">
      <c r="A4864" s="9"/>
      <c r="B4864" s="9"/>
      <c r="C4864" s="185" t="s">
        <v>3197</v>
      </c>
      <c r="D4864" s="207" t="s">
        <v>3198</v>
      </c>
      <c r="E4864" s="9" t="s">
        <v>3185</v>
      </c>
      <c r="F4864" s="15" t="s">
        <v>98</v>
      </c>
      <c r="H4864" s="9"/>
    </row>
    <row r="4865" ht="14.25" customHeight="1">
      <c r="A4865" s="9"/>
      <c r="B4865" s="9"/>
      <c r="C4865" s="185" t="s">
        <v>3197</v>
      </c>
      <c r="D4865" s="207" t="s">
        <v>3198</v>
      </c>
      <c r="E4865" s="9" t="s">
        <v>3185</v>
      </c>
      <c r="F4865" s="15" t="s">
        <v>341</v>
      </c>
      <c r="H4865" s="9"/>
    </row>
    <row r="4866" ht="14.25" customHeight="1">
      <c r="A4866" s="9"/>
      <c r="B4866" s="9"/>
      <c r="C4866" s="185" t="s">
        <v>3197</v>
      </c>
      <c r="D4866" s="207" t="s">
        <v>3198</v>
      </c>
      <c r="E4866" s="9" t="s">
        <v>3185</v>
      </c>
      <c r="F4866" s="15" t="s">
        <v>367</v>
      </c>
      <c r="H4866" s="9"/>
    </row>
    <row r="4867" ht="14.25" customHeight="1">
      <c r="A4867" s="9"/>
      <c r="B4867" s="9"/>
      <c r="C4867" s="185" t="s">
        <v>3197</v>
      </c>
      <c r="D4867" s="207" t="s">
        <v>3198</v>
      </c>
      <c r="E4867" s="9" t="s">
        <v>3185</v>
      </c>
      <c r="F4867" s="15" t="s">
        <v>529</v>
      </c>
      <c r="H4867" s="9"/>
    </row>
    <row r="4868" ht="14.25" customHeight="1">
      <c r="A4868" s="9"/>
      <c r="B4868" s="9"/>
      <c r="C4868" s="185" t="s">
        <v>3197</v>
      </c>
      <c r="D4868" s="207" t="s">
        <v>3198</v>
      </c>
      <c r="E4868" s="9" t="s">
        <v>3185</v>
      </c>
      <c r="F4868" s="15" t="s">
        <v>282</v>
      </c>
      <c r="H4868" s="9"/>
    </row>
    <row r="4869" ht="14.25" customHeight="1">
      <c r="A4869" s="9"/>
      <c r="B4869" s="9"/>
      <c r="C4869" s="185" t="s">
        <v>3197</v>
      </c>
      <c r="D4869" s="207" t="s">
        <v>3198</v>
      </c>
      <c r="E4869" s="9" t="s">
        <v>3185</v>
      </c>
      <c r="F4869" s="15" t="s">
        <v>321</v>
      </c>
      <c r="H4869" s="9"/>
    </row>
    <row r="4870" ht="14.25" customHeight="1">
      <c r="A4870" s="9"/>
      <c r="B4870" s="9"/>
      <c r="C4870" s="185" t="s">
        <v>3197</v>
      </c>
      <c r="D4870" s="207" t="s">
        <v>3198</v>
      </c>
      <c r="E4870" s="9" t="s">
        <v>3185</v>
      </c>
      <c r="F4870" s="15" t="s">
        <v>272</v>
      </c>
      <c r="H4870" s="9"/>
    </row>
    <row r="4871" ht="14.25" customHeight="1">
      <c r="A4871" s="9"/>
      <c r="B4871" s="9"/>
      <c r="C4871" s="185" t="s">
        <v>3197</v>
      </c>
      <c r="D4871" s="207" t="s">
        <v>3198</v>
      </c>
      <c r="E4871" s="9" t="s">
        <v>3185</v>
      </c>
      <c r="F4871" s="15" t="s">
        <v>517</v>
      </c>
      <c r="H4871" s="9"/>
    </row>
    <row r="4872" ht="14.25" customHeight="1">
      <c r="A4872" s="9"/>
      <c r="B4872" s="9"/>
      <c r="C4872" s="185" t="s">
        <v>3197</v>
      </c>
      <c r="D4872" s="207" t="s">
        <v>3198</v>
      </c>
      <c r="E4872" s="9" t="s">
        <v>3185</v>
      </c>
      <c r="F4872" s="15" t="s">
        <v>2593</v>
      </c>
      <c r="H4872" s="9"/>
    </row>
    <row r="4873" ht="14.25" customHeight="1">
      <c r="A4873" s="9"/>
      <c r="B4873" s="9"/>
      <c r="C4873" s="185" t="s">
        <v>3197</v>
      </c>
      <c r="D4873" s="207" t="s">
        <v>3198</v>
      </c>
      <c r="E4873" s="9" t="s">
        <v>3185</v>
      </c>
      <c r="F4873" s="15" t="s">
        <v>507</v>
      </c>
      <c r="H4873" s="9"/>
    </row>
    <row r="4874" ht="14.25" customHeight="1">
      <c r="A4874" s="9"/>
      <c r="B4874" s="9"/>
      <c r="C4874" s="185" t="s">
        <v>3197</v>
      </c>
      <c r="D4874" s="207" t="s">
        <v>3198</v>
      </c>
      <c r="E4874" s="9" t="s">
        <v>3185</v>
      </c>
      <c r="F4874" s="15" t="s">
        <v>336</v>
      </c>
      <c r="H4874" s="9"/>
    </row>
    <row r="4875" ht="14.25" customHeight="1">
      <c r="A4875" s="9"/>
      <c r="B4875" s="9"/>
      <c r="C4875" s="185" t="s">
        <v>3197</v>
      </c>
      <c r="D4875" s="207" t="s">
        <v>3198</v>
      </c>
      <c r="E4875" s="9" t="s">
        <v>3185</v>
      </c>
      <c r="F4875" s="15" t="s">
        <v>235</v>
      </c>
      <c r="H4875" s="9"/>
    </row>
    <row r="4876" ht="14.25" customHeight="1">
      <c r="A4876" s="9"/>
      <c r="B4876" s="9"/>
      <c r="C4876" s="185" t="s">
        <v>3197</v>
      </c>
      <c r="D4876" s="207" t="s">
        <v>3198</v>
      </c>
      <c r="E4876" s="9" t="s">
        <v>3185</v>
      </c>
      <c r="F4876" s="15" t="s">
        <v>327</v>
      </c>
      <c r="H4876" s="9"/>
    </row>
    <row r="4877" ht="14.25" customHeight="1">
      <c r="A4877" s="9"/>
      <c r="B4877" s="9"/>
      <c r="C4877" s="185" t="s">
        <v>3197</v>
      </c>
      <c r="D4877" s="207" t="s">
        <v>3198</v>
      </c>
      <c r="E4877" s="9" t="s">
        <v>3185</v>
      </c>
      <c r="F4877" s="15" t="s">
        <v>264</v>
      </c>
      <c r="H4877" s="9"/>
    </row>
    <row r="4878" ht="14.25" customHeight="1">
      <c r="A4878" s="9"/>
      <c r="B4878" s="9"/>
      <c r="C4878" s="185" t="s">
        <v>3197</v>
      </c>
      <c r="D4878" s="207" t="s">
        <v>3199</v>
      </c>
      <c r="E4878" s="9" t="s">
        <v>3185</v>
      </c>
      <c r="F4878" s="15" t="s">
        <v>1439</v>
      </c>
      <c r="H4878" s="9"/>
    </row>
    <row r="4879" ht="14.25" customHeight="1">
      <c r="A4879" s="9"/>
      <c r="B4879" s="9"/>
      <c r="C4879" s="185" t="s">
        <v>3197</v>
      </c>
      <c r="D4879" s="207" t="s">
        <v>3199</v>
      </c>
      <c r="E4879" s="9" t="s">
        <v>3185</v>
      </c>
      <c r="F4879" s="213" t="s">
        <v>3132</v>
      </c>
      <c r="H4879" s="9"/>
    </row>
    <row r="4880" ht="14.25" customHeight="1">
      <c r="A4880" s="9"/>
      <c r="B4880" s="9"/>
      <c r="C4880" s="185" t="s">
        <v>3197</v>
      </c>
      <c r="D4880" s="207" t="s">
        <v>3199</v>
      </c>
      <c r="E4880" s="9" t="s">
        <v>3185</v>
      </c>
      <c r="F4880" s="15" t="s">
        <v>1440</v>
      </c>
      <c r="H4880" s="9"/>
    </row>
    <row r="4881" ht="14.25" customHeight="1">
      <c r="A4881" s="9"/>
      <c r="B4881" s="9"/>
      <c r="C4881" s="185" t="s">
        <v>3197</v>
      </c>
      <c r="D4881" s="207" t="s">
        <v>3199</v>
      </c>
      <c r="E4881" s="9" t="s">
        <v>3185</v>
      </c>
      <c r="F4881" s="15" t="s">
        <v>482</v>
      </c>
      <c r="H4881" s="9"/>
    </row>
    <row r="4882" ht="14.25" customHeight="1">
      <c r="A4882" s="9"/>
      <c r="B4882" s="9"/>
      <c r="C4882" s="185" t="s">
        <v>3197</v>
      </c>
      <c r="D4882" s="207" t="s">
        <v>3199</v>
      </c>
      <c r="E4882" s="9" t="s">
        <v>3185</v>
      </c>
      <c r="F4882" s="15" t="s">
        <v>3133</v>
      </c>
      <c r="H4882" s="9"/>
    </row>
    <row r="4883" ht="14.25" customHeight="1">
      <c r="A4883" s="9"/>
      <c r="B4883" s="9"/>
      <c r="C4883" s="185" t="s">
        <v>3197</v>
      </c>
      <c r="D4883" s="207" t="s">
        <v>3199</v>
      </c>
      <c r="E4883" s="9" t="s">
        <v>3185</v>
      </c>
      <c r="F4883" s="15" t="s">
        <v>341</v>
      </c>
      <c r="H4883" s="9"/>
    </row>
    <row r="4884" ht="14.25" customHeight="1">
      <c r="A4884" s="9"/>
      <c r="B4884" s="9"/>
      <c r="C4884" s="185" t="s">
        <v>3197</v>
      </c>
      <c r="D4884" s="207" t="s">
        <v>3199</v>
      </c>
      <c r="E4884" s="9" t="s">
        <v>3185</v>
      </c>
      <c r="F4884" s="15" t="s">
        <v>367</v>
      </c>
      <c r="H4884" s="9"/>
    </row>
    <row r="4885" ht="14.25" customHeight="1">
      <c r="A4885" s="9"/>
      <c r="B4885" s="9"/>
      <c r="C4885" s="185" t="s">
        <v>3197</v>
      </c>
      <c r="D4885" s="207" t="s">
        <v>3199</v>
      </c>
      <c r="E4885" s="9" t="s">
        <v>3185</v>
      </c>
      <c r="F4885" s="15" t="s">
        <v>529</v>
      </c>
      <c r="H4885" s="9"/>
    </row>
    <row r="4886" ht="14.25" customHeight="1">
      <c r="A4886" s="9"/>
      <c r="B4886" s="9"/>
      <c r="C4886" s="200" t="s">
        <v>3197</v>
      </c>
      <c r="D4886" s="208" t="s">
        <v>3199</v>
      </c>
      <c r="E4886" s="9" t="s">
        <v>3185</v>
      </c>
      <c r="F4886" s="15" t="s">
        <v>1435</v>
      </c>
      <c r="H4886" s="9"/>
    </row>
    <row r="4887" ht="14.25" customHeight="1">
      <c r="A4887" s="9"/>
      <c r="B4887" s="9"/>
      <c r="C4887" s="185" t="s">
        <v>3197</v>
      </c>
      <c r="D4887" s="207" t="s">
        <v>3199</v>
      </c>
      <c r="E4887" s="9" t="s">
        <v>3185</v>
      </c>
      <c r="F4887" s="15" t="s">
        <v>1437</v>
      </c>
      <c r="H4887" s="9"/>
    </row>
    <row r="4888" ht="14.25" customHeight="1">
      <c r="A4888" s="9"/>
      <c r="B4888" s="9"/>
      <c r="C4888" s="185" t="s">
        <v>3197</v>
      </c>
      <c r="D4888" s="207" t="s">
        <v>3199</v>
      </c>
      <c r="E4888" s="9" t="s">
        <v>3185</v>
      </c>
      <c r="F4888" s="15" t="s">
        <v>1436</v>
      </c>
      <c r="H4888" s="9"/>
    </row>
    <row r="4889" ht="14.25" customHeight="1">
      <c r="A4889" s="9"/>
      <c r="B4889" s="9"/>
      <c r="C4889" s="185" t="s">
        <v>3197</v>
      </c>
      <c r="D4889" s="207" t="s">
        <v>3199</v>
      </c>
      <c r="E4889" s="9" t="s">
        <v>3185</v>
      </c>
      <c r="F4889" s="15" t="s">
        <v>3134</v>
      </c>
      <c r="H4889" s="9"/>
    </row>
    <row r="4890" ht="14.25" customHeight="1">
      <c r="A4890" s="9"/>
      <c r="B4890" s="9"/>
      <c r="C4890" s="200" t="s">
        <v>3197</v>
      </c>
      <c r="D4890" s="208" t="s">
        <v>3199</v>
      </c>
      <c r="E4890" s="9" t="s">
        <v>3185</v>
      </c>
      <c r="F4890" s="15" t="s">
        <v>1434</v>
      </c>
      <c r="H4890" s="9"/>
    </row>
    <row r="4891" ht="14.25" customHeight="1">
      <c r="A4891" s="9"/>
      <c r="B4891" s="9"/>
      <c r="C4891" s="185" t="s">
        <v>3197</v>
      </c>
      <c r="D4891" s="207" t="s">
        <v>3199</v>
      </c>
      <c r="E4891" s="9" t="s">
        <v>3185</v>
      </c>
      <c r="F4891" s="15" t="s">
        <v>517</v>
      </c>
      <c r="H4891" s="9"/>
    </row>
    <row r="4892" ht="14.25" customHeight="1">
      <c r="A4892" s="9"/>
      <c r="B4892" s="9"/>
      <c r="C4892" s="185" t="s">
        <v>3197</v>
      </c>
      <c r="D4892" s="207" t="s">
        <v>3199</v>
      </c>
      <c r="E4892" s="9" t="s">
        <v>3185</v>
      </c>
      <c r="F4892" s="15" t="s">
        <v>507</v>
      </c>
      <c r="H4892" s="9"/>
    </row>
    <row r="4893" ht="14.25" customHeight="1">
      <c r="A4893" s="9"/>
      <c r="B4893" s="9"/>
      <c r="C4893" s="185" t="s">
        <v>3197</v>
      </c>
      <c r="D4893" s="207" t="s">
        <v>3199</v>
      </c>
      <c r="E4893" s="9" t="s">
        <v>3185</v>
      </c>
      <c r="F4893" s="15" t="s">
        <v>1441</v>
      </c>
      <c r="H4893" s="9"/>
    </row>
    <row r="4894" ht="14.25" customHeight="1">
      <c r="A4894" s="9"/>
      <c r="B4894" s="9"/>
      <c r="C4894" s="185" t="s">
        <v>3197</v>
      </c>
      <c r="D4894" s="207" t="s">
        <v>3199</v>
      </c>
      <c r="E4894" s="9" t="s">
        <v>3185</v>
      </c>
      <c r="F4894" s="15" t="s">
        <v>1438</v>
      </c>
      <c r="H4894" s="9"/>
    </row>
    <row r="4895" ht="14.25" customHeight="1">
      <c r="A4895" s="9"/>
      <c r="B4895" s="9"/>
      <c r="C4895" s="185" t="s">
        <v>692</v>
      </c>
      <c r="D4895" s="207" t="s">
        <v>3200</v>
      </c>
      <c r="E4895" s="9" t="s">
        <v>3185</v>
      </c>
      <c r="F4895" s="15" t="s">
        <v>1439</v>
      </c>
      <c r="H4895" s="9"/>
    </row>
    <row r="4896" ht="14.25" customHeight="1">
      <c r="A4896" s="9"/>
      <c r="B4896" s="9"/>
      <c r="C4896" s="185" t="s">
        <v>692</v>
      </c>
      <c r="D4896" s="207" t="s">
        <v>3200</v>
      </c>
      <c r="E4896" s="9" t="s">
        <v>3185</v>
      </c>
      <c r="F4896" s="213" t="s">
        <v>3132</v>
      </c>
      <c r="H4896" s="9"/>
    </row>
    <row r="4897" ht="14.25" customHeight="1">
      <c r="A4897" s="9"/>
      <c r="B4897" s="9"/>
      <c r="C4897" s="185" t="s">
        <v>692</v>
      </c>
      <c r="D4897" s="207" t="s">
        <v>3200</v>
      </c>
      <c r="E4897" s="9" t="s">
        <v>3185</v>
      </c>
      <c r="F4897" s="15" t="s">
        <v>1440</v>
      </c>
      <c r="H4897" s="9"/>
    </row>
    <row r="4898" ht="14.25" customHeight="1">
      <c r="A4898" s="9"/>
      <c r="B4898" s="9"/>
      <c r="C4898" s="185" t="s">
        <v>692</v>
      </c>
      <c r="D4898" s="207" t="s">
        <v>3200</v>
      </c>
      <c r="E4898" s="9" t="s">
        <v>3185</v>
      </c>
      <c r="F4898" s="15" t="s">
        <v>482</v>
      </c>
      <c r="H4898" s="9"/>
    </row>
    <row r="4899" ht="14.25" customHeight="1">
      <c r="A4899" s="9"/>
      <c r="B4899" s="9"/>
      <c r="C4899" s="185" t="s">
        <v>692</v>
      </c>
      <c r="D4899" s="207" t="s">
        <v>3200</v>
      </c>
      <c r="E4899" s="9" t="s">
        <v>3185</v>
      </c>
      <c r="F4899" s="15" t="s">
        <v>3133</v>
      </c>
      <c r="H4899" s="9"/>
    </row>
    <row r="4900" ht="14.25" customHeight="1">
      <c r="A4900" s="9"/>
      <c r="B4900" s="9"/>
      <c r="C4900" s="185" t="s">
        <v>692</v>
      </c>
      <c r="D4900" s="207" t="s">
        <v>3200</v>
      </c>
      <c r="E4900" s="9" t="s">
        <v>3185</v>
      </c>
      <c r="F4900" s="15" t="s">
        <v>341</v>
      </c>
      <c r="H4900" s="9"/>
    </row>
    <row r="4901" ht="14.25" customHeight="1">
      <c r="A4901" s="9"/>
      <c r="B4901" s="9"/>
      <c r="C4901" s="185" t="s">
        <v>692</v>
      </c>
      <c r="D4901" s="207" t="s">
        <v>3200</v>
      </c>
      <c r="E4901" s="9" t="s">
        <v>3185</v>
      </c>
      <c r="F4901" s="15" t="s">
        <v>367</v>
      </c>
      <c r="H4901" s="9"/>
    </row>
    <row r="4902" ht="14.25" customHeight="1">
      <c r="A4902" s="9"/>
      <c r="B4902" s="9"/>
      <c r="C4902" s="185" t="s">
        <v>692</v>
      </c>
      <c r="D4902" s="207" t="s">
        <v>3200</v>
      </c>
      <c r="E4902" s="9" t="s">
        <v>3185</v>
      </c>
      <c r="F4902" s="15" t="s">
        <v>529</v>
      </c>
      <c r="H4902" s="9"/>
    </row>
    <row r="4903" ht="14.25" customHeight="1">
      <c r="A4903" s="9"/>
      <c r="B4903" s="9"/>
      <c r="C4903" s="185" t="s">
        <v>692</v>
      </c>
      <c r="D4903" s="207" t="s">
        <v>3200</v>
      </c>
      <c r="E4903" s="9" t="s">
        <v>3185</v>
      </c>
      <c r="F4903" s="15" t="s">
        <v>1435</v>
      </c>
      <c r="H4903" s="9"/>
    </row>
    <row r="4904" ht="14.25" customHeight="1">
      <c r="A4904" s="9"/>
      <c r="B4904" s="9"/>
      <c r="C4904" s="185" t="s">
        <v>692</v>
      </c>
      <c r="D4904" s="207" t="s">
        <v>3200</v>
      </c>
      <c r="E4904" s="9" t="s">
        <v>3185</v>
      </c>
      <c r="F4904" s="15" t="s">
        <v>1437</v>
      </c>
      <c r="H4904" s="9"/>
    </row>
    <row r="4905" ht="14.25" customHeight="1">
      <c r="A4905" s="9"/>
      <c r="B4905" s="9"/>
      <c r="C4905" s="185" t="s">
        <v>692</v>
      </c>
      <c r="D4905" s="207" t="s">
        <v>3200</v>
      </c>
      <c r="E4905" s="9" t="s">
        <v>3185</v>
      </c>
      <c r="F4905" s="15" t="s">
        <v>1436</v>
      </c>
      <c r="H4905" s="9"/>
    </row>
    <row r="4906" ht="14.25" customHeight="1">
      <c r="A4906" s="9"/>
      <c r="B4906" s="9"/>
      <c r="C4906" s="185" t="s">
        <v>692</v>
      </c>
      <c r="D4906" s="207" t="s">
        <v>3200</v>
      </c>
      <c r="E4906" s="9" t="s">
        <v>3185</v>
      </c>
      <c r="F4906" s="15" t="s">
        <v>3134</v>
      </c>
      <c r="H4906" s="9"/>
    </row>
    <row r="4907" ht="14.25" customHeight="1">
      <c r="A4907" s="9"/>
      <c r="B4907" s="9"/>
      <c r="C4907" s="185" t="s">
        <v>692</v>
      </c>
      <c r="D4907" s="207" t="s">
        <v>3200</v>
      </c>
      <c r="E4907" s="9" t="s">
        <v>3185</v>
      </c>
      <c r="F4907" s="15" t="s">
        <v>1434</v>
      </c>
      <c r="H4907" s="9"/>
    </row>
    <row r="4908" ht="14.25" customHeight="1">
      <c r="A4908" s="9"/>
      <c r="B4908" s="9"/>
      <c r="C4908" s="185" t="s">
        <v>692</v>
      </c>
      <c r="D4908" s="207" t="s">
        <v>3200</v>
      </c>
      <c r="E4908" s="9" t="s">
        <v>3185</v>
      </c>
      <c r="F4908" s="15" t="s">
        <v>517</v>
      </c>
      <c r="H4908" s="9"/>
    </row>
    <row r="4909" ht="14.25" customHeight="1">
      <c r="A4909" s="9"/>
      <c r="B4909" s="9"/>
      <c r="C4909" s="185" t="s">
        <v>692</v>
      </c>
      <c r="D4909" s="207" t="s">
        <v>3200</v>
      </c>
      <c r="E4909" s="9" t="s">
        <v>3185</v>
      </c>
      <c r="F4909" s="15" t="s">
        <v>507</v>
      </c>
      <c r="H4909" s="9"/>
    </row>
    <row r="4910" ht="14.25" customHeight="1">
      <c r="A4910" s="9"/>
      <c r="B4910" s="9"/>
      <c r="C4910" s="185" t="s">
        <v>692</v>
      </c>
      <c r="D4910" s="207" t="s">
        <v>3200</v>
      </c>
      <c r="E4910" s="9" t="s">
        <v>3185</v>
      </c>
      <c r="F4910" s="15" t="s">
        <v>1441</v>
      </c>
      <c r="H4910" s="9"/>
    </row>
    <row r="4911" ht="14.25" customHeight="1">
      <c r="A4911" s="9"/>
      <c r="B4911" s="9"/>
      <c r="C4911" s="185" t="s">
        <v>692</v>
      </c>
      <c r="D4911" s="207" t="s">
        <v>3200</v>
      </c>
      <c r="E4911" s="9" t="s">
        <v>3185</v>
      </c>
      <c r="F4911" s="15" t="s">
        <v>1438</v>
      </c>
      <c r="H4911" s="9"/>
    </row>
    <row r="4912" ht="14.25" customHeight="1">
      <c r="A4912" s="9"/>
      <c r="B4912" s="9"/>
      <c r="C4912" s="185" t="s">
        <v>692</v>
      </c>
      <c r="D4912" s="207" t="s">
        <v>3201</v>
      </c>
      <c r="E4912" s="9" t="s">
        <v>3185</v>
      </c>
      <c r="F4912" s="15" t="s">
        <v>1439</v>
      </c>
      <c r="H4912" s="9"/>
    </row>
    <row r="4913" ht="14.25" customHeight="1">
      <c r="A4913" s="9"/>
      <c r="B4913" s="9"/>
      <c r="C4913" s="185" t="s">
        <v>692</v>
      </c>
      <c r="D4913" s="207" t="s">
        <v>3201</v>
      </c>
      <c r="E4913" s="9" t="s">
        <v>3185</v>
      </c>
      <c r="F4913" s="213" t="s">
        <v>3132</v>
      </c>
      <c r="H4913" s="9"/>
    </row>
    <row r="4914" ht="14.25" customHeight="1">
      <c r="A4914" s="9"/>
      <c r="B4914" s="9"/>
      <c r="C4914" s="185" t="s">
        <v>692</v>
      </c>
      <c r="D4914" s="207" t="s">
        <v>3201</v>
      </c>
      <c r="E4914" s="9" t="s">
        <v>3185</v>
      </c>
      <c r="F4914" s="15" t="s">
        <v>1440</v>
      </c>
      <c r="H4914" s="9"/>
    </row>
    <row r="4915" ht="14.25" customHeight="1">
      <c r="A4915" s="9"/>
      <c r="B4915" s="9"/>
      <c r="C4915" s="185" t="s">
        <v>692</v>
      </c>
      <c r="D4915" s="207" t="s">
        <v>3201</v>
      </c>
      <c r="E4915" s="9" t="s">
        <v>3185</v>
      </c>
      <c r="F4915" s="15" t="s">
        <v>482</v>
      </c>
      <c r="H4915" s="9"/>
    </row>
    <row r="4916" ht="14.25" customHeight="1">
      <c r="A4916" s="9"/>
      <c r="B4916" s="9"/>
      <c r="C4916" s="185" t="s">
        <v>692</v>
      </c>
      <c r="D4916" s="207" t="s">
        <v>3201</v>
      </c>
      <c r="E4916" s="9" t="s">
        <v>3185</v>
      </c>
      <c r="F4916" s="15" t="s">
        <v>3133</v>
      </c>
      <c r="H4916" s="9"/>
    </row>
    <row r="4917" ht="14.25" customHeight="1">
      <c r="A4917" s="9"/>
      <c r="B4917" s="9"/>
      <c r="C4917" s="185" t="s">
        <v>692</v>
      </c>
      <c r="D4917" s="207" t="s">
        <v>3201</v>
      </c>
      <c r="E4917" s="9" t="s">
        <v>3185</v>
      </c>
      <c r="F4917" s="15" t="s">
        <v>341</v>
      </c>
      <c r="H4917" s="9"/>
    </row>
    <row r="4918" ht="14.25" customHeight="1">
      <c r="A4918" s="9"/>
      <c r="B4918" s="9"/>
      <c r="C4918" s="185" t="s">
        <v>692</v>
      </c>
      <c r="D4918" s="207" t="s">
        <v>3201</v>
      </c>
      <c r="E4918" s="9" t="s">
        <v>3185</v>
      </c>
      <c r="F4918" s="15" t="s">
        <v>367</v>
      </c>
      <c r="H4918" s="9"/>
    </row>
    <row r="4919" ht="14.25" customHeight="1">
      <c r="A4919" s="9"/>
      <c r="B4919" s="9"/>
      <c r="C4919" s="185" t="s">
        <v>692</v>
      </c>
      <c r="D4919" s="207" t="s">
        <v>3201</v>
      </c>
      <c r="E4919" s="9" t="s">
        <v>3185</v>
      </c>
      <c r="F4919" s="15" t="s">
        <v>529</v>
      </c>
      <c r="H4919" s="9"/>
    </row>
    <row r="4920" ht="14.25" customHeight="1">
      <c r="A4920" s="9"/>
      <c r="B4920" s="9"/>
      <c r="C4920" s="185" t="s">
        <v>692</v>
      </c>
      <c r="D4920" s="207" t="s">
        <v>3201</v>
      </c>
      <c r="E4920" s="9" t="s">
        <v>3185</v>
      </c>
      <c r="F4920" s="15" t="s">
        <v>1435</v>
      </c>
      <c r="H4920" s="9"/>
    </row>
    <row r="4921" ht="14.25" customHeight="1">
      <c r="A4921" s="9"/>
      <c r="B4921" s="9"/>
      <c r="C4921" s="185" t="s">
        <v>692</v>
      </c>
      <c r="D4921" s="207" t="s">
        <v>3201</v>
      </c>
      <c r="E4921" s="9" t="s">
        <v>3185</v>
      </c>
      <c r="F4921" s="15" t="s">
        <v>1437</v>
      </c>
      <c r="H4921" s="9"/>
    </row>
    <row r="4922" ht="14.25" customHeight="1">
      <c r="A4922" s="9"/>
      <c r="B4922" s="9"/>
      <c r="C4922" s="185" t="s">
        <v>692</v>
      </c>
      <c r="D4922" s="207" t="s">
        <v>3201</v>
      </c>
      <c r="E4922" s="9" t="s">
        <v>3185</v>
      </c>
      <c r="F4922" s="15" t="s">
        <v>1436</v>
      </c>
      <c r="H4922" s="9"/>
    </row>
    <row r="4923" ht="14.25" customHeight="1">
      <c r="A4923" s="9"/>
      <c r="B4923" s="9"/>
      <c r="C4923" s="185" t="s">
        <v>692</v>
      </c>
      <c r="D4923" s="207" t="s">
        <v>3201</v>
      </c>
      <c r="E4923" s="9" t="s">
        <v>3185</v>
      </c>
      <c r="F4923" s="15" t="s">
        <v>3134</v>
      </c>
      <c r="H4923" s="9"/>
    </row>
    <row r="4924" ht="14.25" customHeight="1">
      <c r="A4924" s="9"/>
      <c r="B4924" s="9"/>
      <c r="C4924" s="185" t="s">
        <v>692</v>
      </c>
      <c r="D4924" s="207" t="s">
        <v>3201</v>
      </c>
      <c r="E4924" s="9" t="s">
        <v>3185</v>
      </c>
      <c r="F4924" s="15" t="s">
        <v>1434</v>
      </c>
      <c r="H4924" s="9"/>
    </row>
    <row r="4925" ht="14.25" customHeight="1">
      <c r="A4925" s="9"/>
      <c r="B4925" s="9"/>
      <c r="C4925" s="185" t="s">
        <v>692</v>
      </c>
      <c r="D4925" s="207" t="s">
        <v>3201</v>
      </c>
      <c r="E4925" s="9" t="s">
        <v>3185</v>
      </c>
      <c r="F4925" s="15" t="s">
        <v>517</v>
      </c>
      <c r="H4925" s="9"/>
    </row>
    <row r="4926" ht="14.25" customHeight="1">
      <c r="A4926" s="9"/>
      <c r="B4926" s="9"/>
      <c r="C4926" s="185" t="s">
        <v>692</v>
      </c>
      <c r="D4926" s="207" t="s">
        <v>3201</v>
      </c>
      <c r="E4926" s="9" t="s">
        <v>3185</v>
      </c>
      <c r="F4926" s="15" t="s">
        <v>507</v>
      </c>
      <c r="H4926" s="9"/>
    </row>
    <row r="4927" ht="14.25" customHeight="1">
      <c r="A4927" s="9"/>
      <c r="B4927" s="9"/>
      <c r="C4927" s="185" t="s">
        <v>692</v>
      </c>
      <c r="D4927" s="207" t="s">
        <v>3201</v>
      </c>
      <c r="E4927" s="9" t="s">
        <v>3185</v>
      </c>
      <c r="F4927" s="15" t="s">
        <v>1441</v>
      </c>
      <c r="H4927" s="9"/>
    </row>
    <row r="4928" ht="14.25" customHeight="1">
      <c r="A4928" s="9"/>
      <c r="B4928" s="9"/>
      <c r="C4928" s="185" t="s">
        <v>692</v>
      </c>
      <c r="D4928" s="207" t="s">
        <v>3201</v>
      </c>
      <c r="E4928" s="9" t="s">
        <v>3185</v>
      </c>
      <c r="F4928" s="15" t="s">
        <v>1438</v>
      </c>
      <c r="H4928" s="9"/>
    </row>
    <row r="4929" ht="14.25" customHeight="1">
      <c r="C4929" s="9" t="s">
        <v>3202</v>
      </c>
      <c r="D4929" s="9" t="s">
        <v>3203</v>
      </c>
      <c r="E4929" s="9" t="s">
        <v>3204</v>
      </c>
      <c r="F4929" s="9" t="s">
        <v>474</v>
      </c>
      <c r="H4929" s="9"/>
    </row>
    <row r="4930" ht="14.25" customHeight="1">
      <c r="C4930" s="9" t="s">
        <v>3202</v>
      </c>
      <c r="D4930" s="9" t="s">
        <v>3203</v>
      </c>
      <c r="E4930" s="9" t="s">
        <v>3204</v>
      </c>
      <c r="F4930" s="9" t="s">
        <v>284</v>
      </c>
      <c r="H4930" s="9"/>
    </row>
    <row r="4931" ht="14.25" customHeight="1">
      <c r="C4931" s="9" t="s">
        <v>3202</v>
      </c>
      <c r="D4931" s="9" t="s">
        <v>3203</v>
      </c>
      <c r="E4931" s="9" t="s">
        <v>3204</v>
      </c>
      <c r="F4931" s="9" t="s">
        <v>493</v>
      </c>
      <c r="H4931" s="9"/>
    </row>
    <row r="4932" ht="14.25" customHeight="1">
      <c r="C4932" s="9" t="s">
        <v>3202</v>
      </c>
      <c r="D4932" s="9" t="s">
        <v>3203</v>
      </c>
      <c r="E4932" s="9" t="s">
        <v>3204</v>
      </c>
      <c r="F4932" s="9" t="s">
        <v>450</v>
      </c>
      <c r="H4932" s="9"/>
    </row>
    <row r="4933" ht="14.25" customHeight="1">
      <c r="C4933" s="9" t="s">
        <v>3202</v>
      </c>
      <c r="D4933" s="9" t="s">
        <v>3203</v>
      </c>
      <c r="E4933" s="9" t="s">
        <v>3204</v>
      </c>
      <c r="F4933" s="9" t="s">
        <v>2296</v>
      </c>
      <c r="H4933" s="9"/>
    </row>
    <row r="4934" ht="14.25" customHeight="1">
      <c r="C4934" s="9" t="s">
        <v>3202</v>
      </c>
      <c r="D4934" s="9" t="s">
        <v>3203</v>
      </c>
      <c r="E4934" s="9" t="s">
        <v>3204</v>
      </c>
      <c r="F4934" s="9" t="s">
        <v>276</v>
      </c>
      <c r="H4934" s="9"/>
    </row>
    <row r="4935" ht="14.25" customHeight="1">
      <c r="C4935" s="9" t="s">
        <v>3202</v>
      </c>
      <c r="D4935" s="9" t="s">
        <v>3203</v>
      </c>
      <c r="E4935" s="9" t="s">
        <v>3204</v>
      </c>
      <c r="F4935" s="9" t="s">
        <v>431</v>
      </c>
      <c r="H4935" s="9"/>
    </row>
    <row r="4936" ht="14.25" customHeight="1">
      <c r="C4936" s="9" t="s">
        <v>3202</v>
      </c>
      <c r="D4936" s="9" t="s">
        <v>3203</v>
      </c>
      <c r="E4936" s="9" t="s">
        <v>3204</v>
      </c>
      <c r="F4936" s="9" t="s">
        <v>1272</v>
      </c>
      <c r="H4936" s="9"/>
    </row>
    <row r="4937" ht="14.25" customHeight="1">
      <c r="C4937" s="9" t="s">
        <v>3202</v>
      </c>
      <c r="D4937" s="9" t="s">
        <v>3203</v>
      </c>
      <c r="E4937" s="9" t="s">
        <v>3204</v>
      </c>
      <c r="F4937" s="9" t="s">
        <v>420</v>
      </c>
      <c r="H4937" s="9"/>
    </row>
    <row r="4938" ht="14.25" customHeight="1">
      <c r="C4938" s="9" t="s">
        <v>3202</v>
      </c>
      <c r="D4938" s="9" t="s">
        <v>3203</v>
      </c>
      <c r="E4938" s="9" t="s">
        <v>3204</v>
      </c>
      <c r="F4938" s="9" t="s">
        <v>482</v>
      </c>
      <c r="H4938" s="9"/>
    </row>
    <row r="4939" ht="14.25" customHeight="1">
      <c r="C4939" s="9" t="s">
        <v>3202</v>
      </c>
      <c r="D4939" s="9" t="s">
        <v>3203</v>
      </c>
      <c r="E4939" s="9" t="s">
        <v>3204</v>
      </c>
      <c r="F4939" s="9" t="s">
        <v>136</v>
      </c>
      <c r="H4939" s="9"/>
    </row>
    <row r="4940" ht="14.25" customHeight="1">
      <c r="C4940" s="9" t="s">
        <v>3202</v>
      </c>
      <c r="D4940" s="9" t="s">
        <v>3203</v>
      </c>
      <c r="E4940" s="9" t="s">
        <v>3204</v>
      </c>
      <c r="F4940" s="9" t="s">
        <v>408</v>
      </c>
      <c r="H4940" s="9"/>
    </row>
    <row r="4941" ht="14.25" customHeight="1">
      <c r="C4941" s="9" t="s">
        <v>3202</v>
      </c>
      <c r="D4941" s="9" t="s">
        <v>3203</v>
      </c>
      <c r="E4941" s="9" t="s">
        <v>3204</v>
      </c>
      <c r="F4941" s="9" t="s">
        <v>2301</v>
      </c>
      <c r="H4941" s="9"/>
    </row>
    <row r="4942" ht="14.25" customHeight="1">
      <c r="C4942" s="9" t="s">
        <v>3202</v>
      </c>
      <c r="D4942" s="9" t="s">
        <v>3203</v>
      </c>
      <c r="E4942" s="9" t="s">
        <v>3204</v>
      </c>
      <c r="F4942" s="9" t="s">
        <v>197</v>
      </c>
      <c r="H4942" s="9"/>
    </row>
    <row r="4943" ht="14.25" customHeight="1">
      <c r="C4943" s="9" t="s">
        <v>3202</v>
      </c>
      <c r="D4943" s="9" t="s">
        <v>3203</v>
      </c>
      <c r="E4943" s="9" t="s">
        <v>3204</v>
      </c>
      <c r="F4943" s="9" t="s">
        <v>172</v>
      </c>
      <c r="H4943" s="9"/>
    </row>
    <row r="4944" ht="14.25" customHeight="1">
      <c r="C4944" s="9" t="s">
        <v>3202</v>
      </c>
      <c r="D4944" s="9" t="s">
        <v>3203</v>
      </c>
      <c r="E4944" s="9" t="s">
        <v>3204</v>
      </c>
      <c r="F4944" s="9" t="s">
        <v>98</v>
      </c>
      <c r="H4944" s="9"/>
    </row>
    <row r="4945" ht="14.25" customHeight="1">
      <c r="C4945" s="9" t="s">
        <v>3202</v>
      </c>
      <c r="D4945" s="9" t="s">
        <v>3203</v>
      </c>
      <c r="E4945" s="9" t="s">
        <v>3204</v>
      </c>
      <c r="F4945" s="9" t="s">
        <v>341</v>
      </c>
      <c r="H4945" s="9"/>
    </row>
    <row r="4946" ht="14.25" customHeight="1">
      <c r="C4946" s="9" t="s">
        <v>3202</v>
      </c>
      <c r="D4946" s="9" t="s">
        <v>3203</v>
      </c>
      <c r="E4946" s="9" t="s">
        <v>3204</v>
      </c>
      <c r="F4946" s="9" t="s">
        <v>367</v>
      </c>
      <c r="H4946" s="9"/>
    </row>
    <row r="4947" ht="14.25" customHeight="1">
      <c r="C4947" s="9" t="s">
        <v>3202</v>
      </c>
      <c r="D4947" s="9" t="s">
        <v>3203</v>
      </c>
      <c r="E4947" s="9" t="s">
        <v>3204</v>
      </c>
      <c r="F4947" s="9" t="s">
        <v>529</v>
      </c>
      <c r="H4947" s="9"/>
    </row>
    <row r="4948" ht="14.25" customHeight="1">
      <c r="C4948" s="9" t="s">
        <v>3202</v>
      </c>
      <c r="D4948" s="9" t="s">
        <v>3203</v>
      </c>
      <c r="E4948" s="9" t="s">
        <v>3204</v>
      </c>
      <c r="F4948" s="9" t="s">
        <v>282</v>
      </c>
      <c r="H4948" s="9"/>
    </row>
    <row r="4949" ht="14.25" customHeight="1">
      <c r="C4949" s="9" t="s">
        <v>3202</v>
      </c>
      <c r="D4949" s="9" t="s">
        <v>3203</v>
      </c>
      <c r="E4949" s="9" t="s">
        <v>3204</v>
      </c>
      <c r="F4949" s="9" t="s">
        <v>321</v>
      </c>
      <c r="H4949" s="9"/>
    </row>
    <row r="4950" ht="14.25" customHeight="1">
      <c r="C4950" s="9" t="s">
        <v>3202</v>
      </c>
      <c r="D4950" s="9" t="s">
        <v>3203</v>
      </c>
      <c r="E4950" s="9" t="s">
        <v>3204</v>
      </c>
      <c r="F4950" s="9" t="s">
        <v>272</v>
      </c>
      <c r="H4950" s="9"/>
    </row>
    <row r="4951" ht="14.25" customHeight="1">
      <c r="C4951" s="9" t="s">
        <v>3202</v>
      </c>
      <c r="D4951" s="9" t="s">
        <v>3203</v>
      </c>
      <c r="E4951" s="9" t="s">
        <v>3204</v>
      </c>
      <c r="F4951" s="9" t="s">
        <v>517</v>
      </c>
      <c r="H4951" s="9"/>
    </row>
    <row r="4952" ht="14.25" customHeight="1">
      <c r="C4952" s="9" t="s">
        <v>3202</v>
      </c>
      <c r="D4952" s="9" t="s">
        <v>3203</v>
      </c>
      <c r="E4952" s="9" t="s">
        <v>3204</v>
      </c>
      <c r="F4952" s="9" t="s">
        <v>2309</v>
      </c>
      <c r="H4952" s="9"/>
    </row>
    <row r="4953" ht="14.25" customHeight="1">
      <c r="C4953" s="9" t="s">
        <v>3202</v>
      </c>
      <c r="D4953" s="9" t="s">
        <v>3203</v>
      </c>
      <c r="E4953" s="9" t="s">
        <v>3204</v>
      </c>
      <c r="F4953" s="9" t="s">
        <v>507</v>
      </c>
      <c r="H4953" s="9"/>
    </row>
    <row r="4954" ht="14.25" customHeight="1">
      <c r="C4954" s="9" t="s">
        <v>3202</v>
      </c>
      <c r="D4954" s="9" t="s">
        <v>3203</v>
      </c>
      <c r="E4954" s="9" t="s">
        <v>3204</v>
      </c>
      <c r="F4954" s="9" t="s">
        <v>336</v>
      </c>
      <c r="H4954" s="9"/>
    </row>
    <row r="4955" ht="14.25" customHeight="1">
      <c r="C4955" s="9" t="s">
        <v>3202</v>
      </c>
      <c r="D4955" s="9" t="s">
        <v>3203</v>
      </c>
      <c r="E4955" s="9" t="s">
        <v>3204</v>
      </c>
      <c r="F4955" s="9" t="s">
        <v>235</v>
      </c>
      <c r="H4955" s="9"/>
    </row>
    <row r="4956" ht="14.25" customHeight="1">
      <c r="C4956" s="9" t="s">
        <v>3202</v>
      </c>
      <c r="D4956" s="9" t="s">
        <v>3203</v>
      </c>
      <c r="E4956" s="9" t="s">
        <v>3204</v>
      </c>
      <c r="F4956" s="9" t="s">
        <v>327</v>
      </c>
      <c r="H4956" s="9"/>
    </row>
    <row r="4957" ht="14.25" customHeight="1">
      <c r="C4957" s="9" t="s">
        <v>3202</v>
      </c>
      <c r="D4957" s="9" t="s">
        <v>3203</v>
      </c>
      <c r="E4957" s="9" t="s">
        <v>3204</v>
      </c>
      <c r="F4957" s="9" t="s">
        <v>264</v>
      </c>
      <c r="H4957" s="9"/>
    </row>
    <row r="4958" ht="14.25" customHeight="1">
      <c r="C4958" s="9" t="s">
        <v>3205</v>
      </c>
      <c r="D4958" s="9" t="s">
        <v>3206</v>
      </c>
      <c r="E4958" s="9" t="s">
        <v>3204</v>
      </c>
      <c r="F4958" s="9" t="s">
        <v>1439</v>
      </c>
      <c r="H4958" s="9"/>
    </row>
    <row r="4959" ht="14.25" customHeight="1">
      <c r="C4959" s="9" t="s">
        <v>3205</v>
      </c>
      <c r="D4959" s="9" t="s">
        <v>3206</v>
      </c>
      <c r="E4959" s="9" t="s">
        <v>3204</v>
      </c>
      <c r="F4959" s="9" t="s">
        <v>3132</v>
      </c>
      <c r="H4959" s="9"/>
    </row>
    <row r="4960" ht="14.25" customHeight="1">
      <c r="C4960" s="9" t="s">
        <v>3205</v>
      </c>
      <c r="D4960" s="9" t="s">
        <v>3206</v>
      </c>
      <c r="E4960" s="9" t="s">
        <v>3204</v>
      </c>
      <c r="F4960" s="9" t="s">
        <v>1440</v>
      </c>
      <c r="H4960" s="9"/>
    </row>
    <row r="4961" ht="14.25" customHeight="1">
      <c r="C4961" s="9" t="s">
        <v>3205</v>
      </c>
      <c r="D4961" s="9" t="s">
        <v>3206</v>
      </c>
      <c r="E4961" s="9" t="s">
        <v>3204</v>
      </c>
      <c r="F4961" s="9" t="s">
        <v>482</v>
      </c>
      <c r="H4961" s="9"/>
    </row>
    <row r="4962" ht="14.25" customHeight="1">
      <c r="C4962" s="9" t="s">
        <v>3205</v>
      </c>
      <c r="D4962" s="9" t="s">
        <v>3206</v>
      </c>
      <c r="E4962" s="9" t="s">
        <v>3204</v>
      </c>
      <c r="F4962" s="9" t="s">
        <v>3133</v>
      </c>
      <c r="H4962" s="9"/>
    </row>
    <row r="4963" ht="14.25" customHeight="1">
      <c r="C4963" s="9" t="s">
        <v>3205</v>
      </c>
      <c r="D4963" s="9" t="s">
        <v>3206</v>
      </c>
      <c r="E4963" s="9" t="s">
        <v>3204</v>
      </c>
      <c r="F4963" s="9" t="s">
        <v>341</v>
      </c>
      <c r="H4963" s="9"/>
    </row>
    <row r="4964" ht="14.25" customHeight="1">
      <c r="C4964" s="9" t="s">
        <v>3205</v>
      </c>
      <c r="D4964" s="9" t="s">
        <v>3206</v>
      </c>
      <c r="E4964" s="9" t="s">
        <v>3204</v>
      </c>
      <c r="F4964" s="9" t="s">
        <v>367</v>
      </c>
      <c r="H4964" s="9"/>
    </row>
    <row r="4965" ht="14.25" customHeight="1">
      <c r="C4965" s="9" t="s">
        <v>3205</v>
      </c>
      <c r="D4965" s="9" t="s">
        <v>3206</v>
      </c>
      <c r="E4965" s="9" t="s">
        <v>3204</v>
      </c>
      <c r="F4965" s="9" t="s">
        <v>529</v>
      </c>
      <c r="H4965" s="9"/>
    </row>
    <row r="4966" ht="14.25" customHeight="1">
      <c r="C4966" s="9" t="s">
        <v>3205</v>
      </c>
      <c r="D4966" s="9" t="s">
        <v>3206</v>
      </c>
      <c r="E4966" s="9" t="s">
        <v>3204</v>
      </c>
      <c r="F4966" s="9" t="s">
        <v>1435</v>
      </c>
      <c r="H4966" s="9"/>
    </row>
    <row r="4967" ht="14.25" customHeight="1">
      <c r="C4967" s="9" t="s">
        <v>3205</v>
      </c>
      <c r="D4967" s="9" t="s">
        <v>3206</v>
      </c>
      <c r="E4967" s="9" t="s">
        <v>3204</v>
      </c>
      <c r="F4967" s="9" t="s">
        <v>1437</v>
      </c>
      <c r="H4967" s="9"/>
    </row>
    <row r="4968" ht="14.25" customHeight="1">
      <c r="C4968" s="9" t="s">
        <v>3205</v>
      </c>
      <c r="D4968" s="9" t="s">
        <v>3206</v>
      </c>
      <c r="E4968" s="9" t="s">
        <v>3204</v>
      </c>
      <c r="F4968" s="9" t="s">
        <v>1436</v>
      </c>
      <c r="H4968" s="9"/>
    </row>
    <row r="4969" ht="14.25" customHeight="1">
      <c r="C4969" s="9" t="s">
        <v>3205</v>
      </c>
      <c r="D4969" s="9" t="s">
        <v>3206</v>
      </c>
      <c r="E4969" s="9" t="s">
        <v>3204</v>
      </c>
      <c r="F4969" s="9" t="s">
        <v>3134</v>
      </c>
      <c r="H4969" s="9"/>
    </row>
    <row r="4970" ht="14.25" customHeight="1">
      <c r="C4970" s="9" t="s">
        <v>3205</v>
      </c>
      <c r="D4970" s="9" t="s">
        <v>3206</v>
      </c>
      <c r="E4970" s="9" t="s">
        <v>3204</v>
      </c>
      <c r="F4970" s="9" t="s">
        <v>1434</v>
      </c>
      <c r="H4970" s="9"/>
    </row>
    <row r="4971" ht="14.25" customHeight="1">
      <c r="C4971" s="9" t="s">
        <v>3205</v>
      </c>
      <c r="D4971" s="9" t="s">
        <v>3206</v>
      </c>
      <c r="E4971" s="9" t="s">
        <v>3204</v>
      </c>
      <c r="F4971" s="9" t="s">
        <v>517</v>
      </c>
      <c r="H4971" s="9"/>
    </row>
    <row r="4972" ht="14.25" customHeight="1">
      <c r="C4972" s="9" t="s">
        <v>3205</v>
      </c>
      <c r="D4972" s="9" t="s">
        <v>3206</v>
      </c>
      <c r="E4972" s="9" t="s">
        <v>3204</v>
      </c>
      <c r="F4972" s="9" t="s">
        <v>507</v>
      </c>
      <c r="H4972" s="9"/>
    </row>
    <row r="4973" ht="14.25" customHeight="1">
      <c r="C4973" s="9" t="s">
        <v>3205</v>
      </c>
      <c r="D4973" s="9" t="s">
        <v>3206</v>
      </c>
      <c r="E4973" s="9" t="s">
        <v>3204</v>
      </c>
      <c r="F4973" s="9" t="s">
        <v>1441</v>
      </c>
      <c r="H4973" s="9"/>
    </row>
    <row r="4974" ht="14.25" customHeight="1">
      <c r="C4974" s="9" t="s">
        <v>3205</v>
      </c>
      <c r="D4974" s="9" t="s">
        <v>3206</v>
      </c>
      <c r="E4974" s="9" t="s">
        <v>3204</v>
      </c>
      <c r="F4974" s="9" t="s">
        <v>1438</v>
      </c>
      <c r="H4974" s="9"/>
    </row>
    <row r="4975" ht="14.25" customHeight="1">
      <c r="C4975" s="9" t="s">
        <v>1348</v>
      </c>
      <c r="D4975" s="9" t="s">
        <v>3207</v>
      </c>
      <c r="E4975" s="9" t="s">
        <v>3204</v>
      </c>
      <c r="F4975" s="9" t="s">
        <v>2309</v>
      </c>
      <c r="H4975" s="9"/>
    </row>
    <row r="4976" ht="14.25" customHeight="1">
      <c r="C4976" s="9" t="s">
        <v>3208</v>
      </c>
      <c r="D4976" s="9" t="s">
        <v>3207</v>
      </c>
      <c r="E4976" s="9" t="s">
        <v>3204</v>
      </c>
      <c r="F4976" s="9" t="s">
        <v>1272</v>
      </c>
      <c r="H4976" s="9"/>
    </row>
    <row r="4977" ht="14.25" customHeight="1">
      <c r="C4977" s="9" t="s">
        <v>3209</v>
      </c>
      <c r="D4977" s="9" t="s">
        <v>3207</v>
      </c>
      <c r="E4977" s="9" t="s">
        <v>3204</v>
      </c>
      <c r="F4977" s="9" t="s">
        <v>98</v>
      </c>
      <c r="H4977" s="9"/>
    </row>
    <row r="4978" ht="14.25" customHeight="1">
      <c r="C4978" s="9" t="s">
        <v>3210</v>
      </c>
      <c r="D4978" s="9" t="s">
        <v>3207</v>
      </c>
      <c r="E4978" s="9" t="s">
        <v>3204</v>
      </c>
      <c r="F4978" s="9" t="s">
        <v>2301</v>
      </c>
      <c r="H4978" s="9"/>
    </row>
    <row r="4979" ht="14.25" customHeight="1">
      <c r="C4979" s="9" t="s">
        <v>3211</v>
      </c>
      <c r="D4979" s="9" t="s">
        <v>3207</v>
      </c>
      <c r="E4979" s="9" t="s">
        <v>3204</v>
      </c>
      <c r="F4979" s="9" t="s">
        <v>136</v>
      </c>
      <c r="H4979" s="9"/>
    </row>
    <row r="4980" ht="14.25" customHeight="1">
      <c r="C4980" s="9" t="s">
        <v>3212</v>
      </c>
      <c r="D4980" s="9" t="s">
        <v>3207</v>
      </c>
      <c r="E4980" s="9" t="s">
        <v>3204</v>
      </c>
      <c r="F4980" s="9" t="s">
        <v>172</v>
      </c>
      <c r="H4980" s="9"/>
    </row>
    <row r="4981" ht="14.25" customHeight="1">
      <c r="C4981" s="9" t="s">
        <v>3213</v>
      </c>
      <c r="D4981" s="9" t="s">
        <v>3207</v>
      </c>
      <c r="E4981" s="9" t="s">
        <v>3204</v>
      </c>
      <c r="F4981" s="9" t="s">
        <v>197</v>
      </c>
      <c r="H4981" s="9"/>
    </row>
    <row r="4982" ht="14.25" customHeight="1">
      <c r="C4982" s="9" t="s">
        <v>3214</v>
      </c>
      <c r="D4982" s="9" t="s">
        <v>3207</v>
      </c>
      <c r="E4982" s="9" t="s">
        <v>3204</v>
      </c>
      <c r="F4982" s="9" t="s">
        <v>235</v>
      </c>
      <c r="H4982" s="9"/>
    </row>
    <row r="4983" ht="14.25" customHeight="1">
      <c r="C4983" s="9" t="s">
        <v>3215</v>
      </c>
      <c r="D4983" s="9" t="s">
        <v>3207</v>
      </c>
      <c r="E4983" s="9" t="s">
        <v>3204</v>
      </c>
      <c r="F4983" s="9" t="s">
        <v>264</v>
      </c>
      <c r="H4983" s="9"/>
    </row>
    <row r="4984" ht="14.25" customHeight="1">
      <c r="C4984" s="9" t="s">
        <v>3216</v>
      </c>
      <c r="D4984" s="9" t="s">
        <v>3207</v>
      </c>
      <c r="E4984" s="9" t="s">
        <v>3204</v>
      </c>
      <c r="F4984" s="9" t="s">
        <v>272</v>
      </c>
      <c r="H4984" s="9"/>
    </row>
    <row r="4985" ht="14.25" customHeight="1">
      <c r="C4985" s="9" t="s">
        <v>3217</v>
      </c>
      <c r="D4985" s="9" t="s">
        <v>3207</v>
      </c>
      <c r="E4985" s="9" t="s">
        <v>3204</v>
      </c>
      <c r="F4985" s="9" t="s">
        <v>276</v>
      </c>
      <c r="H4985" s="9"/>
    </row>
    <row r="4986" ht="14.25" customHeight="1">
      <c r="C4986" s="9" t="s">
        <v>3218</v>
      </c>
      <c r="D4986" s="9" t="s">
        <v>3207</v>
      </c>
      <c r="E4986" s="9" t="s">
        <v>3204</v>
      </c>
      <c r="F4986" s="9" t="s">
        <v>282</v>
      </c>
      <c r="H4986" s="9"/>
    </row>
    <row r="4987" ht="14.25" customHeight="1">
      <c r="C4987" s="9" t="s">
        <v>3219</v>
      </c>
      <c r="D4987" s="9" t="s">
        <v>3207</v>
      </c>
      <c r="E4987" s="9" t="s">
        <v>3204</v>
      </c>
      <c r="F4987" s="9" t="s">
        <v>284</v>
      </c>
      <c r="H4987" s="9"/>
    </row>
    <row r="4988" ht="14.25" customHeight="1">
      <c r="C4988" s="9" t="s">
        <v>3220</v>
      </c>
      <c r="D4988" s="9" t="s">
        <v>3207</v>
      </c>
      <c r="E4988" s="9" t="s">
        <v>3204</v>
      </c>
      <c r="F4988" s="9" t="s">
        <v>321</v>
      </c>
      <c r="H4988" s="9"/>
    </row>
    <row r="4989" ht="14.25" customHeight="1">
      <c r="C4989" s="9" t="s">
        <v>3221</v>
      </c>
      <c r="D4989" s="9" t="s">
        <v>3207</v>
      </c>
      <c r="E4989" s="9" t="s">
        <v>3204</v>
      </c>
      <c r="F4989" s="9" t="s">
        <v>327</v>
      </c>
      <c r="H4989" s="9"/>
    </row>
    <row r="4990" ht="14.25" customHeight="1">
      <c r="C4990" s="9" t="s">
        <v>3222</v>
      </c>
      <c r="D4990" s="9" t="s">
        <v>3207</v>
      </c>
      <c r="E4990" s="9" t="s">
        <v>3204</v>
      </c>
      <c r="F4990" s="9" t="s">
        <v>336</v>
      </c>
      <c r="H4990" s="9"/>
    </row>
    <row r="4991" ht="14.25" customHeight="1">
      <c r="C4991" s="9" t="s">
        <v>3223</v>
      </c>
      <c r="D4991" s="9" t="s">
        <v>3207</v>
      </c>
      <c r="E4991" s="9" t="s">
        <v>3204</v>
      </c>
      <c r="F4991" s="9" t="s">
        <v>341</v>
      </c>
      <c r="H4991" s="9"/>
    </row>
    <row r="4992" ht="14.25" customHeight="1">
      <c r="C4992" s="9" t="s">
        <v>3224</v>
      </c>
      <c r="D4992" s="9" t="s">
        <v>3207</v>
      </c>
      <c r="E4992" s="9" t="s">
        <v>3204</v>
      </c>
      <c r="F4992" s="9" t="s">
        <v>367</v>
      </c>
      <c r="H4992" s="9"/>
    </row>
    <row r="4993" ht="14.25" customHeight="1">
      <c r="C4993" s="9" t="s">
        <v>3225</v>
      </c>
      <c r="D4993" s="9" t="s">
        <v>3207</v>
      </c>
      <c r="E4993" s="9" t="s">
        <v>3204</v>
      </c>
      <c r="F4993" s="9" t="s">
        <v>2296</v>
      </c>
      <c r="H4993" s="9"/>
    </row>
    <row r="4994" ht="14.25" customHeight="1">
      <c r="C4994" s="9" t="s">
        <v>3226</v>
      </c>
      <c r="D4994" s="9" t="s">
        <v>3207</v>
      </c>
      <c r="E4994" s="9" t="s">
        <v>3204</v>
      </c>
      <c r="F4994" s="9" t="s">
        <v>408</v>
      </c>
      <c r="H4994" s="9"/>
    </row>
    <row r="4995" ht="14.25" customHeight="1">
      <c r="C4995" s="9" t="s">
        <v>3227</v>
      </c>
      <c r="D4995" s="9" t="s">
        <v>3207</v>
      </c>
      <c r="E4995" s="9" t="s">
        <v>3204</v>
      </c>
      <c r="F4995" s="9" t="s">
        <v>420</v>
      </c>
      <c r="H4995" s="9"/>
    </row>
    <row r="4996" ht="14.25" customHeight="1">
      <c r="C4996" s="9" t="s">
        <v>3228</v>
      </c>
      <c r="D4996" s="9" t="s">
        <v>3207</v>
      </c>
      <c r="E4996" s="9" t="s">
        <v>3204</v>
      </c>
      <c r="F4996" s="9" t="s">
        <v>431</v>
      </c>
      <c r="H4996" s="9"/>
    </row>
    <row r="4997" ht="14.25" customHeight="1">
      <c r="C4997" s="9" t="s">
        <v>3229</v>
      </c>
      <c r="D4997" s="9" t="s">
        <v>3207</v>
      </c>
      <c r="E4997" s="9" t="s">
        <v>3204</v>
      </c>
      <c r="F4997" s="9" t="s">
        <v>450</v>
      </c>
      <c r="H4997" s="9"/>
    </row>
    <row r="4998" ht="14.25" customHeight="1">
      <c r="C4998" s="9" t="s">
        <v>3230</v>
      </c>
      <c r="D4998" s="9" t="s">
        <v>3207</v>
      </c>
      <c r="E4998" s="9" t="s">
        <v>3204</v>
      </c>
      <c r="F4998" s="9" t="s">
        <v>474</v>
      </c>
      <c r="H4998" s="9"/>
    </row>
    <row r="4999" ht="14.25" customHeight="1">
      <c r="C4999" s="9" t="s">
        <v>3231</v>
      </c>
      <c r="D4999" s="9" t="s">
        <v>3207</v>
      </c>
      <c r="E4999" s="9" t="s">
        <v>3204</v>
      </c>
      <c r="F4999" s="9" t="s">
        <v>482</v>
      </c>
      <c r="H4999" s="9"/>
    </row>
    <row r="5000" ht="14.25" customHeight="1">
      <c r="C5000" s="9" t="s">
        <v>3232</v>
      </c>
      <c r="D5000" s="9" t="s">
        <v>3207</v>
      </c>
      <c r="E5000" s="9" t="s">
        <v>3204</v>
      </c>
      <c r="F5000" s="9" t="s">
        <v>493</v>
      </c>
      <c r="H5000" s="9"/>
    </row>
    <row r="5001" ht="14.25" customHeight="1">
      <c r="C5001" s="9" t="s">
        <v>3233</v>
      </c>
      <c r="D5001" s="9" t="s">
        <v>3207</v>
      </c>
      <c r="E5001" s="9" t="s">
        <v>3204</v>
      </c>
      <c r="F5001" s="9" t="s">
        <v>507</v>
      </c>
      <c r="H5001" s="9"/>
    </row>
    <row r="5002" ht="14.25" customHeight="1">
      <c r="C5002" s="9" t="s">
        <v>3234</v>
      </c>
      <c r="D5002" s="9" t="s">
        <v>3207</v>
      </c>
      <c r="E5002" s="9" t="s">
        <v>3204</v>
      </c>
      <c r="F5002" s="9" t="s">
        <v>517</v>
      </c>
      <c r="H5002" s="9"/>
    </row>
    <row r="5003" ht="14.25" customHeight="1">
      <c r="C5003" s="9" t="s">
        <v>3235</v>
      </c>
      <c r="D5003" s="9" t="s">
        <v>3207</v>
      </c>
      <c r="E5003" s="9" t="s">
        <v>3204</v>
      </c>
      <c r="F5003" s="9" t="s">
        <v>529</v>
      </c>
      <c r="H5003" s="9"/>
    </row>
    <row r="5004" ht="14.25" customHeight="1">
      <c r="C5004" s="9" t="s">
        <v>1366</v>
      </c>
      <c r="D5004" s="9" t="s">
        <v>3236</v>
      </c>
      <c r="E5004" s="9" t="s">
        <v>3204</v>
      </c>
      <c r="F5004" s="9" t="s">
        <v>474</v>
      </c>
      <c r="H5004" s="9"/>
    </row>
    <row r="5005" ht="14.25" customHeight="1">
      <c r="C5005" s="9" t="s">
        <v>1366</v>
      </c>
      <c r="D5005" s="9" t="s">
        <v>3236</v>
      </c>
      <c r="E5005" s="9" t="s">
        <v>3204</v>
      </c>
      <c r="F5005" s="9" t="s">
        <v>284</v>
      </c>
      <c r="H5005" s="9"/>
    </row>
    <row r="5006" ht="14.25" customHeight="1">
      <c r="C5006" s="9" t="s">
        <v>1366</v>
      </c>
      <c r="D5006" s="9" t="s">
        <v>3236</v>
      </c>
      <c r="E5006" s="9" t="s">
        <v>3204</v>
      </c>
      <c r="F5006" s="9" t="s">
        <v>493</v>
      </c>
      <c r="H5006" s="9"/>
    </row>
    <row r="5007" ht="14.25" customHeight="1">
      <c r="C5007" s="9" t="s">
        <v>1366</v>
      </c>
      <c r="D5007" s="9" t="s">
        <v>3236</v>
      </c>
      <c r="E5007" s="9" t="s">
        <v>3204</v>
      </c>
      <c r="F5007" s="9" t="s">
        <v>450</v>
      </c>
      <c r="H5007" s="9"/>
    </row>
    <row r="5008" ht="14.25" customHeight="1">
      <c r="C5008" s="9" t="s">
        <v>1366</v>
      </c>
      <c r="D5008" s="9" t="s">
        <v>3236</v>
      </c>
      <c r="E5008" s="9" t="s">
        <v>3204</v>
      </c>
      <c r="F5008" s="9" t="s">
        <v>2296</v>
      </c>
      <c r="H5008" s="9"/>
    </row>
    <row r="5009" ht="14.25" customHeight="1">
      <c r="C5009" s="9" t="s">
        <v>1366</v>
      </c>
      <c r="D5009" s="9" t="s">
        <v>3236</v>
      </c>
      <c r="E5009" s="9" t="s">
        <v>3204</v>
      </c>
      <c r="F5009" s="9" t="s">
        <v>276</v>
      </c>
      <c r="H5009" s="9"/>
    </row>
    <row r="5010" ht="14.25" customHeight="1">
      <c r="C5010" s="9" t="s">
        <v>1366</v>
      </c>
      <c r="D5010" s="9" t="s">
        <v>3236</v>
      </c>
      <c r="E5010" s="9" t="s">
        <v>3204</v>
      </c>
      <c r="F5010" s="9" t="s">
        <v>431</v>
      </c>
      <c r="H5010" s="9"/>
    </row>
    <row r="5011" ht="14.25" customHeight="1">
      <c r="C5011" s="9" t="s">
        <v>1366</v>
      </c>
      <c r="D5011" s="9" t="s">
        <v>3236</v>
      </c>
      <c r="E5011" s="9" t="s">
        <v>3204</v>
      </c>
      <c r="F5011" s="9" t="s">
        <v>1272</v>
      </c>
      <c r="H5011" s="9"/>
    </row>
    <row r="5012" ht="14.25" customHeight="1">
      <c r="C5012" s="9" t="s">
        <v>1366</v>
      </c>
      <c r="D5012" s="9" t="s">
        <v>3236</v>
      </c>
      <c r="E5012" s="9" t="s">
        <v>3204</v>
      </c>
      <c r="F5012" s="9" t="s">
        <v>420</v>
      </c>
      <c r="H5012" s="9"/>
    </row>
    <row r="5013" ht="14.25" customHeight="1">
      <c r="C5013" s="9" t="s">
        <v>1366</v>
      </c>
      <c r="D5013" s="9" t="s">
        <v>3236</v>
      </c>
      <c r="E5013" s="9" t="s">
        <v>3204</v>
      </c>
      <c r="F5013" s="9" t="s">
        <v>482</v>
      </c>
      <c r="H5013" s="9"/>
    </row>
    <row r="5014" ht="14.25" customHeight="1">
      <c r="C5014" s="9" t="s">
        <v>1366</v>
      </c>
      <c r="D5014" s="9" t="s">
        <v>3236</v>
      </c>
      <c r="E5014" s="9" t="s">
        <v>3204</v>
      </c>
      <c r="F5014" s="9" t="s">
        <v>136</v>
      </c>
      <c r="H5014" s="9"/>
    </row>
    <row r="5015" ht="14.25" customHeight="1">
      <c r="C5015" s="9" t="s">
        <v>1366</v>
      </c>
      <c r="D5015" s="9" t="s">
        <v>3236</v>
      </c>
      <c r="E5015" s="9" t="s">
        <v>3204</v>
      </c>
      <c r="F5015" s="9" t="s">
        <v>408</v>
      </c>
      <c r="H5015" s="9"/>
    </row>
    <row r="5016" ht="14.25" customHeight="1">
      <c r="C5016" s="9" t="s">
        <v>1366</v>
      </c>
      <c r="D5016" s="9" t="s">
        <v>3236</v>
      </c>
      <c r="E5016" s="9" t="s">
        <v>3204</v>
      </c>
      <c r="F5016" s="9" t="s">
        <v>2301</v>
      </c>
      <c r="H5016" s="9"/>
    </row>
    <row r="5017" ht="14.25" customHeight="1">
      <c r="C5017" s="9" t="s">
        <v>1366</v>
      </c>
      <c r="D5017" s="9" t="s">
        <v>3236</v>
      </c>
      <c r="E5017" s="9" t="s">
        <v>3204</v>
      </c>
      <c r="F5017" s="9" t="s">
        <v>197</v>
      </c>
      <c r="H5017" s="9"/>
    </row>
    <row r="5018" ht="14.25" customHeight="1">
      <c r="C5018" s="9" t="s">
        <v>1366</v>
      </c>
      <c r="D5018" s="9" t="s">
        <v>3236</v>
      </c>
      <c r="E5018" s="9" t="s">
        <v>3204</v>
      </c>
      <c r="F5018" s="9" t="s">
        <v>172</v>
      </c>
      <c r="H5018" s="9"/>
    </row>
    <row r="5019" ht="14.25" customHeight="1">
      <c r="C5019" s="9" t="s">
        <v>1366</v>
      </c>
      <c r="D5019" s="9" t="s">
        <v>3236</v>
      </c>
      <c r="E5019" s="9" t="s">
        <v>3204</v>
      </c>
      <c r="F5019" s="9" t="s">
        <v>98</v>
      </c>
      <c r="H5019" s="9"/>
    </row>
    <row r="5020" ht="14.25" customHeight="1">
      <c r="C5020" s="9" t="s">
        <v>1366</v>
      </c>
      <c r="D5020" s="9" t="s">
        <v>3236</v>
      </c>
      <c r="E5020" s="9" t="s">
        <v>3204</v>
      </c>
      <c r="F5020" s="9" t="s">
        <v>341</v>
      </c>
      <c r="H5020" s="9"/>
    </row>
    <row r="5021" ht="14.25" customHeight="1">
      <c r="C5021" s="9" t="s">
        <v>1366</v>
      </c>
      <c r="D5021" s="9" t="s">
        <v>3236</v>
      </c>
      <c r="E5021" s="9" t="s">
        <v>3204</v>
      </c>
      <c r="F5021" s="9" t="s">
        <v>367</v>
      </c>
      <c r="H5021" s="9"/>
    </row>
    <row r="5022" ht="14.25" customHeight="1">
      <c r="C5022" s="9" t="s">
        <v>1366</v>
      </c>
      <c r="D5022" s="9" t="s">
        <v>3236</v>
      </c>
      <c r="E5022" s="9" t="s">
        <v>3204</v>
      </c>
      <c r="F5022" s="9" t="s">
        <v>529</v>
      </c>
      <c r="H5022" s="9"/>
    </row>
    <row r="5023" ht="14.25" customHeight="1">
      <c r="C5023" s="9" t="s">
        <v>1366</v>
      </c>
      <c r="D5023" s="9" t="s">
        <v>3236</v>
      </c>
      <c r="E5023" s="9" t="s">
        <v>3204</v>
      </c>
      <c r="F5023" s="9" t="s">
        <v>282</v>
      </c>
      <c r="H5023" s="9"/>
    </row>
    <row r="5024" ht="14.25" customHeight="1">
      <c r="C5024" s="9" t="s">
        <v>1366</v>
      </c>
      <c r="D5024" s="9" t="s">
        <v>3236</v>
      </c>
      <c r="E5024" s="9" t="s">
        <v>3204</v>
      </c>
      <c r="F5024" s="9" t="s">
        <v>321</v>
      </c>
      <c r="H5024" s="9"/>
    </row>
    <row r="5025" ht="14.25" customHeight="1">
      <c r="C5025" s="9" t="s">
        <v>1366</v>
      </c>
      <c r="D5025" s="9" t="s">
        <v>3236</v>
      </c>
      <c r="E5025" s="9" t="s">
        <v>3204</v>
      </c>
      <c r="F5025" s="9" t="s">
        <v>272</v>
      </c>
      <c r="H5025" s="9"/>
    </row>
    <row r="5026" ht="14.25" customHeight="1">
      <c r="C5026" s="9" t="s">
        <v>1366</v>
      </c>
      <c r="D5026" s="9" t="s">
        <v>3236</v>
      </c>
      <c r="E5026" s="9" t="s">
        <v>3204</v>
      </c>
      <c r="F5026" s="9" t="s">
        <v>517</v>
      </c>
      <c r="H5026" s="9"/>
    </row>
    <row r="5027" ht="14.25" customHeight="1">
      <c r="C5027" s="9" t="s">
        <v>1366</v>
      </c>
      <c r="D5027" s="9" t="s">
        <v>3236</v>
      </c>
      <c r="E5027" s="9" t="s">
        <v>3204</v>
      </c>
      <c r="F5027" s="9" t="s">
        <v>2309</v>
      </c>
      <c r="H5027" s="9"/>
    </row>
    <row r="5028" ht="14.25" customHeight="1">
      <c r="C5028" s="9" t="s">
        <v>1366</v>
      </c>
      <c r="D5028" s="9" t="s">
        <v>3236</v>
      </c>
      <c r="E5028" s="9" t="s">
        <v>3204</v>
      </c>
      <c r="F5028" s="9" t="s">
        <v>507</v>
      </c>
      <c r="H5028" s="9"/>
    </row>
    <row r="5029" ht="14.25" customHeight="1">
      <c r="C5029" s="9" t="s">
        <v>1366</v>
      </c>
      <c r="D5029" s="9" t="s">
        <v>3236</v>
      </c>
      <c r="E5029" s="9" t="s">
        <v>3204</v>
      </c>
      <c r="F5029" s="9" t="s">
        <v>336</v>
      </c>
      <c r="H5029" s="9"/>
    </row>
    <row r="5030" ht="14.25" customHeight="1">
      <c r="C5030" s="9" t="s">
        <v>1366</v>
      </c>
      <c r="D5030" s="9" t="s">
        <v>3236</v>
      </c>
      <c r="E5030" s="9" t="s">
        <v>3204</v>
      </c>
      <c r="F5030" s="9" t="s">
        <v>235</v>
      </c>
      <c r="H5030" s="9"/>
    </row>
    <row r="5031" ht="14.25" customHeight="1">
      <c r="C5031" s="9" t="s">
        <v>1366</v>
      </c>
      <c r="D5031" s="9" t="s">
        <v>3236</v>
      </c>
      <c r="E5031" s="9" t="s">
        <v>3204</v>
      </c>
      <c r="F5031" s="9" t="s">
        <v>327</v>
      </c>
      <c r="H5031" s="9"/>
    </row>
    <row r="5032" ht="14.25" customHeight="1">
      <c r="C5032" s="9" t="s">
        <v>1366</v>
      </c>
      <c r="D5032" s="9" t="s">
        <v>3236</v>
      </c>
      <c r="E5032" s="9" t="s">
        <v>3204</v>
      </c>
      <c r="F5032" s="9" t="s">
        <v>264</v>
      </c>
      <c r="H5032" s="9"/>
    </row>
    <row r="5033" ht="14.25" customHeight="1">
      <c r="C5033" s="9" t="s">
        <v>1367</v>
      </c>
      <c r="D5033" s="9" t="s">
        <v>3237</v>
      </c>
      <c r="E5033" s="9" t="s">
        <v>3204</v>
      </c>
      <c r="F5033" s="9" t="s">
        <v>474</v>
      </c>
      <c r="H5033" s="9"/>
    </row>
    <row r="5034" ht="14.25" customHeight="1">
      <c r="C5034" s="9" t="s">
        <v>1367</v>
      </c>
      <c r="D5034" s="9" t="s">
        <v>3237</v>
      </c>
      <c r="E5034" s="9" t="s">
        <v>3204</v>
      </c>
      <c r="F5034" s="9" t="s">
        <v>284</v>
      </c>
      <c r="H5034" s="9"/>
    </row>
    <row r="5035" ht="14.25" customHeight="1">
      <c r="C5035" s="9" t="s">
        <v>1367</v>
      </c>
      <c r="D5035" s="9" t="s">
        <v>3237</v>
      </c>
      <c r="E5035" s="9" t="s">
        <v>3204</v>
      </c>
      <c r="F5035" s="9" t="s">
        <v>493</v>
      </c>
      <c r="H5035" s="9"/>
    </row>
    <row r="5036" ht="14.25" customHeight="1">
      <c r="C5036" s="9" t="s">
        <v>1367</v>
      </c>
      <c r="D5036" s="9" t="s">
        <v>3237</v>
      </c>
      <c r="E5036" s="9" t="s">
        <v>3204</v>
      </c>
      <c r="F5036" s="9" t="s">
        <v>450</v>
      </c>
      <c r="H5036" s="9"/>
    </row>
    <row r="5037" ht="14.25" customHeight="1">
      <c r="C5037" s="9" t="s">
        <v>1367</v>
      </c>
      <c r="D5037" s="9" t="s">
        <v>3237</v>
      </c>
      <c r="E5037" s="9" t="s">
        <v>3204</v>
      </c>
      <c r="F5037" s="9" t="s">
        <v>2296</v>
      </c>
      <c r="H5037" s="9"/>
    </row>
    <row r="5038" ht="14.25" customHeight="1">
      <c r="C5038" s="9" t="s">
        <v>1367</v>
      </c>
      <c r="D5038" s="9" t="s">
        <v>3237</v>
      </c>
      <c r="E5038" s="9" t="s">
        <v>3204</v>
      </c>
      <c r="F5038" s="9" t="s">
        <v>276</v>
      </c>
      <c r="H5038" s="9"/>
    </row>
    <row r="5039" ht="14.25" customHeight="1">
      <c r="C5039" s="9" t="s">
        <v>1367</v>
      </c>
      <c r="D5039" s="9" t="s">
        <v>3237</v>
      </c>
      <c r="E5039" s="9" t="s">
        <v>3204</v>
      </c>
      <c r="F5039" s="9" t="s">
        <v>431</v>
      </c>
      <c r="H5039" s="9"/>
    </row>
    <row r="5040" ht="14.25" customHeight="1">
      <c r="C5040" s="9" t="s">
        <v>1367</v>
      </c>
      <c r="D5040" s="9" t="s">
        <v>3237</v>
      </c>
      <c r="E5040" s="9" t="s">
        <v>3204</v>
      </c>
      <c r="F5040" s="9" t="s">
        <v>1272</v>
      </c>
      <c r="H5040" s="9"/>
    </row>
    <row r="5041" ht="14.25" customHeight="1">
      <c r="C5041" s="9" t="s">
        <v>1367</v>
      </c>
      <c r="D5041" s="9" t="s">
        <v>3237</v>
      </c>
      <c r="E5041" s="9" t="s">
        <v>3204</v>
      </c>
      <c r="F5041" s="9" t="s">
        <v>420</v>
      </c>
      <c r="H5041" s="9"/>
    </row>
    <row r="5042" ht="14.25" customHeight="1">
      <c r="C5042" s="9" t="s">
        <v>1367</v>
      </c>
      <c r="D5042" s="9" t="s">
        <v>3237</v>
      </c>
      <c r="E5042" s="9" t="s">
        <v>3204</v>
      </c>
      <c r="F5042" s="9" t="s">
        <v>482</v>
      </c>
      <c r="H5042" s="9"/>
    </row>
    <row r="5043" ht="14.25" customHeight="1">
      <c r="C5043" s="9" t="s">
        <v>1367</v>
      </c>
      <c r="D5043" s="9" t="s">
        <v>3237</v>
      </c>
      <c r="E5043" s="9" t="s">
        <v>3204</v>
      </c>
      <c r="F5043" s="9" t="s">
        <v>136</v>
      </c>
      <c r="H5043" s="9"/>
    </row>
    <row r="5044" ht="14.25" customHeight="1">
      <c r="C5044" s="9" t="s">
        <v>1367</v>
      </c>
      <c r="D5044" s="9" t="s">
        <v>3237</v>
      </c>
      <c r="E5044" s="9" t="s">
        <v>3204</v>
      </c>
      <c r="F5044" s="9" t="s">
        <v>408</v>
      </c>
      <c r="H5044" s="9"/>
    </row>
    <row r="5045" ht="14.25" customHeight="1">
      <c r="C5045" s="9" t="s">
        <v>1367</v>
      </c>
      <c r="D5045" s="9" t="s">
        <v>3237</v>
      </c>
      <c r="E5045" s="9" t="s">
        <v>3204</v>
      </c>
      <c r="F5045" s="9" t="s">
        <v>2301</v>
      </c>
      <c r="H5045" s="9"/>
    </row>
    <row r="5046" ht="14.25" customHeight="1">
      <c r="C5046" s="9" t="s">
        <v>1367</v>
      </c>
      <c r="D5046" s="9" t="s">
        <v>3237</v>
      </c>
      <c r="E5046" s="9" t="s">
        <v>3204</v>
      </c>
      <c r="F5046" s="9" t="s">
        <v>197</v>
      </c>
      <c r="H5046" s="9"/>
    </row>
    <row r="5047" ht="14.25" customHeight="1">
      <c r="C5047" s="9" t="s">
        <v>1367</v>
      </c>
      <c r="D5047" s="9" t="s">
        <v>3237</v>
      </c>
      <c r="E5047" s="9" t="s">
        <v>3204</v>
      </c>
      <c r="F5047" s="9" t="s">
        <v>172</v>
      </c>
      <c r="H5047" s="9"/>
    </row>
    <row r="5048" ht="14.25" customHeight="1">
      <c r="C5048" s="9" t="s">
        <v>1367</v>
      </c>
      <c r="D5048" s="9" t="s">
        <v>3237</v>
      </c>
      <c r="E5048" s="9" t="s">
        <v>3204</v>
      </c>
      <c r="F5048" s="9" t="s">
        <v>98</v>
      </c>
      <c r="H5048" s="9"/>
    </row>
    <row r="5049" ht="14.25" customHeight="1">
      <c r="C5049" s="9" t="s">
        <v>1367</v>
      </c>
      <c r="D5049" s="9" t="s">
        <v>3237</v>
      </c>
      <c r="E5049" s="9" t="s">
        <v>3204</v>
      </c>
      <c r="F5049" s="9" t="s">
        <v>341</v>
      </c>
      <c r="H5049" s="9"/>
    </row>
    <row r="5050" ht="14.25" customHeight="1">
      <c r="C5050" s="9" t="s">
        <v>1367</v>
      </c>
      <c r="D5050" s="9" t="s">
        <v>3237</v>
      </c>
      <c r="E5050" s="9" t="s">
        <v>3204</v>
      </c>
      <c r="F5050" s="9" t="s">
        <v>367</v>
      </c>
      <c r="H5050" s="9"/>
    </row>
    <row r="5051" ht="14.25" customHeight="1">
      <c r="C5051" s="9" t="s">
        <v>1367</v>
      </c>
      <c r="D5051" s="9" t="s">
        <v>3237</v>
      </c>
      <c r="E5051" s="9" t="s">
        <v>3204</v>
      </c>
      <c r="F5051" s="9" t="s">
        <v>529</v>
      </c>
      <c r="H5051" s="9"/>
    </row>
    <row r="5052" ht="14.25" customHeight="1">
      <c r="C5052" s="9" t="s">
        <v>1367</v>
      </c>
      <c r="D5052" s="9" t="s">
        <v>3237</v>
      </c>
      <c r="E5052" s="9" t="s">
        <v>3204</v>
      </c>
      <c r="F5052" s="9" t="s">
        <v>282</v>
      </c>
      <c r="H5052" s="9"/>
    </row>
    <row r="5053" ht="14.25" customHeight="1">
      <c r="C5053" s="9" t="s">
        <v>1367</v>
      </c>
      <c r="D5053" s="9" t="s">
        <v>3237</v>
      </c>
      <c r="E5053" s="9" t="s">
        <v>3204</v>
      </c>
      <c r="F5053" s="9" t="s">
        <v>321</v>
      </c>
      <c r="H5053" s="9"/>
    </row>
    <row r="5054" ht="14.25" customHeight="1">
      <c r="C5054" s="9" t="s">
        <v>1367</v>
      </c>
      <c r="D5054" s="9" t="s">
        <v>3237</v>
      </c>
      <c r="E5054" s="9" t="s">
        <v>3204</v>
      </c>
      <c r="F5054" s="9" t="s">
        <v>272</v>
      </c>
      <c r="H5054" s="9"/>
    </row>
    <row r="5055" ht="14.25" customHeight="1">
      <c r="C5055" s="9" t="s">
        <v>1367</v>
      </c>
      <c r="D5055" s="9" t="s">
        <v>3237</v>
      </c>
      <c r="E5055" s="9" t="s">
        <v>3204</v>
      </c>
      <c r="F5055" s="9" t="s">
        <v>517</v>
      </c>
      <c r="H5055" s="9"/>
    </row>
    <row r="5056" ht="14.25" customHeight="1">
      <c r="C5056" s="9" t="s">
        <v>1367</v>
      </c>
      <c r="D5056" s="9" t="s">
        <v>3237</v>
      </c>
      <c r="E5056" s="9" t="s">
        <v>3204</v>
      </c>
      <c r="F5056" s="9" t="s">
        <v>2309</v>
      </c>
      <c r="H5056" s="9"/>
    </row>
    <row r="5057" ht="14.25" customHeight="1">
      <c r="C5057" s="9" t="s">
        <v>1367</v>
      </c>
      <c r="D5057" s="9" t="s">
        <v>3237</v>
      </c>
      <c r="E5057" s="9" t="s">
        <v>3204</v>
      </c>
      <c r="F5057" s="9" t="s">
        <v>507</v>
      </c>
      <c r="H5057" s="9"/>
    </row>
    <row r="5058" ht="14.25" customHeight="1">
      <c r="C5058" s="9" t="s">
        <v>1367</v>
      </c>
      <c r="D5058" s="9" t="s">
        <v>3237</v>
      </c>
      <c r="E5058" s="9" t="s">
        <v>3204</v>
      </c>
      <c r="F5058" s="9" t="s">
        <v>336</v>
      </c>
      <c r="H5058" s="9"/>
    </row>
    <row r="5059" ht="14.25" customHeight="1">
      <c r="C5059" s="9" t="s">
        <v>1367</v>
      </c>
      <c r="D5059" s="9" t="s">
        <v>3237</v>
      </c>
      <c r="E5059" s="9" t="s">
        <v>3204</v>
      </c>
      <c r="F5059" s="9" t="s">
        <v>235</v>
      </c>
      <c r="H5059" s="9"/>
    </row>
    <row r="5060" ht="14.25" customHeight="1">
      <c r="C5060" s="9" t="s">
        <v>1367</v>
      </c>
      <c r="D5060" s="9" t="s">
        <v>3237</v>
      </c>
      <c r="E5060" s="9" t="s">
        <v>3204</v>
      </c>
      <c r="F5060" s="9" t="s">
        <v>327</v>
      </c>
      <c r="H5060" s="9"/>
    </row>
    <row r="5061" ht="14.25" customHeight="1">
      <c r="C5061" s="9" t="s">
        <v>1367</v>
      </c>
      <c r="D5061" s="9" t="s">
        <v>3237</v>
      </c>
      <c r="E5061" s="9" t="s">
        <v>3204</v>
      </c>
      <c r="F5061" s="9" t="s">
        <v>264</v>
      </c>
      <c r="H5061" s="9"/>
    </row>
    <row r="5062" ht="14.25" customHeight="1">
      <c r="C5062" s="9" t="s">
        <v>3238</v>
      </c>
      <c r="D5062" s="9" t="s">
        <v>3239</v>
      </c>
      <c r="E5062" s="9" t="s">
        <v>3204</v>
      </c>
      <c r="F5062" s="9" t="s">
        <v>2309</v>
      </c>
      <c r="H5062" s="9"/>
    </row>
    <row r="5063" ht="14.25" customHeight="1">
      <c r="C5063" s="9" t="s">
        <v>3238</v>
      </c>
      <c r="D5063" s="9" t="s">
        <v>3240</v>
      </c>
      <c r="E5063" s="9" t="s">
        <v>3204</v>
      </c>
      <c r="F5063" s="9" t="s">
        <v>2309</v>
      </c>
      <c r="H5063" s="9"/>
    </row>
    <row r="5064" ht="14.25" customHeight="1">
      <c r="C5064" s="9" t="s">
        <v>3241</v>
      </c>
      <c r="D5064" s="9" t="s">
        <v>3239</v>
      </c>
      <c r="E5064" s="9" t="s">
        <v>3204</v>
      </c>
      <c r="F5064" s="9" t="s">
        <v>1272</v>
      </c>
      <c r="H5064" s="9"/>
    </row>
    <row r="5065" ht="14.25" customHeight="1">
      <c r="C5065" s="9" t="s">
        <v>3241</v>
      </c>
      <c r="D5065" s="9" t="s">
        <v>3240</v>
      </c>
      <c r="E5065" s="9" t="s">
        <v>3204</v>
      </c>
      <c r="F5065" s="9" t="s">
        <v>1272</v>
      </c>
      <c r="H5065" s="9"/>
    </row>
    <row r="5066" ht="14.25" customHeight="1">
      <c r="C5066" s="9" t="s">
        <v>3242</v>
      </c>
      <c r="D5066" s="9" t="s">
        <v>3239</v>
      </c>
      <c r="E5066" s="9" t="s">
        <v>3204</v>
      </c>
      <c r="F5066" s="9" t="s">
        <v>98</v>
      </c>
      <c r="H5066" s="9"/>
    </row>
    <row r="5067" ht="14.25" customHeight="1">
      <c r="C5067" s="9" t="s">
        <v>3242</v>
      </c>
      <c r="D5067" s="9" t="s">
        <v>3240</v>
      </c>
      <c r="E5067" s="9" t="s">
        <v>3204</v>
      </c>
      <c r="F5067" s="9" t="s">
        <v>98</v>
      </c>
      <c r="H5067" s="9"/>
    </row>
    <row r="5068" ht="14.25" customHeight="1">
      <c r="C5068" s="9" t="s">
        <v>3243</v>
      </c>
      <c r="D5068" s="9" t="s">
        <v>3239</v>
      </c>
      <c r="E5068" s="9" t="s">
        <v>3204</v>
      </c>
      <c r="F5068" s="9" t="s">
        <v>2301</v>
      </c>
      <c r="H5068" s="9"/>
    </row>
    <row r="5069" ht="14.25" customHeight="1">
      <c r="C5069" s="9" t="s">
        <v>3243</v>
      </c>
      <c r="D5069" s="9" t="s">
        <v>3240</v>
      </c>
      <c r="E5069" s="9" t="s">
        <v>3204</v>
      </c>
      <c r="F5069" s="9" t="s">
        <v>2301</v>
      </c>
      <c r="H5069" s="9"/>
    </row>
    <row r="5070" ht="14.25" customHeight="1">
      <c r="C5070" s="9" t="s">
        <v>3244</v>
      </c>
      <c r="D5070" s="9" t="s">
        <v>3239</v>
      </c>
      <c r="E5070" s="9" t="s">
        <v>3204</v>
      </c>
      <c r="F5070" s="9" t="s">
        <v>136</v>
      </c>
      <c r="H5070" s="9"/>
    </row>
    <row r="5071" ht="14.25" customHeight="1">
      <c r="C5071" s="9" t="s">
        <v>3244</v>
      </c>
      <c r="D5071" s="9" t="s">
        <v>3240</v>
      </c>
      <c r="E5071" s="9" t="s">
        <v>3204</v>
      </c>
      <c r="F5071" s="9" t="s">
        <v>136</v>
      </c>
      <c r="H5071" s="9"/>
    </row>
    <row r="5072" ht="14.25" customHeight="1">
      <c r="C5072" s="9" t="s">
        <v>3245</v>
      </c>
      <c r="D5072" s="9" t="s">
        <v>3239</v>
      </c>
      <c r="E5072" s="9" t="s">
        <v>3204</v>
      </c>
      <c r="F5072" s="9" t="s">
        <v>172</v>
      </c>
      <c r="H5072" s="9"/>
    </row>
    <row r="5073" ht="14.25" customHeight="1">
      <c r="C5073" s="9" t="s">
        <v>3245</v>
      </c>
      <c r="D5073" s="9" t="s">
        <v>3240</v>
      </c>
      <c r="E5073" s="9" t="s">
        <v>3204</v>
      </c>
      <c r="F5073" s="9" t="s">
        <v>172</v>
      </c>
      <c r="H5073" s="9"/>
    </row>
    <row r="5074" ht="14.25" customHeight="1">
      <c r="C5074" s="9" t="s">
        <v>3246</v>
      </c>
      <c r="D5074" s="9" t="s">
        <v>3239</v>
      </c>
      <c r="E5074" s="9" t="s">
        <v>3204</v>
      </c>
      <c r="F5074" s="9" t="s">
        <v>197</v>
      </c>
      <c r="H5074" s="9"/>
    </row>
    <row r="5075" ht="14.25" customHeight="1">
      <c r="C5075" s="9" t="s">
        <v>3246</v>
      </c>
      <c r="D5075" s="9" t="s">
        <v>3240</v>
      </c>
      <c r="E5075" s="9" t="s">
        <v>3204</v>
      </c>
      <c r="F5075" s="9" t="s">
        <v>197</v>
      </c>
      <c r="H5075" s="9"/>
    </row>
    <row r="5076" ht="14.25" customHeight="1">
      <c r="C5076" s="9" t="s">
        <v>3247</v>
      </c>
      <c r="D5076" s="9" t="s">
        <v>3239</v>
      </c>
      <c r="E5076" s="9" t="s">
        <v>3204</v>
      </c>
      <c r="F5076" s="9" t="s">
        <v>235</v>
      </c>
      <c r="H5076" s="9"/>
    </row>
    <row r="5077" ht="14.25" customHeight="1">
      <c r="C5077" s="9" t="s">
        <v>3247</v>
      </c>
      <c r="D5077" s="9" t="s">
        <v>3240</v>
      </c>
      <c r="E5077" s="9" t="s">
        <v>3204</v>
      </c>
      <c r="F5077" s="9" t="s">
        <v>235</v>
      </c>
      <c r="H5077" s="9"/>
    </row>
    <row r="5078" ht="14.25" customHeight="1">
      <c r="C5078" s="9" t="s">
        <v>3248</v>
      </c>
      <c r="D5078" s="9" t="s">
        <v>3239</v>
      </c>
      <c r="E5078" s="9" t="s">
        <v>3204</v>
      </c>
      <c r="F5078" s="9" t="s">
        <v>264</v>
      </c>
      <c r="H5078" s="9"/>
    </row>
    <row r="5079" ht="14.25" customHeight="1">
      <c r="C5079" s="9" t="s">
        <v>3248</v>
      </c>
      <c r="D5079" s="9" t="s">
        <v>3240</v>
      </c>
      <c r="E5079" s="9" t="s">
        <v>3204</v>
      </c>
      <c r="F5079" s="9" t="s">
        <v>264</v>
      </c>
      <c r="H5079" s="9"/>
    </row>
    <row r="5080" ht="14.25" customHeight="1">
      <c r="C5080" s="9" t="s">
        <v>3249</v>
      </c>
      <c r="D5080" s="9" t="s">
        <v>3239</v>
      </c>
      <c r="E5080" s="9" t="s">
        <v>3204</v>
      </c>
      <c r="F5080" s="9" t="s">
        <v>272</v>
      </c>
      <c r="H5080" s="9"/>
    </row>
    <row r="5081" ht="14.25" customHeight="1">
      <c r="C5081" s="9" t="s">
        <v>3249</v>
      </c>
      <c r="D5081" s="9" t="s">
        <v>3240</v>
      </c>
      <c r="E5081" s="9" t="s">
        <v>3204</v>
      </c>
      <c r="F5081" s="9" t="s">
        <v>272</v>
      </c>
      <c r="H5081" s="9"/>
    </row>
    <row r="5082" ht="14.25" customHeight="1">
      <c r="C5082" s="9" t="s">
        <v>3250</v>
      </c>
      <c r="D5082" s="9" t="s">
        <v>3239</v>
      </c>
      <c r="E5082" s="9" t="s">
        <v>3204</v>
      </c>
      <c r="F5082" s="9" t="s">
        <v>276</v>
      </c>
      <c r="H5082" s="9"/>
    </row>
    <row r="5083" ht="14.25" customHeight="1">
      <c r="C5083" s="9" t="s">
        <v>3250</v>
      </c>
      <c r="D5083" s="9" t="s">
        <v>3240</v>
      </c>
      <c r="E5083" s="9" t="s">
        <v>3204</v>
      </c>
      <c r="F5083" s="9" t="s">
        <v>276</v>
      </c>
      <c r="H5083" s="9"/>
    </row>
    <row r="5084" ht="14.25" customHeight="1">
      <c r="C5084" s="9" t="s">
        <v>3251</v>
      </c>
      <c r="D5084" s="9" t="s">
        <v>3239</v>
      </c>
      <c r="E5084" s="9" t="s">
        <v>3204</v>
      </c>
      <c r="F5084" s="9" t="s">
        <v>282</v>
      </c>
      <c r="H5084" s="9"/>
    </row>
    <row r="5085" ht="14.25" customHeight="1">
      <c r="C5085" s="9" t="s">
        <v>3251</v>
      </c>
      <c r="D5085" s="9" t="s">
        <v>3240</v>
      </c>
      <c r="E5085" s="9" t="s">
        <v>3204</v>
      </c>
      <c r="F5085" s="9" t="s">
        <v>282</v>
      </c>
      <c r="H5085" s="9"/>
    </row>
    <row r="5086" ht="14.25" customHeight="1">
      <c r="C5086" s="9" t="s">
        <v>3252</v>
      </c>
      <c r="D5086" s="9" t="s">
        <v>3239</v>
      </c>
      <c r="E5086" s="9" t="s">
        <v>3204</v>
      </c>
      <c r="F5086" s="9" t="s">
        <v>284</v>
      </c>
      <c r="H5086" s="9"/>
    </row>
    <row r="5087" ht="14.25" customHeight="1">
      <c r="C5087" s="9" t="s">
        <v>3252</v>
      </c>
      <c r="D5087" s="9" t="s">
        <v>3240</v>
      </c>
      <c r="E5087" s="9" t="s">
        <v>3204</v>
      </c>
      <c r="F5087" s="9" t="s">
        <v>284</v>
      </c>
      <c r="H5087" s="9"/>
    </row>
    <row r="5088" ht="14.25" customHeight="1">
      <c r="C5088" s="9" t="s">
        <v>3253</v>
      </c>
      <c r="D5088" s="9" t="s">
        <v>3239</v>
      </c>
      <c r="E5088" s="9" t="s">
        <v>3204</v>
      </c>
      <c r="F5088" s="9" t="s">
        <v>321</v>
      </c>
      <c r="H5088" s="9"/>
    </row>
    <row r="5089" ht="14.25" customHeight="1">
      <c r="C5089" s="9" t="s">
        <v>3253</v>
      </c>
      <c r="D5089" s="9" t="s">
        <v>3240</v>
      </c>
      <c r="E5089" s="9" t="s">
        <v>3204</v>
      </c>
      <c r="F5089" s="9" t="s">
        <v>321</v>
      </c>
      <c r="H5089" s="9"/>
    </row>
    <row r="5090" ht="14.25" customHeight="1">
      <c r="C5090" s="9" t="s">
        <v>3254</v>
      </c>
      <c r="D5090" s="9" t="s">
        <v>3239</v>
      </c>
      <c r="E5090" s="9" t="s">
        <v>3204</v>
      </c>
      <c r="F5090" s="9" t="s">
        <v>327</v>
      </c>
      <c r="H5090" s="9"/>
    </row>
    <row r="5091" ht="14.25" customHeight="1">
      <c r="C5091" s="9" t="s">
        <v>3254</v>
      </c>
      <c r="D5091" s="9" t="s">
        <v>3240</v>
      </c>
      <c r="E5091" s="9" t="s">
        <v>3204</v>
      </c>
      <c r="F5091" s="9" t="s">
        <v>327</v>
      </c>
      <c r="H5091" s="9"/>
    </row>
    <row r="5092" ht="14.25" customHeight="1">
      <c r="C5092" s="9" t="s">
        <v>3255</v>
      </c>
      <c r="D5092" s="9" t="s">
        <v>3239</v>
      </c>
      <c r="E5092" s="9" t="s">
        <v>3204</v>
      </c>
      <c r="F5092" s="9" t="s">
        <v>336</v>
      </c>
      <c r="H5092" s="9"/>
    </row>
    <row r="5093" ht="14.25" customHeight="1">
      <c r="C5093" s="9" t="s">
        <v>3255</v>
      </c>
      <c r="D5093" s="9" t="s">
        <v>3240</v>
      </c>
      <c r="E5093" s="9" t="s">
        <v>3204</v>
      </c>
      <c r="F5093" s="9" t="s">
        <v>336</v>
      </c>
      <c r="H5093" s="9"/>
    </row>
    <row r="5094" ht="14.25" customHeight="1">
      <c r="C5094" s="9" t="s">
        <v>3256</v>
      </c>
      <c r="D5094" s="9" t="s">
        <v>3239</v>
      </c>
      <c r="E5094" s="9" t="s">
        <v>3204</v>
      </c>
      <c r="F5094" s="9" t="s">
        <v>341</v>
      </c>
      <c r="H5094" s="9"/>
    </row>
    <row r="5095" ht="14.25" customHeight="1">
      <c r="C5095" s="9" t="s">
        <v>3256</v>
      </c>
      <c r="D5095" s="9" t="s">
        <v>3240</v>
      </c>
      <c r="E5095" s="9" t="s">
        <v>3204</v>
      </c>
      <c r="F5095" s="9" t="s">
        <v>341</v>
      </c>
      <c r="H5095" s="9"/>
    </row>
    <row r="5096" ht="14.25" customHeight="1">
      <c r="C5096" s="9" t="s">
        <v>3257</v>
      </c>
      <c r="D5096" s="9" t="s">
        <v>3239</v>
      </c>
      <c r="E5096" s="9" t="s">
        <v>3204</v>
      </c>
      <c r="F5096" s="9" t="s">
        <v>367</v>
      </c>
      <c r="H5096" s="9"/>
    </row>
    <row r="5097" ht="14.25" customHeight="1">
      <c r="C5097" s="9" t="s">
        <v>3257</v>
      </c>
      <c r="D5097" s="9" t="s">
        <v>3240</v>
      </c>
      <c r="E5097" s="9" t="s">
        <v>3204</v>
      </c>
      <c r="F5097" s="9" t="s">
        <v>367</v>
      </c>
      <c r="H5097" s="9"/>
    </row>
    <row r="5098" ht="14.25" customHeight="1">
      <c r="C5098" s="9" t="s">
        <v>3258</v>
      </c>
      <c r="D5098" s="9" t="s">
        <v>3239</v>
      </c>
      <c r="E5098" s="9" t="s">
        <v>3204</v>
      </c>
      <c r="F5098" s="9" t="s">
        <v>2296</v>
      </c>
      <c r="H5098" s="9"/>
    </row>
    <row r="5099" ht="14.25" customHeight="1">
      <c r="C5099" s="9" t="s">
        <v>3258</v>
      </c>
      <c r="D5099" s="9" t="s">
        <v>3240</v>
      </c>
      <c r="E5099" s="9" t="s">
        <v>3204</v>
      </c>
      <c r="F5099" s="9" t="s">
        <v>2296</v>
      </c>
      <c r="H5099" s="9"/>
    </row>
    <row r="5100" ht="14.25" customHeight="1">
      <c r="C5100" s="9" t="s">
        <v>3259</v>
      </c>
      <c r="D5100" s="9" t="s">
        <v>3239</v>
      </c>
      <c r="E5100" s="9" t="s">
        <v>3204</v>
      </c>
      <c r="F5100" s="9" t="s">
        <v>408</v>
      </c>
      <c r="H5100" s="9"/>
    </row>
    <row r="5101" ht="14.25" customHeight="1">
      <c r="C5101" s="9" t="s">
        <v>3259</v>
      </c>
      <c r="D5101" s="9" t="s">
        <v>3240</v>
      </c>
      <c r="E5101" s="9" t="s">
        <v>3204</v>
      </c>
      <c r="F5101" s="9" t="s">
        <v>408</v>
      </c>
      <c r="H5101" s="9"/>
    </row>
    <row r="5102" ht="14.25" customHeight="1">
      <c r="C5102" s="9" t="s">
        <v>3260</v>
      </c>
      <c r="D5102" s="9" t="s">
        <v>3239</v>
      </c>
      <c r="E5102" s="9" t="s">
        <v>3204</v>
      </c>
      <c r="F5102" s="9" t="s">
        <v>420</v>
      </c>
      <c r="H5102" s="9"/>
    </row>
    <row r="5103" ht="14.25" customHeight="1">
      <c r="C5103" s="9" t="s">
        <v>3260</v>
      </c>
      <c r="D5103" s="9" t="s">
        <v>3240</v>
      </c>
      <c r="E5103" s="9" t="s">
        <v>3204</v>
      </c>
      <c r="F5103" s="9" t="s">
        <v>420</v>
      </c>
      <c r="H5103" s="9"/>
    </row>
    <row r="5104" ht="14.25" customHeight="1">
      <c r="C5104" s="9" t="s">
        <v>3261</v>
      </c>
      <c r="D5104" s="9" t="s">
        <v>3239</v>
      </c>
      <c r="E5104" s="9" t="s">
        <v>3204</v>
      </c>
      <c r="F5104" s="9" t="s">
        <v>431</v>
      </c>
      <c r="H5104" s="9"/>
    </row>
    <row r="5105" ht="14.25" customHeight="1">
      <c r="C5105" s="9" t="s">
        <v>3261</v>
      </c>
      <c r="D5105" s="9" t="s">
        <v>3240</v>
      </c>
      <c r="E5105" s="9" t="s">
        <v>3204</v>
      </c>
      <c r="F5105" s="9" t="s">
        <v>431</v>
      </c>
      <c r="H5105" s="9"/>
    </row>
    <row r="5106" ht="14.25" customHeight="1">
      <c r="C5106" s="9" t="s">
        <v>3262</v>
      </c>
      <c r="D5106" s="9" t="s">
        <v>3239</v>
      </c>
      <c r="E5106" s="9" t="s">
        <v>3204</v>
      </c>
      <c r="F5106" s="9" t="s">
        <v>450</v>
      </c>
      <c r="H5106" s="9"/>
    </row>
    <row r="5107" ht="14.25" customHeight="1">
      <c r="C5107" s="9" t="s">
        <v>3262</v>
      </c>
      <c r="D5107" s="9" t="s">
        <v>3240</v>
      </c>
      <c r="E5107" s="9" t="s">
        <v>3204</v>
      </c>
      <c r="F5107" s="9" t="s">
        <v>450</v>
      </c>
      <c r="H5107" s="9"/>
    </row>
    <row r="5108" ht="14.25" customHeight="1">
      <c r="C5108" s="9" t="s">
        <v>3263</v>
      </c>
      <c r="D5108" s="9" t="s">
        <v>3239</v>
      </c>
      <c r="E5108" s="9" t="s">
        <v>3204</v>
      </c>
      <c r="F5108" s="9" t="s">
        <v>474</v>
      </c>
      <c r="H5108" s="9"/>
    </row>
    <row r="5109" ht="14.25" customHeight="1">
      <c r="C5109" s="9" t="s">
        <v>3263</v>
      </c>
      <c r="D5109" s="9" t="s">
        <v>3240</v>
      </c>
      <c r="E5109" s="9" t="s">
        <v>3204</v>
      </c>
      <c r="F5109" s="9" t="s">
        <v>474</v>
      </c>
      <c r="H5109" s="9"/>
    </row>
    <row r="5110" ht="14.25" customHeight="1">
      <c r="C5110" s="9" t="s">
        <v>3264</v>
      </c>
      <c r="D5110" s="9" t="s">
        <v>3239</v>
      </c>
      <c r="E5110" s="9" t="s">
        <v>3204</v>
      </c>
      <c r="F5110" s="9" t="s">
        <v>482</v>
      </c>
      <c r="H5110" s="9"/>
    </row>
    <row r="5111" ht="14.25" customHeight="1">
      <c r="C5111" s="9" t="s">
        <v>3264</v>
      </c>
      <c r="D5111" s="9" t="s">
        <v>3240</v>
      </c>
      <c r="E5111" s="9" t="s">
        <v>3204</v>
      </c>
      <c r="F5111" s="9" t="s">
        <v>482</v>
      </c>
      <c r="H5111" s="9"/>
    </row>
    <row r="5112" ht="14.25" customHeight="1">
      <c r="C5112" s="9" t="s">
        <v>3265</v>
      </c>
      <c r="D5112" s="9" t="s">
        <v>3239</v>
      </c>
      <c r="E5112" s="9" t="s">
        <v>3204</v>
      </c>
      <c r="F5112" s="9" t="s">
        <v>493</v>
      </c>
      <c r="H5112" s="9"/>
    </row>
    <row r="5113" ht="14.25" customHeight="1">
      <c r="C5113" s="9" t="s">
        <v>3265</v>
      </c>
      <c r="D5113" s="9" t="s">
        <v>3240</v>
      </c>
      <c r="E5113" s="9" t="s">
        <v>3204</v>
      </c>
      <c r="F5113" s="9" t="s">
        <v>493</v>
      </c>
      <c r="H5113" s="9"/>
    </row>
    <row r="5114" ht="14.25" customHeight="1">
      <c r="C5114" s="9" t="s">
        <v>3266</v>
      </c>
      <c r="D5114" s="9" t="s">
        <v>3239</v>
      </c>
      <c r="E5114" s="9" t="s">
        <v>3204</v>
      </c>
      <c r="F5114" s="9" t="s">
        <v>507</v>
      </c>
      <c r="H5114" s="9"/>
    </row>
    <row r="5115" ht="14.25" customHeight="1">
      <c r="C5115" s="9" t="s">
        <v>3266</v>
      </c>
      <c r="D5115" s="9" t="s">
        <v>3240</v>
      </c>
      <c r="E5115" s="9" t="s">
        <v>3204</v>
      </c>
      <c r="F5115" s="9" t="s">
        <v>507</v>
      </c>
      <c r="H5115" s="9"/>
    </row>
    <row r="5116" ht="14.25" customHeight="1">
      <c r="C5116" s="9" t="s">
        <v>3267</v>
      </c>
      <c r="D5116" s="9" t="s">
        <v>3239</v>
      </c>
      <c r="E5116" s="9" t="s">
        <v>3204</v>
      </c>
      <c r="F5116" s="9" t="s">
        <v>517</v>
      </c>
      <c r="H5116" s="9"/>
    </row>
    <row r="5117" ht="14.25" customHeight="1">
      <c r="C5117" s="9" t="s">
        <v>3267</v>
      </c>
      <c r="D5117" s="9" t="s">
        <v>3240</v>
      </c>
      <c r="E5117" s="9" t="s">
        <v>3204</v>
      </c>
      <c r="F5117" s="9" t="s">
        <v>517</v>
      </c>
      <c r="H5117" s="9"/>
    </row>
    <row r="5118" ht="14.25" customHeight="1">
      <c r="C5118" s="9" t="s">
        <v>3268</v>
      </c>
      <c r="D5118" s="9" t="s">
        <v>3239</v>
      </c>
      <c r="E5118" s="9" t="s">
        <v>3204</v>
      </c>
      <c r="F5118" s="9" t="s">
        <v>529</v>
      </c>
      <c r="H5118" s="9"/>
    </row>
    <row r="5119" ht="14.25" customHeight="1">
      <c r="C5119" s="9" t="s">
        <v>3268</v>
      </c>
      <c r="D5119" s="9" t="s">
        <v>3240</v>
      </c>
      <c r="E5119" s="9" t="s">
        <v>3204</v>
      </c>
      <c r="F5119" s="9" t="s">
        <v>529</v>
      </c>
      <c r="H5119" s="9"/>
    </row>
    <row r="5120" ht="14.25" customHeight="1">
      <c r="C5120" s="9" t="s">
        <v>3269</v>
      </c>
      <c r="D5120" s="9" t="s">
        <v>3269</v>
      </c>
      <c r="E5120" s="9" t="s">
        <v>3204</v>
      </c>
      <c r="F5120" s="9" t="s">
        <v>1439</v>
      </c>
      <c r="H5120" s="9"/>
    </row>
    <row r="5121" ht="14.25" customHeight="1">
      <c r="C5121" s="9" t="s">
        <v>3269</v>
      </c>
      <c r="D5121" s="9" t="s">
        <v>3269</v>
      </c>
      <c r="E5121" s="9" t="s">
        <v>3204</v>
      </c>
      <c r="F5121" s="9" t="s">
        <v>3132</v>
      </c>
      <c r="H5121" s="9"/>
    </row>
    <row r="5122" ht="14.25" customHeight="1">
      <c r="C5122" s="9" t="s">
        <v>3269</v>
      </c>
      <c r="D5122" s="9" t="s">
        <v>3269</v>
      </c>
      <c r="E5122" s="9" t="s">
        <v>3204</v>
      </c>
      <c r="F5122" s="9" t="s">
        <v>1440</v>
      </c>
      <c r="H5122" s="9"/>
    </row>
    <row r="5123" ht="14.25" customHeight="1">
      <c r="C5123" s="9" t="s">
        <v>3269</v>
      </c>
      <c r="D5123" s="9" t="s">
        <v>3269</v>
      </c>
      <c r="E5123" s="9" t="s">
        <v>3204</v>
      </c>
      <c r="F5123" s="9" t="s">
        <v>482</v>
      </c>
      <c r="H5123" s="9"/>
    </row>
    <row r="5124" ht="14.25" customHeight="1">
      <c r="C5124" s="9" t="s">
        <v>3269</v>
      </c>
      <c r="D5124" s="9" t="s">
        <v>3269</v>
      </c>
      <c r="E5124" s="9" t="s">
        <v>3204</v>
      </c>
      <c r="F5124" s="9" t="s">
        <v>3133</v>
      </c>
      <c r="H5124" s="9"/>
    </row>
    <row r="5125" ht="14.25" customHeight="1">
      <c r="C5125" s="9" t="s">
        <v>3269</v>
      </c>
      <c r="D5125" s="9" t="s">
        <v>3269</v>
      </c>
      <c r="E5125" s="9" t="s">
        <v>3204</v>
      </c>
      <c r="F5125" s="9" t="s">
        <v>341</v>
      </c>
      <c r="H5125" s="9"/>
    </row>
    <row r="5126" ht="14.25" customHeight="1">
      <c r="C5126" s="9" t="s">
        <v>3269</v>
      </c>
      <c r="D5126" s="9" t="s">
        <v>3269</v>
      </c>
      <c r="E5126" s="9" t="s">
        <v>3204</v>
      </c>
      <c r="F5126" s="9" t="s">
        <v>367</v>
      </c>
      <c r="H5126" s="9"/>
    </row>
    <row r="5127" ht="14.25" customHeight="1">
      <c r="C5127" s="9" t="s">
        <v>3269</v>
      </c>
      <c r="D5127" s="9" t="s">
        <v>3269</v>
      </c>
      <c r="E5127" s="9" t="s">
        <v>3204</v>
      </c>
      <c r="F5127" s="9" t="s">
        <v>529</v>
      </c>
      <c r="H5127" s="9"/>
    </row>
    <row r="5128" ht="14.25" customHeight="1">
      <c r="C5128" s="9" t="s">
        <v>3269</v>
      </c>
      <c r="D5128" s="9" t="s">
        <v>3269</v>
      </c>
      <c r="E5128" s="9" t="s">
        <v>3204</v>
      </c>
      <c r="F5128" s="9" t="s">
        <v>1435</v>
      </c>
      <c r="H5128" s="9"/>
    </row>
    <row r="5129" ht="14.25" customHeight="1">
      <c r="C5129" s="9" t="s">
        <v>3269</v>
      </c>
      <c r="D5129" s="9" t="s">
        <v>3269</v>
      </c>
      <c r="E5129" s="9" t="s">
        <v>3204</v>
      </c>
      <c r="F5129" s="9" t="s">
        <v>1437</v>
      </c>
      <c r="H5129" s="9"/>
    </row>
    <row r="5130" ht="14.25" customHeight="1">
      <c r="C5130" s="9" t="s">
        <v>3269</v>
      </c>
      <c r="D5130" s="9" t="s">
        <v>3269</v>
      </c>
      <c r="E5130" s="9" t="s">
        <v>3204</v>
      </c>
      <c r="F5130" s="9" t="s">
        <v>1436</v>
      </c>
      <c r="H5130" s="9"/>
    </row>
    <row r="5131" ht="14.25" customHeight="1">
      <c r="C5131" s="9" t="s">
        <v>3269</v>
      </c>
      <c r="D5131" s="9" t="s">
        <v>3269</v>
      </c>
      <c r="E5131" s="9" t="s">
        <v>3204</v>
      </c>
      <c r="F5131" s="9" t="s">
        <v>3134</v>
      </c>
      <c r="H5131" s="9"/>
    </row>
    <row r="5132" ht="14.25" customHeight="1">
      <c r="C5132" s="9" t="s">
        <v>3269</v>
      </c>
      <c r="D5132" s="9" t="s">
        <v>3269</v>
      </c>
      <c r="E5132" s="9" t="s">
        <v>3204</v>
      </c>
      <c r="F5132" s="9" t="s">
        <v>1434</v>
      </c>
      <c r="H5132" s="9"/>
    </row>
    <row r="5133" ht="14.25" customHeight="1">
      <c r="C5133" s="9" t="s">
        <v>3269</v>
      </c>
      <c r="D5133" s="9" t="s">
        <v>3269</v>
      </c>
      <c r="E5133" s="9" t="s">
        <v>3204</v>
      </c>
      <c r="F5133" s="9" t="s">
        <v>517</v>
      </c>
      <c r="H5133" s="9"/>
    </row>
    <row r="5134" ht="14.25" customHeight="1">
      <c r="C5134" s="9" t="s">
        <v>3269</v>
      </c>
      <c r="D5134" s="9" t="s">
        <v>3269</v>
      </c>
      <c r="E5134" s="9" t="s">
        <v>3204</v>
      </c>
      <c r="F5134" s="9" t="s">
        <v>507</v>
      </c>
      <c r="H5134" s="9"/>
    </row>
    <row r="5135" ht="14.25" customHeight="1">
      <c r="C5135" s="9" t="s">
        <v>3269</v>
      </c>
      <c r="D5135" s="9" t="s">
        <v>3269</v>
      </c>
      <c r="E5135" s="9" t="s">
        <v>3204</v>
      </c>
      <c r="F5135" s="9" t="s">
        <v>1441</v>
      </c>
      <c r="H5135" s="9"/>
    </row>
    <row r="5136" ht="14.25" customHeight="1">
      <c r="C5136" s="9" t="s">
        <v>3269</v>
      </c>
      <c r="D5136" s="9" t="s">
        <v>3269</v>
      </c>
      <c r="E5136" s="9" t="s">
        <v>3204</v>
      </c>
      <c r="F5136" s="9" t="s">
        <v>1438</v>
      </c>
      <c r="H5136" s="9"/>
    </row>
    <row r="5137" ht="14.25" customHeight="1">
      <c r="C5137" s="9" t="s">
        <v>3270</v>
      </c>
      <c r="D5137" s="9" t="s">
        <v>3270</v>
      </c>
      <c r="E5137" s="9" t="s">
        <v>3204</v>
      </c>
      <c r="F5137" s="9" t="s">
        <v>1439</v>
      </c>
      <c r="H5137" s="9"/>
    </row>
    <row r="5138" ht="14.25" customHeight="1">
      <c r="C5138" s="9" t="s">
        <v>3270</v>
      </c>
      <c r="D5138" s="9" t="s">
        <v>3270</v>
      </c>
      <c r="E5138" s="9" t="s">
        <v>3204</v>
      </c>
      <c r="F5138" s="9" t="s">
        <v>3132</v>
      </c>
      <c r="H5138" s="9"/>
    </row>
    <row r="5139" ht="14.25" customHeight="1">
      <c r="C5139" s="9" t="s">
        <v>3270</v>
      </c>
      <c r="D5139" s="9" t="s">
        <v>3270</v>
      </c>
      <c r="E5139" s="9" t="s">
        <v>3204</v>
      </c>
      <c r="F5139" s="9" t="s">
        <v>1440</v>
      </c>
      <c r="H5139" s="9"/>
    </row>
    <row r="5140" ht="14.25" customHeight="1">
      <c r="C5140" s="9" t="s">
        <v>3270</v>
      </c>
      <c r="D5140" s="9" t="s">
        <v>3270</v>
      </c>
      <c r="E5140" s="9" t="s">
        <v>3204</v>
      </c>
      <c r="F5140" s="9" t="s">
        <v>482</v>
      </c>
      <c r="H5140" s="9"/>
    </row>
    <row r="5141" ht="14.25" customHeight="1">
      <c r="C5141" s="9" t="s">
        <v>3270</v>
      </c>
      <c r="D5141" s="9" t="s">
        <v>3270</v>
      </c>
      <c r="E5141" s="9" t="s">
        <v>3204</v>
      </c>
      <c r="F5141" s="9" t="s">
        <v>3133</v>
      </c>
      <c r="H5141" s="9"/>
    </row>
    <row r="5142" ht="14.25" customHeight="1">
      <c r="C5142" s="9" t="s">
        <v>3270</v>
      </c>
      <c r="D5142" s="9" t="s">
        <v>3270</v>
      </c>
      <c r="E5142" s="9" t="s">
        <v>3204</v>
      </c>
      <c r="F5142" s="9" t="s">
        <v>341</v>
      </c>
      <c r="H5142" s="9"/>
    </row>
    <row r="5143" ht="14.25" customHeight="1">
      <c r="C5143" s="9" t="s">
        <v>3270</v>
      </c>
      <c r="D5143" s="9" t="s">
        <v>3270</v>
      </c>
      <c r="E5143" s="9" t="s">
        <v>3204</v>
      </c>
      <c r="F5143" s="9" t="s">
        <v>367</v>
      </c>
      <c r="H5143" s="9"/>
    </row>
    <row r="5144" ht="14.25" customHeight="1">
      <c r="C5144" s="9" t="s">
        <v>3270</v>
      </c>
      <c r="D5144" s="9" t="s">
        <v>3270</v>
      </c>
      <c r="E5144" s="9" t="s">
        <v>3204</v>
      </c>
      <c r="F5144" s="9" t="s">
        <v>529</v>
      </c>
      <c r="H5144" s="9"/>
    </row>
    <row r="5145" ht="14.25" customHeight="1">
      <c r="C5145" s="9" t="s">
        <v>3270</v>
      </c>
      <c r="D5145" s="9" t="s">
        <v>3270</v>
      </c>
      <c r="E5145" s="9" t="s">
        <v>3204</v>
      </c>
      <c r="F5145" s="9" t="s">
        <v>1435</v>
      </c>
      <c r="H5145" s="9"/>
    </row>
    <row r="5146" ht="14.25" customHeight="1">
      <c r="C5146" s="9" t="s">
        <v>3270</v>
      </c>
      <c r="D5146" s="9" t="s">
        <v>3270</v>
      </c>
      <c r="E5146" s="9" t="s">
        <v>3204</v>
      </c>
      <c r="F5146" s="9" t="s">
        <v>1437</v>
      </c>
      <c r="H5146" s="9"/>
    </row>
    <row r="5147" ht="14.25" customHeight="1">
      <c r="C5147" s="9" t="s">
        <v>3270</v>
      </c>
      <c r="D5147" s="9" t="s">
        <v>3270</v>
      </c>
      <c r="E5147" s="9" t="s">
        <v>3204</v>
      </c>
      <c r="F5147" s="9" t="s">
        <v>1436</v>
      </c>
      <c r="H5147" s="9"/>
    </row>
    <row r="5148" ht="14.25" customHeight="1">
      <c r="C5148" s="9" t="s">
        <v>3270</v>
      </c>
      <c r="D5148" s="9" t="s">
        <v>3270</v>
      </c>
      <c r="E5148" s="9" t="s">
        <v>3204</v>
      </c>
      <c r="F5148" s="9" t="s">
        <v>3134</v>
      </c>
      <c r="H5148" s="9"/>
    </row>
    <row r="5149" ht="14.25" customHeight="1">
      <c r="C5149" s="9" t="s">
        <v>3270</v>
      </c>
      <c r="D5149" s="9" t="s">
        <v>3270</v>
      </c>
      <c r="E5149" s="9" t="s">
        <v>3204</v>
      </c>
      <c r="F5149" s="9" t="s">
        <v>1434</v>
      </c>
      <c r="H5149" s="9"/>
    </row>
    <row r="5150" ht="14.25" customHeight="1">
      <c r="C5150" s="9" t="s">
        <v>3270</v>
      </c>
      <c r="D5150" s="9" t="s">
        <v>3270</v>
      </c>
      <c r="E5150" s="9" t="s">
        <v>3204</v>
      </c>
      <c r="F5150" s="9" t="s">
        <v>517</v>
      </c>
      <c r="H5150" s="9"/>
    </row>
    <row r="5151" ht="14.25" customHeight="1">
      <c r="C5151" s="9" t="s">
        <v>3270</v>
      </c>
      <c r="D5151" s="9" t="s">
        <v>3270</v>
      </c>
      <c r="E5151" s="9" t="s">
        <v>3204</v>
      </c>
      <c r="F5151" s="9" t="s">
        <v>507</v>
      </c>
      <c r="H5151" s="9"/>
    </row>
    <row r="5152" ht="14.25" customHeight="1">
      <c r="C5152" s="9" t="s">
        <v>3270</v>
      </c>
      <c r="D5152" s="9" t="s">
        <v>3270</v>
      </c>
      <c r="E5152" s="9" t="s">
        <v>3204</v>
      </c>
      <c r="F5152" s="9" t="s">
        <v>1441</v>
      </c>
      <c r="H5152" s="9"/>
    </row>
    <row r="5153" ht="14.25" customHeight="1">
      <c r="C5153" s="9" t="s">
        <v>3270</v>
      </c>
      <c r="D5153" s="9" t="s">
        <v>3270</v>
      </c>
      <c r="E5153" s="9" t="s">
        <v>3204</v>
      </c>
      <c r="F5153" s="9" t="s">
        <v>1438</v>
      </c>
      <c r="H5153" s="9"/>
    </row>
    <row r="5154" ht="14.25" customHeight="1">
      <c r="C5154" s="9" t="s">
        <v>1337</v>
      </c>
      <c r="D5154" s="9" t="s">
        <v>3271</v>
      </c>
      <c r="E5154" s="9" t="s">
        <v>3272</v>
      </c>
      <c r="F5154" s="9" t="s">
        <v>474</v>
      </c>
      <c r="H5154" s="9"/>
    </row>
    <row r="5155" ht="14.25" customHeight="1">
      <c r="C5155" s="9" t="s">
        <v>1337</v>
      </c>
      <c r="D5155" s="9" t="s">
        <v>3271</v>
      </c>
      <c r="E5155" s="9" t="s">
        <v>3272</v>
      </c>
      <c r="F5155" s="9" t="s">
        <v>284</v>
      </c>
      <c r="H5155" s="9"/>
    </row>
    <row r="5156" ht="14.25" customHeight="1">
      <c r="C5156" s="9" t="s">
        <v>1337</v>
      </c>
      <c r="D5156" s="9" t="s">
        <v>3271</v>
      </c>
      <c r="E5156" s="9" t="s">
        <v>3272</v>
      </c>
      <c r="F5156" s="9" t="s">
        <v>493</v>
      </c>
      <c r="H5156" s="9"/>
    </row>
    <row r="5157" ht="14.25" customHeight="1">
      <c r="C5157" s="9" t="s">
        <v>1337</v>
      </c>
      <c r="D5157" s="9" t="s">
        <v>3271</v>
      </c>
      <c r="E5157" s="9" t="s">
        <v>3272</v>
      </c>
      <c r="F5157" s="9" t="s">
        <v>450</v>
      </c>
      <c r="H5157" s="9"/>
    </row>
    <row r="5158" ht="14.25" customHeight="1">
      <c r="C5158" s="9" t="s">
        <v>1337</v>
      </c>
      <c r="D5158" s="9" t="s">
        <v>3271</v>
      </c>
      <c r="E5158" s="9" t="s">
        <v>3272</v>
      </c>
      <c r="F5158" s="9" t="s">
        <v>2296</v>
      </c>
      <c r="H5158" s="9"/>
    </row>
    <row r="5159" ht="14.25" customHeight="1">
      <c r="C5159" s="9" t="s">
        <v>1337</v>
      </c>
      <c r="D5159" s="9" t="s">
        <v>3271</v>
      </c>
      <c r="E5159" s="9" t="s">
        <v>3272</v>
      </c>
      <c r="F5159" s="9" t="s">
        <v>276</v>
      </c>
      <c r="H5159" s="9"/>
    </row>
    <row r="5160" ht="14.25" customHeight="1">
      <c r="C5160" s="9" t="s">
        <v>1337</v>
      </c>
      <c r="D5160" s="9" t="s">
        <v>3271</v>
      </c>
      <c r="E5160" s="9" t="s">
        <v>3272</v>
      </c>
      <c r="F5160" s="9" t="s">
        <v>431</v>
      </c>
      <c r="H5160" s="9"/>
    </row>
    <row r="5161" ht="14.25" customHeight="1">
      <c r="C5161" s="9" t="s">
        <v>1337</v>
      </c>
      <c r="D5161" s="9" t="s">
        <v>3271</v>
      </c>
      <c r="E5161" s="9" t="s">
        <v>3272</v>
      </c>
      <c r="F5161" s="9" t="s">
        <v>1272</v>
      </c>
      <c r="H5161" s="9"/>
    </row>
    <row r="5162" ht="14.25" customHeight="1">
      <c r="C5162" s="9" t="s">
        <v>1337</v>
      </c>
      <c r="D5162" s="9" t="s">
        <v>3271</v>
      </c>
      <c r="E5162" s="9" t="s">
        <v>3272</v>
      </c>
      <c r="F5162" s="9" t="s">
        <v>420</v>
      </c>
      <c r="H5162" s="9"/>
    </row>
    <row r="5163" ht="14.25" customHeight="1">
      <c r="C5163" s="9" t="s">
        <v>1337</v>
      </c>
      <c r="D5163" s="9" t="s">
        <v>3271</v>
      </c>
      <c r="E5163" s="9" t="s">
        <v>3272</v>
      </c>
      <c r="F5163" s="9" t="s">
        <v>482</v>
      </c>
      <c r="H5163" s="9"/>
    </row>
    <row r="5164" ht="14.25" customHeight="1">
      <c r="C5164" s="9" t="s">
        <v>1337</v>
      </c>
      <c r="D5164" s="9" t="s">
        <v>3271</v>
      </c>
      <c r="E5164" s="9" t="s">
        <v>3272</v>
      </c>
      <c r="F5164" s="9" t="s">
        <v>136</v>
      </c>
      <c r="H5164" s="9"/>
    </row>
    <row r="5165" ht="14.25" customHeight="1">
      <c r="C5165" s="9" t="s">
        <v>1337</v>
      </c>
      <c r="D5165" s="9" t="s">
        <v>3271</v>
      </c>
      <c r="E5165" s="9" t="s">
        <v>3272</v>
      </c>
      <c r="F5165" s="9" t="s">
        <v>408</v>
      </c>
      <c r="H5165" s="9"/>
    </row>
    <row r="5166" ht="14.25" customHeight="1">
      <c r="C5166" s="9" t="s">
        <v>1337</v>
      </c>
      <c r="D5166" s="9" t="s">
        <v>3271</v>
      </c>
      <c r="E5166" s="9" t="s">
        <v>3272</v>
      </c>
      <c r="F5166" s="9" t="s">
        <v>2301</v>
      </c>
      <c r="H5166" s="9"/>
    </row>
    <row r="5167" ht="14.25" customHeight="1">
      <c r="C5167" s="9" t="s">
        <v>1337</v>
      </c>
      <c r="D5167" s="9" t="s">
        <v>3271</v>
      </c>
      <c r="E5167" s="9" t="s">
        <v>3272</v>
      </c>
      <c r="F5167" s="9" t="s">
        <v>197</v>
      </c>
      <c r="H5167" s="9"/>
    </row>
    <row r="5168" ht="14.25" customHeight="1">
      <c r="C5168" s="9" t="s">
        <v>1337</v>
      </c>
      <c r="D5168" s="9" t="s">
        <v>3271</v>
      </c>
      <c r="E5168" s="9" t="s">
        <v>3272</v>
      </c>
      <c r="F5168" s="9" t="s">
        <v>172</v>
      </c>
      <c r="H5168" s="9"/>
    </row>
    <row r="5169" ht="14.25" customHeight="1">
      <c r="C5169" s="9" t="s">
        <v>1337</v>
      </c>
      <c r="D5169" s="9" t="s">
        <v>3271</v>
      </c>
      <c r="E5169" s="9" t="s">
        <v>3272</v>
      </c>
      <c r="F5169" s="9" t="s">
        <v>98</v>
      </c>
      <c r="H5169" s="9"/>
    </row>
    <row r="5170" ht="14.25" customHeight="1">
      <c r="C5170" s="9" t="s">
        <v>1337</v>
      </c>
      <c r="D5170" s="9" t="s">
        <v>3271</v>
      </c>
      <c r="E5170" s="9" t="s">
        <v>3272</v>
      </c>
      <c r="F5170" s="9" t="s">
        <v>341</v>
      </c>
      <c r="H5170" s="9"/>
    </row>
    <row r="5171" ht="14.25" customHeight="1">
      <c r="C5171" s="9" t="s">
        <v>1337</v>
      </c>
      <c r="D5171" s="9" t="s">
        <v>3271</v>
      </c>
      <c r="E5171" s="9" t="s">
        <v>3272</v>
      </c>
      <c r="F5171" s="9" t="s">
        <v>367</v>
      </c>
      <c r="H5171" s="9"/>
    </row>
    <row r="5172" ht="14.25" customHeight="1">
      <c r="C5172" s="9" t="s">
        <v>1337</v>
      </c>
      <c r="D5172" s="9" t="s">
        <v>3271</v>
      </c>
      <c r="E5172" s="9" t="s">
        <v>3272</v>
      </c>
      <c r="F5172" s="9" t="s">
        <v>529</v>
      </c>
      <c r="H5172" s="9"/>
    </row>
    <row r="5173" ht="14.25" customHeight="1">
      <c r="C5173" s="9" t="s">
        <v>1337</v>
      </c>
      <c r="D5173" s="9" t="s">
        <v>3271</v>
      </c>
      <c r="E5173" s="9" t="s">
        <v>3272</v>
      </c>
      <c r="F5173" s="9" t="s">
        <v>282</v>
      </c>
      <c r="H5173" s="9"/>
    </row>
    <row r="5174" ht="14.25" customHeight="1">
      <c r="C5174" s="9" t="s">
        <v>1337</v>
      </c>
      <c r="D5174" s="9" t="s">
        <v>3271</v>
      </c>
      <c r="E5174" s="9" t="s">
        <v>3272</v>
      </c>
      <c r="F5174" s="9" t="s">
        <v>321</v>
      </c>
      <c r="H5174" s="9"/>
    </row>
    <row r="5175" ht="14.25" customHeight="1">
      <c r="C5175" s="9" t="s">
        <v>1337</v>
      </c>
      <c r="D5175" s="9" t="s">
        <v>3271</v>
      </c>
      <c r="E5175" s="9" t="s">
        <v>3272</v>
      </c>
      <c r="F5175" s="9" t="s">
        <v>272</v>
      </c>
      <c r="H5175" s="9"/>
    </row>
    <row r="5176" ht="14.25" customHeight="1">
      <c r="C5176" s="9" t="s">
        <v>1337</v>
      </c>
      <c r="D5176" s="9" t="s">
        <v>3271</v>
      </c>
      <c r="E5176" s="9" t="s">
        <v>3272</v>
      </c>
      <c r="F5176" s="9" t="s">
        <v>517</v>
      </c>
      <c r="H5176" s="9"/>
    </row>
    <row r="5177" ht="14.25" customHeight="1">
      <c r="C5177" s="9" t="s">
        <v>1337</v>
      </c>
      <c r="D5177" s="9" t="s">
        <v>3271</v>
      </c>
      <c r="E5177" s="9" t="s">
        <v>3272</v>
      </c>
      <c r="F5177" s="9" t="s">
        <v>2309</v>
      </c>
      <c r="H5177" s="9"/>
    </row>
    <row r="5178" ht="14.25" customHeight="1">
      <c r="C5178" s="9" t="s">
        <v>1337</v>
      </c>
      <c r="D5178" s="9" t="s">
        <v>3271</v>
      </c>
      <c r="E5178" s="9" t="s">
        <v>3272</v>
      </c>
      <c r="F5178" s="9" t="s">
        <v>507</v>
      </c>
      <c r="H5178" s="9"/>
    </row>
    <row r="5179" ht="14.25" customHeight="1">
      <c r="C5179" s="9" t="s">
        <v>1337</v>
      </c>
      <c r="D5179" s="9" t="s">
        <v>3271</v>
      </c>
      <c r="E5179" s="9" t="s">
        <v>3272</v>
      </c>
      <c r="F5179" s="9" t="s">
        <v>336</v>
      </c>
      <c r="H5179" s="9"/>
    </row>
    <row r="5180" ht="14.25" customHeight="1">
      <c r="C5180" s="9" t="s">
        <v>1337</v>
      </c>
      <c r="D5180" s="9" t="s">
        <v>3271</v>
      </c>
      <c r="E5180" s="9" t="s">
        <v>3272</v>
      </c>
      <c r="F5180" s="9" t="s">
        <v>235</v>
      </c>
      <c r="H5180" s="9"/>
    </row>
    <row r="5181" ht="14.25" customHeight="1">
      <c r="C5181" s="9" t="s">
        <v>1337</v>
      </c>
      <c r="D5181" s="9" t="s">
        <v>3271</v>
      </c>
      <c r="E5181" s="9" t="s">
        <v>3272</v>
      </c>
      <c r="F5181" s="9" t="s">
        <v>327</v>
      </c>
      <c r="H5181" s="9"/>
    </row>
    <row r="5182" ht="14.25" customHeight="1">
      <c r="C5182" s="9" t="s">
        <v>1337</v>
      </c>
      <c r="D5182" s="9" t="s">
        <v>3271</v>
      </c>
      <c r="E5182" s="9" t="s">
        <v>3272</v>
      </c>
      <c r="F5182" s="9" t="s">
        <v>264</v>
      </c>
      <c r="H5182" s="9"/>
    </row>
    <row r="5183" ht="14.25" customHeight="1">
      <c r="C5183" s="9" t="s">
        <v>3273</v>
      </c>
      <c r="D5183" s="9" t="s">
        <v>3273</v>
      </c>
      <c r="E5183" s="9" t="s">
        <v>3272</v>
      </c>
      <c r="F5183" s="9" t="s">
        <v>1439</v>
      </c>
      <c r="H5183" s="9"/>
    </row>
    <row r="5184" ht="14.25" customHeight="1">
      <c r="C5184" s="9" t="s">
        <v>3273</v>
      </c>
      <c r="D5184" s="9" t="s">
        <v>3273</v>
      </c>
      <c r="E5184" s="9" t="s">
        <v>3272</v>
      </c>
      <c r="F5184" s="9" t="s">
        <v>3132</v>
      </c>
      <c r="H5184" s="9"/>
    </row>
    <row r="5185" ht="14.25" customHeight="1">
      <c r="C5185" s="9" t="s">
        <v>3273</v>
      </c>
      <c r="D5185" s="9" t="s">
        <v>3273</v>
      </c>
      <c r="E5185" s="9" t="s">
        <v>3272</v>
      </c>
      <c r="F5185" s="9" t="s">
        <v>1440</v>
      </c>
      <c r="H5185" s="9"/>
    </row>
    <row r="5186" ht="14.25" customHeight="1">
      <c r="C5186" s="9" t="s">
        <v>3273</v>
      </c>
      <c r="D5186" s="9" t="s">
        <v>3273</v>
      </c>
      <c r="E5186" s="9" t="s">
        <v>3272</v>
      </c>
      <c r="F5186" s="9" t="s">
        <v>482</v>
      </c>
      <c r="H5186" s="9"/>
    </row>
    <row r="5187" ht="14.25" customHeight="1">
      <c r="C5187" s="9" t="s">
        <v>3273</v>
      </c>
      <c r="D5187" s="9" t="s">
        <v>3273</v>
      </c>
      <c r="E5187" s="9" t="s">
        <v>3272</v>
      </c>
      <c r="F5187" s="9" t="s">
        <v>3133</v>
      </c>
      <c r="H5187" s="9"/>
    </row>
    <row r="5188" ht="14.25" customHeight="1">
      <c r="C5188" s="9" t="s">
        <v>3273</v>
      </c>
      <c r="D5188" s="9" t="s">
        <v>3273</v>
      </c>
      <c r="E5188" s="9" t="s">
        <v>3272</v>
      </c>
      <c r="F5188" s="9" t="s">
        <v>341</v>
      </c>
      <c r="H5188" s="9"/>
    </row>
    <row r="5189" ht="14.25" customHeight="1">
      <c r="C5189" s="9" t="s">
        <v>3273</v>
      </c>
      <c r="D5189" s="9" t="s">
        <v>3273</v>
      </c>
      <c r="E5189" s="9" t="s">
        <v>3272</v>
      </c>
      <c r="F5189" s="9" t="s">
        <v>367</v>
      </c>
      <c r="H5189" s="9"/>
    </row>
    <row r="5190" ht="14.25" customHeight="1">
      <c r="C5190" s="9" t="s">
        <v>3273</v>
      </c>
      <c r="D5190" s="9" t="s">
        <v>3273</v>
      </c>
      <c r="E5190" s="9" t="s">
        <v>3272</v>
      </c>
      <c r="F5190" s="9" t="s">
        <v>529</v>
      </c>
      <c r="H5190" s="9"/>
    </row>
    <row r="5191" ht="14.25" customHeight="1">
      <c r="C5191" s="9" t="s">
        <v>3273</v>
      </c>
      <c r="D5191" s="9" t="s">
        <v>3273</v>
      </c>
      <c r="E5191" s="9" t="s">
        <v>3272</v>
      </c>
      <c r="F5191" s="9" t="s">
        <v>1435</v>
      </c>
      <c r="H5191" s="9"/>
    </row>
    <row r="5192" ht="14.25" customHeight="1">
      <c r="C5192" s="9" t="s">
        <v>3273</v>
      </c>
      <c r="D5192" s="9" t="s">
        <v>3273</v>
      </c>
      <c r="E5192" s="9" t="s">
        <v>3272</v>
      </c>
      <c r="F5192" s="9" t="s">
        <v>1437</v>
      </c>
      <c r="H5192" s="9"/>
    </row>
    <row r="5193" ht="14.25" customHeight="1">
      <c r="C5193" s="9" t="s">
        <v>3273</v>
      </c>
      <c r="D5193" s="9" t="s">
        <v>3273</v>
      </c>
      <c r="E5193" s="9" t="s">
        <v>3272</v>
      </c>
      <c r="F5193" s="9" t="s">
        <v>1436</v>
      </c>
      <c r="H5193" s="9"/>
    </row>
    <row r="5194" ht="14.25" customHeight="1">
      <c r="C5194" s="9" t="s">
        <v>3273</v>
      </c>
      <c r="D5194" s="9" t="s">
        <v>3273</v>
      </c>
      <c r="E5194" s="9" t="s">
        <v>3272</v>
      </c>
      <c r="F5194" s="9" t="s">
        <v>3134</v>
      </c>
      <c r="H5194" s="9"/>
    </row>
    <row r="5195" ht="14.25" customHeight="1">
      <c r="C5195" s="9" t="s">
        <v>3273</v>
      </c>
      <c r="D5195" s="9" t="s">
        <v>3273</v>
      </c>
      <c r="E5195" s="9" t="s">
        <v>3272</v>
      </c>
      <c r="F5195" s="9" t="s">
        <v>1434</v>
      </c>
      <c r="H5195" s="9"/>
    </row>
    <row r="5196" ht="14.25" customHeight="1">
      <c r="C5196" s="9" t="s">
        <v>3273</v>
      </c>
      <c r="D5196" s="9" t="s">
        <v>3273</v>
      </c>
      <c r="E5196" s="9" t="s">
        <v>3272</v>
      </c>
      <c r="F5196" s="9" t="s">
        <v>517</v>
      </c>
      <c r="H5196" s="9"/>
    </row>
    <row r="5197" ht="14.25" customHeight="1">
      <c r="C5197" s="9" t="s">
        <v>3273</v>
      </c>
      <c r="D5197" s="9" t="s">
        <v>3273</v>
      </c>
      <c r="E5197" s="9" t="s">
        <v>3272</v>
      </c>
      <c r="F5197" s="9" t="s">
        <v>507</v>
      </c>
      <c r="H5197" s="9"/>
    </row>
    <row r="5198" ht="14.25" customHeight="1">
      <c r="C5198" s="9" t="s">
        <v>3273</v>
      </c>
      <c r="D5198" s="9" t="s">
        <v>3273</v>
      </c>
      <c r="E5198" s="9" t="s">
        <v>3272</v>
      </c>
      <c r="F5198" s="9" t="s">
        <v>1441</v>
      </c>
      <c r="H5198" s="9"/>
    </row>
    <row r="5199" ht="14.25" customHeight="1">
      <c r="C5199" s="9" t="s">
        <v>3273</v>
      </c>
      <c r="D5199" s="9" t="s">
        <v>3273</v>
      </c>
      <c r="E5199" s="9" t="s">
        <v>3272</v>
      </c>
      <c r="F5199" s="9" t="s">
        <v>1438</v>
      </c>
      <c r="H5199" s="9"/>
    </row>
    <row r="5200" ht="14.25" customHeight="1">
      <c r="C5200" s="9" t="s">
        <v>3274</v>
      </c>
      <c r="D5200" s="9" t="s">
        <v>3275</v>
      </c>
      <c r="E5200" s="9" t="s">
        <v>3272</v>
      </c>
      <c r="F5200" s="9" t="s">
        <v>1439</v>
      </c>
      <c r="H5200" s="9"/>
    </row>
    <row r="5201" ht="14.25" customHeight="1">
      <c r="C5201" s="9" t="s">
        <v>3274</v>
      </c>
      <c r="D5201" s="9" t="s">
        <v>3275</v>
      </c>
      <c r="E5201" s="9" t="s">
        <v>3272</v>
      </c>
      <c r="F5201" s="9" t="s">
        <v>3132</v>
      </c>
      <c r="H5201" s="9"/>
    </row>
    <row r="5202" ht="14.25" customHeight="1">
      <c r="C5202" s="9" t="s">
        <v>3274</v>
      </c>
      <c r="D5202" s="9" t="s">
        <v>3275</v>
      </c>
      <c r="E5202" s="9" t="s">
        <v>3272</v>
      </c>
      <c r="F5202" s="9" t="s">
        <v>1440</v>
      </c>
      <c r="H5202" s="9"/>
    </row>
    <row r="5203" ht="14.25" customHeight="1">
      <c r="C5203" s="9" t="s">
        <v>3274</v>
      </c>
      <c r="D5203" s="9" t="s">
        <v>3275</v>
      </c>
      <c r="E5203" s="9" t="s">
        <v>3272</v>
      </c>
      <c r="F5203" s="9" t="s">
        <v>482</v>
      </c>
      <c r="H5203" s="9"/>
    </row>
    <row r="5204" ht="14.25" customHeight="1">
      <c r="C5204" s="9" t="s">
        <v>3274</v>
      </c>
      <c r="D5204" s="9" t="s">
        <v>3275</v>
      </c>
      <c r="E5204" s="9" t="s">
        <v>3272</v>
      </c>
      <c r="F5204" s="9" t="s">
        <v>3133</v>
      </c>
      <c r="H5204" s="9"/>
    </row>
    <row r="5205" ht="14.25" customHeight="1">
      <c r="C5205" s="9" t="s">
        <v>3274</v>
      </c>
      <c r="D5205" s="9" t="s">
        <v>3275</v>
      </c>
      <c r="E5205" s="9" t="s">
        <v>3272</v>
      </c>
      <c r="F5205" s="9" t="s">
        <v>341</v>
      </c>
      <c r="H5205" s="9"/>
    </row>
    <row r="5206" ht="14.25" customHeight="1">
      <c r="C5206" s="9" t="s">
        <v>3274</v>
      </c>
      <c r="D5206" s="9" t="s">
        <v>3275</v>
      </c>
      <c r="E5206" s="9" t="s">
        <v>3272</v>
      </c>
      <c r="F5206" s="9" t="s">
        <v>367</v>
      </c>
      <c r="H5206" s="9"/>
    </row>
    <row r="5207" ht="14.25" customHeight="1">
      <c r="C5207" s="9" t="s">
        <v>3274</v>
      </c>
      <c r="D5207" s="9" t="s">
        <v>3275</v>
      </c>
      <c r="E5207" s="9" t="s">
        <v>3272</v>
      </c>
      <c r="F5207" s="9" t="s">
        <v>529</v>
      </c>
      <c r="H5207" s="9"/>
    </row>
    <row r="5208" ht="14.25" customHeight="1">
      <c r="C5208" s="9" t="s">
        <v>3274</v>
      </c>
      <c r="D5208" s="9" t="s">
        <v>3275</v>
      </c>
      <c r="E5208" s="9" t="s">
        <v>3272</v>
      </c>
      <c r="F5208" s="9" t="s">
        <v>1435</v>
      </c>
      <c r="H5208" s="9"/>
    </row>
    <row r="5209" ht="14.25" customHeight="1">
      <c r="C5209" s="9" t="s">
        <v>3274</v>
      </c>
      <c r="D5209" s="9" t="s">
        <v>3275</v>
      </c>
      <c r="E5209" s="9" t="s">
        <v>3272</v>
      </c>
      <c r="F5209" s="9" t="s">
        <v>1437</v>
      </c>
      <c r="H5209" s="9"/>
    </row>
    <row r="5210" ht="14.25" customHeight="1">
      <c r="C5210" s="9" t="s">
        <v>3274</v>
      </c>
      <c r="D5210" s="9" t="s">
        <v>3275</v>
      </c>
      <c r="E5210" s="9" t="s">
        <v>3272</v>
      </c>
      <c r="F5210" s="9" t="s">
        <v>1436</v>
      </c>
      <c r="H5210" s="9"/>
    </row>
    <row r="5211" ht="14.25" customHeight="1">
      <c r="C5211" s="9" t="s">
        <v>3274</v>
      </c>
      <c r="D5211" s="9" t="s">
        <v>3275</v>
      </c>
      <c r="E5211" s="9" t="s">
        <v>3272</v>
      </c>
      <c r="F5211" s="9" t="s">
        <v>3134</v>
      </c>
      <c r="H5211" s="9"/>
    </row>
    <row r="5212" ht="14.25" customHeight="1">
      <c r="C5212" s="9" t="s">
        <v>3274</v>
      </c>
      <c r="D5212" s="9" t="s">
        <v>3275</v>
      </c>
      <c r="E5212" s="9" t="s">
        <v>3272</v>
      </c>
      <c r="F5212" s="9" t="s">
        <v>1434</v>
      </c>
      <c r="H5212" s="9"/>
    </row>
    <row r="5213" ht="14.25" customHeight="1">
      <c r="C5213" s="9" t="s">
        <v>3274</v>
      </c>
      <c r="D5213" s="9" t="s">
        <v>3275</v>
      </c>
      <c r="E5213" s="9" t="s">
        <v>3272</v>
      </c>
      <c r="F5213" s="9" t="s">
        <v>517</v>
      </c>
      <c r="H5213" s="9"/>
    </row>
    <row r="5214" ht="14.25" customHeight="1">
      <c r="C5214" s="9" t="s">
        <v>3274</v>
      </c>
      <c r="D5214" s="9" t="s">
        <v>3275</v>
      </c>
      <c r="E5214" s="9" t="s">
        <v>3272</v>
      </c>
      <c r="F5214" s="9" t="s">
        <v>507</v>
      </c>
      <c r="H5214" s="9"/>
    </row>
    <row r="5215" ht="14.25" customHeight="1">
      <c r="C5215" s="9" t="s">
        <v>3274</v>
      </c>
      <c r="D5215" s="9" t="s">
        <v>3275</v>
      </c>
      <c r="E5215" s="9" t="s">
        <v>3272</v>
      </c>
      <c r="F5215" s="9" t="s">
        <v>1441</v>
      </c>
      <c r="H5215" s="9"/>
    </row>
    <row r="5216" ht="14.25" customHeight="1">
      <c r="C5216" s="9" t="s">
        <v>3274</v>
      </c>
      <c r="D5216" s="9" t="s">
        <v>3275</v>
      </c>
      <c r="E5216" s="9" t="s">
        <v>3272</v>
      </c>
      <c r="F5216" s="9" t="s">
        <v>1438</v>
      </c>
      <c r="H5216" s="9"/>
    </row>
    <row r="5217" ht="14.25" customHeight="1">
      <c r="C5217" s="9" t="s">
        <v>3276</v>
      </c>
      <c r="D5217" s="9" t="s">
        <v>3277</v>
      </c>
      <c r="E5217" s="9" t="s">
        <v>3272</v>
      </c>
      <c r="F5217" s="9" t="s">
        <v>474</v>
      </c>
      <c r="H5217" s="9"/>
    </row>
    <row r="5218" ht="14.25" customHeight="1">
      <c r="C5218" s="9" t="s">
        <v>3276</v>
      </c>
      <c r="D5218" s="9" t="s">
        <v>3277</v>
      </c>
      <c r="E5218" s="9" t="s">
        <v>3272</v>
      </c>
      <c r="F5218" s="9" t="s">
        <v>284</v>
      </c>
      <c r="H5218" s="9"/>
    </row>
    <row r="5219" ht="14.25" customHeight="1">
      <c r="C5219" s="9" t="s">
        <v>3276</v>
      </c>
      <c r="D5219" s="9" t="s">
        <v>3277</v>
      </c>
      <c r="E5219" s="9" t="s">
        <v>3272</v>
      </c>
      <c r="F5219" s="9" t="s">
        <v>493</v>
      </c>
      <c r="H5219" s="9"/>
    </row>
    <row r="5220" ht="14.25" customHeight="1">
      <c r="C5220" s="9" t="s">
        <v>3276</v>
      </c>
      <c r="D5220" s="9" t="s">
        <v>3277</v>
      </c>
      <c r="E5220" s="9" t="s">
        <v>3272</v>
      </c>
      <c r="F5220" s="9" t="s">
        <v>450</v>
      </c>
      <c r="H5220" s="9"/>
    </row>
    <row r="5221" ht="14.25" customHeight="1">
      <c r="C5221" s="9" t="s">
        <v>3276</v>
      </c>
      <c r="D5221" s="9" t="s">
        <v>3277</v>
      </c>
      <c r="E5221" s="9" t="s">
        <v>3272</v>
      </c>
      <c r="F5221" s="9" t="s">
        <v>2296</v>
      </c>
      <c r="H5221" s="9"/>
    </row>
    <row r="5222" ht="14.25" customHeight="1">
      <c r="C5222" s="9" t="s">
        <v>3276</v>
      </c>
      <c r="D5222" s="9" t="s">
        <v>3277</v>
      </c>
      <c r="E5222" s="9" t="s">
        <v>3272</v>
      </c>
      <c r="F5222" s="9" t="s">
        <v>276</v>
      </c>
      <c r="H5222" s="9"/>
    </row>
    <row r="5223" ht="14.25" customHeight="1">
      <c r="C5223" s="9" t="s">
        <v>3276</v>
      </c>
      <c r="D5223" s="9" t="s">
        <v>3277</v>
      </c>
      <c r="E5223" s="9" t="s">
        <v>3272</v>
      </c>
      <c r="F5223" s="9" t="s">
        <v>431</v>
      </c>
      <c r="H5223" s="9"/>
    </row>
    <row r="5224" ht="14.25" customHeight="1">
      <c r="C5224" s="9" t="s">
        <v>3276</v>
      </c>
      <c r="D5224" s="9" t="s">
        <v>3277</v>
      </c>
      <c r="E5224" s="9" t="s">
        <v>3272</v>
      </c>
      <c r="F5224" s="9" t="s">
        <v>1272</v>
      </c>
      <c r="H5224" s="9"/>
    </row>
    <row r="5225" ht="14.25" customHeight="1">
      <c r="C5225" s="9" t="s">
        <v>3276</v>
      </c>
      <c r="D5225" s="9" t="s">
        <v>3277</v>
      </c>
      <c r="E5225" s="9" t="s">
        <v>3272</v>
      </c>
      <c r="F5225" s="9" t="s">
        <v>420</v>
      </c>
      <c r="H5225" s="9"/>
    </row>
    <row r="5226" ht="14.25" customHeight="1">
      <c r="C5226" s="9" t="s">
        <v>3276</v>
      </c>
      <c r="D5226" s="9" t="s">
        <v>3277</v>
      </c>
      <c r="E5226" s="9" t="s">
        <v>3272</v>
      </c>
      <c r="F5226" s="9" t="s">
        <v>482</v>
      </c>
      <c r="H5226" s="9"/>
    </row>
    <row r="5227" ht="14.25" customHeight="1">
      <c r="C5227" s="9" t="s">
        <v>3276</v>
      </c>
      <c r="D5227" s="9" t="s">
        <v>3277</v>
      </c>
      <c r="E5227" s="9" t="s">
        <v>3272</v>
      </c>
      <c r="F5227" s="9" t="s">
        <v>136</v>
      </c>
      <c r="H5227" s="9"/>
    </row>
    <row r="5228" ht="14.25" customHeight="1">
      <c r="C5228" s="9" t="s">
        <v>3276</v>
      </c>
      <c r="D5228" s="9" t="s">
        <v>3277</v>
      </c>
      <c r="E5228" s="9" t="s">
        <v>3272</v>
      </c>
      <c r="F5228" s="9" t="s">
        <v>408</v>
      </c>
      <c r="H5228" s="9"/>
    </row>
    <row r="5229" ht="14.25" customHeight="1">
      <c r="C5229" s="9" t="s">
        <v>3276</v>
      </c>
      <c r="D5229" s="9" t="s">
        <v>3277</v>
      </c>
      <c r="E5229" s="9" t="s">
        <v>3272</v>
      </c>
      <c r="F5229" s="9" t="s">
        <v>2301</v>
      </c>
      <c r="H5229" s="9"/>
    </row>
    <row r="5230" ht="14.25" customHeight="1">
      <c r="C5230" s="9" t="s">
        <v>3276</v>
      </c>
      <c r="D5230" s="9" t="s">
        <v>3277</v>
      </c>
      <c r="E5230" s="9" t="s">
        <v>3272</v>
      </c>
      <c r="F5230" s="9" t="s">
        <v>197</v>
      </c>
      <c r="H5230" s="9"/>
    </row>
    <row r="5231" ht="14.25" customHeight="1">
      <c r="C5231" s="9" t="s">
        <v>3276</v>
      </c>
      <c r="D5231" s="9" t="s">
        <v>3277</v>
      </c>
      <c r="E5231" s="9" t="s">
        <v>3272</v>
      </c>
      <c r="F5231" s="9" t="s">
        <v>172</v>
      </c>
      <c r="H5231" s="9"/>
    </row>
    <row r="5232" ht="14.25" customHeight="1">
      <c r="C5232" s="9" t="s">
        <v>3276</v>
      </c>
      <c r="D5232" s="9" t="s">
        <v>3277</v>
      </c>
      <c r="E5232" s="9" t="s">
        <v>3272</v>
      </c>
      <c r="F5232" s="9" t="s">
        <v>98</v>
      </c>
      <c r="H5232" s="9"/>
    </row>
    <row r="5233" ht="14.25" customHeight="1">
      <c r="C5233" s="9" t="s">
        <v>3276</v>
      </c>
      <c r="D5233" s="9" t="s">
        <v>3277</v>
      </c>
      <c r="E5233" s="9" t="s">
        <v>3272</v>
      </c>
      <c r="F5233" s="9" t="s">
        <v>341</v>
      </c>
      <c r="H5233" s="9"/>
    </row>
    <row r="5234" ht="14.25" customHeight="1">
      <c r="C5234" s="9" t="s">
        <v>3276</v>
      </c>
      <c r="D5234" s="9" t="s">
        <v>3277</v>
      </c>
      <c r="E5234" s="9" t="s">
        <v>3272</v>
      </c>
      <c r="F5234" s="9" t="s">
        <v>367</v>
      </c>
      <c r="H5234" s="9"/>
    </row>
    <row r="5235" ht="14.25" customHeight="1">
      <c r="C5235" s="9" t="s">
        <v>3276</v>
      </c>
      <c r="D5235" s="9" t="s">
        <v>3277</v>
      </c>
      <c r="E5235" s="9" t="s">
        <v>3272</v>
      </c>
      <c r="F5235" s="9" t="s">
        <v>529</v>
      </c>
      <c r="H5235" s="9"/>
    </row>
    <row r="5236" ht="14.25" customHeight="1">
      <c r="C5236" s="9" t="s">
        <v>3276</v>
      </c>
      <c r="D5236" s="9" t="s">
        <v>3277</v>
      </c>
      <c r="E5236" s="9" t="s">
        <v>3272</v>
      </c>
      <c r="F5236" s="9" t="s">
        <v>282</v>
      </c>
      <c r="H5236" s="9"/>
    </row>
    <row r="5237" ht="14.25" customHeight="1">
      <c r="C5237" s="9" t="s">
        <v>3276</v>
      </c>
      <c r="D5237" s="9" t="s">
        <v>3277</v>
      </c>
      <c r="E5237" s="9" t="s">
        <v>3272</v>
      </c>
      <c r="F5237" s="9" t="s">
        <v>321</v>
      </c>
      <c r="H5237" s="9"/>
    </row>
    <row r="5238" ht="14.25" customHeight="1">
      <c r="C5238" s="9" t="s">
        <v>3276</v>
      </c>
      <c r="D5238" s="9" t="s">
        <v>3277</v>
      </c>
      <c r="E5238" s="9" t="s">
        <v>3272</v>
      </c>
      <c r="F5238" s="9" t="s">
        <v>272</v>
      </c>
      <c r="H5238" s="9"/>
    </row>
    <row r="5239" ht="14.25" customHeight="1">
      <c r="C5239" s="9" t="s">
        <v>3276</v>
      </c>
      <c r="D5239" s="9" t="s">
        <v>3277</v>
      </c>
      <c r="E5239" s="9" t="s">
        <v>3272</v>
      </c>
      <c r="F5239" s="9" t="s">
        <v>517</v>
      </c>
      <c r="H5239" s="9"/>
    </row>
    <row r="5240" ht="14.25" customHeight="1">
      <c r="C5240" s="9" t="s">
        <v>3276</v>
      </c>
      <c r="D5240" s="9" t="s">
        <v>3277</v>
      </c>
      <c r="E5240" s="9" t="s">
        <v>3272</v>
      </c>
      <c r="F5240" s="9" t="s">
        <v>2309</v>
      </c>
      <c r="H5240" s="9"/>
    </row>
    <row r="5241" ht="14.25" customHeight="1">
      <c r="C5241" s="9" t="s">
        <v>3276</v>
      </c>
      <c r="D5241" s="9" t="s">
        <v>3277</v>
      </c>
      <c r="E5241" s="9" t="s">
        <v>3272</v>
      </c>
      <c r="F5241" s="9" t="s">
        <v>507</v>
      </c>
      <c r="H5241" s="9"/>
    </row>
    <row r="5242" ht="14.25" customHeight="1">
      <c r="C5242" s="9" t="s">
        <v>3276</v>
      </c>
      <c r="D5242" s="9" t="s">
        <v>3277</v>
      </c>
      <c r="E5242" s="9" t="s">
        <v>3272</v>
      </c>
      <c r="F5242" s="9" t="s">
        <v>336</v>
      </c>
      <c r="H5242" s="9"/>
    </row>
    <row r="5243" ht="14.25" customHeight="1">
      <c r="C5243" s="9" t="s">
        <v>3276</v>
      </c>
      <c r="D5243" s="9" t="s">
        <v>3277</v>
      </c>
      <c r="E5243" s="9" t="s">
        <v>3272</v>
      </c>
      <c r="F5243" s="9" t="s">
        <v>235</v>
      </c>
      <c r="H5243" s="9"/>
    </row>
    <row r="5244" ht="14.25" customHeight="1">
      <c r="C5244" s="9" t="s">
        <v>3276</v>
      </c>
      <c r="D5244" s="9" t="s">
        <v>3277</v>
      </c>
      <c r="E5244" s="9" t="s">
        <v>3272</v>
      </c>
      <c r="F5244" s="9" t="s">
        <v>327</v>
      </c>
      <c r="H5244" s="9"/>
    </row>
    <row r="5245" ht="14.25" customHeight="1">
      <c r="C5245" s="9" t="s">
        <v>3276</v>
      </c>
      <c r="D5245" s="9" t="s">
        <v>3277</v>
      </c>
      <c r="E5245" s="9" t="s">
        <v>3272</v>
      </c>
      <c r="F5245" s="9" t="s">
        <v>264</v>
      </c>
      <c r="H5245" s="9"/>
    </row>
    <row r="5246" ht="14.25" customHeight="1">
      <c r="C5246" s="9" t="s">
        <v>3276</v>
      </c>
      <c r="D5246" s="9" t="s">
        <v>3278</v>
      </c>
      <c r="E5246" s="9" t="s">
        <v>3272</v>
      </c>
      <c r="F5246" s="9" t="s">
        <v>474</v>
      </c>
      <c r="H5246" s="9"/>
    </row>
    <row r="5247" ht="14.25" customHeight="1">
      <c r="C5247" s="9" t="s">
        <v>3276</v>
      </c>
      <c r="D5247" s="9" t="s">
        <v>3278</v>
      </c>
      <c r="E5247" s="9" t="s">
        <v>3272</v>
      </c>
      <c r="F5247" s="9" t="s">
        <v>284</v>
      </c>
      <c r="H5247" s="9"/>
    </row>
    <row r="5248" ht="14.25" customHeight="1">
      <c r="C5248" s="9" t="s">
        <v>3276</v>
      </c>
      <c r="D5248" s="9" t="s">
        <v>3278</v>
      </c>
      <c r="E5248" s="9" t="s">
        <v>3272</v>
      </c>
      <c r="F5248" s="9" t="s">
        <v>493</v>
      </c>
      <c r="H5248" s="9"/>
    </row>
    <row r="5249" ht="14.25" customHeight="1">
      <c r="C5249" s="9" t="s">
        <v>3276</v>
      </c>
      <c r="D5249" s="9" t="s">
        <v>3278</v>
      </c>
      <c r="E5249" s="9" t="s">
        <v>3272</v>
      </c>
      <c r="F5249" s="9" t="s">
        <v>450</v>
      </c>
      <c r="H5249" s="9"/>
    </row>
    <row r="5250" ht="14.25" customHeight="1">
      <c r="C5250" s="9" t="s">
        <v>3276</v>
      </c>
      <c r="D5250" s="9" t="s">
        <v>3278</v>
      </c>
      <c r="E5250" s="9" t="s">
        <v>3272</v>
      </c>
      <c r="F5250" s="9" t="s">
        <v>2296</v>
      </c>
      <c r="H5250" s="9"/>
    </row>
    <row r="5251" ht="14.25" customHeight="1">
      <c r="C5251" s="9" t="s">
        <v>3276</v>
      </c>
      <c r="D5251" s="9" t="s">
        <v>3278</v>
      </c>
      <c r="E5251" s="9" t="s">
        <v>3272</v>
      </c>
      <c r="F5251" s="9" t="s">
        <v>276</v>
      </c>
      <c r="H5251" s="9"/>
    </row>
    <row r="5252" ht="14.25" customHeight="1">
      <c r="C5252" s="9" t="s">
        <v>3276</v>
      </c>
      <c r="D5252" s="9" t="s">
        <v>3278</v>
      </c>
      <c r="E5252" s="9" t="s">
        <v>3272</v>
      </c>
      <c r="F5252" s="9" t="s">
        <v>431</v>
      </c>
      <c r="H5252" s="9"/>
    </row>
    <row r="5253" ht="14.25" customHeight="1">
      <c r="C5253" s="9" t="s">
        <v>3276</v>
      </c>
      <c r="D5253" s="9" t="s">
        <v>3278</v>
      </c>
      <c r="E5253" s="9" t="s">
        <v>3272</v>
      </c>
      <c r="F5253" s="9" t="s">
        <v>1272</v>
      </c>
      <c r="H5253" s="9"/>
    </row>
    <row r="5254" ht="14.25" customHeight="1">
      <c r="C5254" s="9" t="s">
        <v>3276</v>
      </c>
      <c r="D5254" s="9" t="s">
        <v>3278</v>
      </c>
      <c r="E5254" s="9" t="s">
        <v>3272</v>
      </c>
      <c r="F5254" s="9" t="s">
        <v>420</v>
      </c>
      <c r="H5254" s="9"/>
    </row>
    <row r="5255" ht="14.25" customHeight="1">
      <c r="C5255" s="9" t="s">
        <v>3276</v>
      </c>
      <c r="D5255" s="9" t="s">
        <v>3278</v>
      </c>
      <c r="E5255" s="9" t="s">
        <v>3272</v>
      </c>
      <c r="F5255" s="9" t="s">
        <v>482</v>
      </c>
      <c r="H5255" s="9"/>
    </row>
    <row r="5256" ht="14.25" customHeight="1">
      <c r="C5256" s="9" t="s">
        <v>3276</v>
      </c>
      <c r="D5256" s="9" t="s">
        <v>3278</v>
      </c>
      <c r="E5256" s="9" t="s">
        <v>3272</v>
      </c>
      <c r="F5256" s="9" t="s">
        <v>136</v>
      </c>
      <c r="H5256" s="9"/>
    </row>
    <row r="5257" ht="14.25" customHeight="1">
      <c r="C5257" s="9" t="s">
        <v>3276</v>
      </c>
      <c r="D5257" s="9" t="s">
        <v>3278</v>
      </c>
      <c r="E5257" s="9" t="s">
        <v>3272</v>
      </c>
      <c r="F5257" s="9" t="s">
        <v>408</v>
      </c>
      <c r="H5257" s="9"/>
    </row>
    <row r="5258" ht="14.25" customHeight="1">
      <c r="C5258" s="9" t="s">
        <v>3276</v>
      </c>
      <c r="D5258" s="9" t="s">
        <v>3278</v>
      </c>
      <c r="E5258" s="9" t="s">
        <v>3272</v>
      </c>
      <c r="F5258" s="9" t="s">
        <v>2301</v>
      </c>
      <c r="H5258" s="9"/>
    </row>
    <row r="5259" ht="14.25" customHeight="1">
      <c r="C5259" s="9" t="s">
        <v>3276</v>
      </c>
      <c r="D5259" s="9" t="s">
        <v>3278</v>
      </c>
      <c r="E5259" s="9" t="s">
        <v>3272</v>
      </c>
      <c r="F5259" s="9" t="s">
        <v>197</v>
      </c>
      <c r="H5259" s="9"/>
    </row>
    <row r="5260" ht="14.25" customHeight="1">
      <c r="C5260" s="9" t="s">
        <v>3276</v>
      </c>
      <c r="D5260" s="9" t="s">
        <v>3278</v>
      </c>
      <c r="E5260" s="9" t="s">
        <v>3272</v>
      </c>
      <c r="F5260" s="9" t="s">
        <v>172</v>
      </c>
      <c r="H5260" s="9"/>
    </row>
    <row r="5261" ht="14.25" customHeight="1">
      <c r="C5261" s="9" t="s">
        <v>3276</v>
      </c>
      <c r="D5261" s="9" t="s">
        <v>3278</v>
      </c>
      <c r="E5261" s="9" t="s">
        <v>3272</v>
      </c>
      <c r="F5261" s="9" t="s">
        <v>98</v>
      </c>
      <c r="H5261" s="9"/>
    </row>
    <row r="5262" ht="14.25" customHeight="1">
      <c r="C5262" s="9" t="s">
        <v>3276</v>
      </c>
      <c r="D5262" s="9" t="s">
        <v>3278</v>
      </c>
      <c r="E5262" s="9" t="s">
        <v>3272</v>
      </c>
      <c r="F5262" s="9" t="s">
        <v>341</v>
      </c>
      <c r="H5262" s="9"/>
    </row>
    <row r="5263" ht="14.25" customHeight="1">
      <c r="C5263" s="9" t="s">
        <v>3276</v>
      </c>
      <c r="D5263" s="9" t="s">
        <v>3278</v>
      </c>
      <c r="E5263" s="9" t="s">
        <v>3272</v>
      </c>
      <c r="F5263" s="9" t="s">
        <v>367</v>
      </c>
      <c r="H5263" s="9"/>
    </row>
    <row r="5264" ht="14.25" customHeight="1">
      <c r="C5264" s="9" t="s">
        <v>3276</v>
      </c>
      <c r="D5264" s="9" t="s">
        <v>3278</v>
      </c>
      <c r="E5264" s="9" t="s">
        <v>3272</v>
      </c>
      <c r="F5264" s="9" t="s">
        <v>529</v>
      </c>
      <c r="H5264" s="9"/>
    </row>
    <row r="5265" ht="14.25" customHeight="1">
      <c r="C5265" s="9" t="s">
        <v>3276</v>
      </c>
      <c r="D5265" s="9" t="s">
        <v>3278</v>
      </c>
      <c r="E5265" s="9" t="s">
        <v>3272</v>
      </c>
      <c r="F5265" s="9" t="s">
        <v>282</v>
      </c>
      <c r="H5265" s="9"/>
    </row>
    <row r="5266" ht="14.25" customHeight="1">
      <c r="C5266" s="9" t="s">
        <v>3276</v>
      </c>
      <c r="D5266" s="9" t="s">
        <v>3278</v>
      </c>
      <c r="E5266" s="9" t="s">
        <v>3272</v>
      </c>
      <c r="F5266" s="9" t="s">
        <v>321</v>
      </c>
      <c r="H5266" s="9"/>
    </row>
    <row r="5267" ht="14.25" customHeight="1">
      <c r="C5267" s="9" t="s">
        <v>3276</v>
      </c>
      <c r="D5267" s="9" t="s">
        <v>3278</v>
      </c>
      <c r="E5267" s="9" t="s">
        <v>3272</v>
      </c>
      <c r="F5267" s="9" t="s">
        <v>272</v>
      </c>
      <c r="H5267" s="9"/>
    </row>
    <row r="5268" ht="14.25" customHeight="1">
      <c r="C5268" s="9" t="s">
        <v>3276</v>
      </c>
      <c r="D5268" s="9" t="s">
        <v>3278</v>
      </c>
      <c r="E5268" s="9" t="s">
        <v>3272</v>
      </c>
      <c r="F5268" s="9" t="s">
        <v>517</v>
      </c>
      <c r="H5268" s="9"/>
    </row>
    <row r="5269" ht="14.25" customHeight="1">
      <c r="C5269" s="9" t="s">
        <v>3276</v>
      </c>
      <c r="D5269" s="9" t="s">
        <v>3278</v>
      </c>
      <c r="E5269" s="9" t="s">
        <v>3272</v>
      </c>
      <c r="F5269" s="9" t="s">
        <v>2309</v>
      </c>
      <c r="H5269" s="9"/>
    </row>
    <row r="5270" ht="14.25" customHeight="1">
      <c r="C5270" s="9" t="s">
        <v>3276</v>
      </c>
      <c r="D5270" s="9" t="s">
        <v>3278</v>
      </c>
      <c r="E5270" s="9" t="s">
        <v>3272</v>
      </c>
      <c r="F5270" s="9" t="s">
        <v>507</v>
      </c>
      <c r="H5270" s="9"/>
    </row>
    <row r="5271" ht="14.25" customHeight="1">
      <c r="C5271" s="9" t="s">
        <v>3276</v>
      </c>
      <c r="D5271" s="9" t="s">
        <v>3278</v>
      </c>
      <c r="E5271" s="9" t="s">
        <v>3272</v>
      </c>
      <c r="F5271" s="9" t="s">
        <v>336</v>
      </c>
      <c r="H5271" s="9"/>
    </row>
    <row r="5272" ht="14.25" customHeight="1">
      <c r="C5272" s="9" t="s">
        <v>3276</v>
      </c>
      <c r="D5272" s="9" t="s">
        <v>3278</v>
      </c>
      <c r="E5272" s="9" t="s">
        <v>3272</v>
      </c>
      <c r="F5272" s="9" t="s">
        <v>235</v>
      </c>
      <c r="H5272" s="9"/>
    </row>
    <row r="5273" ht="14.25" customHeight="1">
      <c r="C5273" s="9" t="s">
        <v>3276</v>
      </c>
      <c r="D5273" s="9" t="s">
        <v>3278</v>
      </c>
      <c r="E5273" s="9" t="s">
        <v>3272</v>
      </c>
      <c r="F5273" s="9" t="s">
        <v>327</v>
      </c>
      <c r="H5273" s="9"/>
    </row>
    <row r="5274" ht="14.25" customHeight="1">
      <c r="C5274" s="9" t="s">
        <v>3276</v>
      </c>
      <c r="D5274" s="9" t="s">
        <v>3278</v>
      </c>
      <c r="E5274" s="9" t="s">
        <v>3272</v>
      </c>
      <c r="F5274" s="9" t="s">
        <v>264</v>
      </c>
      <c r="H5274" s="9"/>
    </row>
    <row r="5275" ht="14.25" customHeight="1">
      <c r="C5275" s="9" t="s">
        <v>3279</v>
      </c>
      <c r="D5275" s="9" t="s">
        <v>3280</v>
      </c>
      <c r="E5275" s="9" t="s">
        <v>3272</v>
      </c>
      <c r="F5275" s="9" t="s">
        <v>474</v>
      </c>
      <c r="H5275" s="9"/>
    </row>
    <row r="5276" ht="14.25" customHeight="1">
      <c r="C5276" s="9" t="s">
        <v>3279</v>
      </c>
      <c r="D5276" s="9" t="s">
        <v>3280</v>
      </c>
      <c r="E5276" s="9" t="s">
        <v>3272</v>
      </c>
      <c r="F5276" s="9" t="s">
        <v>284</v>
      </c>
      <c r="H5276" s="9"/>
    </row>
    <row r="5277" ht="14.25" customHeight="1">
      <c r="C5277" s="9" t="s">
        <v>3279</v>
      </c>
      <c r="D5277" s="9" t="s">
        <v>3280</v>
      </c>
      <c r="E5277" s="9" t="s">
        <v>3272</v>
      </c>
      <c r="F5277" s="9" t="s">
        <v>493</v>
      </c>
      <c r="H5277" s="9"/>
    </row>
    <row r="5278" ht="14.25" customHeight="1">
      <c r="C5278" s="9" t="s">
        <v>3279</v>
      </c>
      <c r="D5278" s="9" t="s">
        <v>3280</v>
      </c>
      <c r="E5278" s="9" t="s">
        <v>3272</v>
      </c>
      <c r="F5278" s="9" t="s">
        <v>450</v>
      </c>
      <c r="H5278" s="9"/>
    </row>
    <row r="5279" ht="14.25" customHeight="1">
      <c r="C5279" s="9" t="s">
        <v>3279</v>
      </c>
      <c r="D5279" s="9" t="s">
        <v>3280</v>
      </c>
      <c r="E5279" s="9" t="s">
        <v>3272</v>
      </c>
      <c r="F5279" s="9" t="s">
        <v>2296</v>
      </c>
      <c r="H5279" s="9"/>
    </row>
    <row r="5280" ht="14.25" customHeight="1">
      <c r="C5280" s="9" t="s">
        <v>3279</v>
      </c>
      <c r="D5280" s="9" t="s">
        <v>3280</v>
      </c>
      <c r="E5280" s="9" t="s">
        <v>3272</v>
      </c>
      <c r="F5280" s="9" t="s">
        <v>276</v>
      </c>
      <c r="H5280" s="9"/>
    </row>
    <row r="5281" ht="14.25" customHeight="1">
      <c r="C5281" s="9" t="s">
        <v>3279</v>
      </c>
      <c r="D5281" s="9" t="s">
        <v>3280</v>
      </c>
      <c r="E5281" s="9" t="s">
        <v>3272</v>
      </c>
      <c r="F5281" s="9" t="s">
        <v>431</v>
      </c>
      <c r="H5281" s="9"/>
    </row>
    <row r="5282" ht="14.25" customHeight="1">
      <c r="C5282" s="9" t="s">
        <v>3279</v>
      </c>
      <c r="D5282" s="9" t="s">
        <v>3280</v>
      </c>
      <c r="E5282" s="9" t="s">
        <v>3272</v>
      </c>
      <c r="F5282" s="9" t="s">
        <v>1272</v>
      </c>
      <c r="H5282" s="9"/>
    </row>
    <row r="5283" ht="14.25" customHeight="1">
      <c r="C5283" s="9" t="s">
        <v>3279</v>
      </c>
      <c r="D5283" s="9" t="s">
        <v>3280</v>
      </c>
      <c r="E5283" s="9" t="s">
        <v>3272</v>
      </c>
      <c r="F5283" s="9" t="s">
        <v>420</v>
      </c>
      <c r="H5283" s="9"/>
    </row>
    <row r="5284" ht="14.25" customHeight="1">
      <c r="C5284" s="9" t="s">
        <v>3279</v>
      </c>
      <c r="D5284" s="9" t="s">
        <v>3280</v>
      </c>
      <c r="E5284" s="9" t="s">
        <v>3272</v>
      </c>
      <c r="F5284" s="9" t="s">
        <v>482</v>
      </c>
      <c r="H5284" s="9"/>
    </row>
    <row r="5285" ht="14.25" customHeight="1">
      <c r="C5285" s="9" t="s">
        <v>3279</v>
      </c>
      <c r="D5285" s="9" t="s">
        <v>3280</v>
      </c>
      <c r="E5285" s="9" t="s">
        <v>3272</v>
      </c>
      <c r="F5285" s="9" t="s">
        <v>136</v>
      </c>
      <c r="H5285" s="9"/>
    </row>
    <row r="5286" ht="14.25" customHeight="1">
      <c r="C5286" s="9" t="s">
        <v>3279</v>
      </c>
      <c r="D5286" s="9" t="s">
        <v>3280</v>
      </c>
      <c r="E5286" s="9" t="s">
        <v>3272</v>
      </c>
      <c r="F5286" s="9" t="s">
        <v>408</v>
      </c>
      <c r="H5286" s="9"/>
    </row>
    <row r="5287" ht="14.25" customHeight="1">
      <c r="C5287" s="9" t="s">
        <v>3279</v>
      </c>
      <c r="D5287" s="9" t="s">
        <v>3280</v>
      </c>
      <c r="E5287" s="9" t="s">
        <v>3272</v>
      </c>
      <c r="F5287" s="9" t="s">
        <v>2301</v>
      </c>
      <c r="H5287" s="9"/>
    </row>
    <row r="5288" ht="14.25" customHeight="1">
      <c r="C5288" s="9" t="s">
        <v>3279</v>
      </c>
      <c r="D5288" s="9" t="s">
        <v>3280</v>
      </c>
      <c r="E5288" s="9" t="s">
        <v>3272</v>
      </c>
      <c r="F5288" s="9" t="s">
        <v>197</v>
      </c>
      <c r="H5288" s="9"/>
    </row>
    <row r="5289" ht="14.25" customHeight="1">
      <c r="C5289" s="9" t="s">
        <v>3279</v>
      </c>
      <c r="D5289" s="9" t="s">
        <v>3280</v>
      </c>
      <c r="E5289" s="9" t="s">
        <v>3272</v>
      </c>
      <c r="F5289" s="9" t="s">
        <v>172</v>
      </c>
      <c r="H5289" s="9"/>
    </row>
    <row r="5290" ht="14.25" customHeight="1">
      <c r="C5290" s="9" t="s">
        <v>3279</v>
      </c>
      <c r="D5290" s="9" t="s">
        <v>3280</v>
      </c>
      <c r="E5290" s="9" t="s">
        <v>3272</v>
      </c>
      <c r="F5290" s="9" t="s">
        <v>98</v>
      </c>
      <c r="H5290" s="9"/>
    </row>
    <row r="5291" ht="14.25" customHeight="1">
      <c r="C5291" s="9" t="s">
        <v>3279</v>
      </c>
      <c r="D5291" s="9" t="s">
        <v>3280</v>
      </c>
      <c r="E5291" s="9" t="s">
        <v>3272</v>
      </c>
      <c r="F5291" s="9" t="s">
        <v>341</v>
      </c>
      <c r="H5291" s="9"/>
    </row>
    <row r="5292" ht="14.25" customHeight="1">
      <c r="C5292" s="9" t="s">
        <v>3279</v>
      </c>
      <c r="D5292" s="9" t="s">
        <v>3280</v>
      </c>
      <c r="E5292" s="9" t="s">
        <v>3272</v>
      </c>
      <c r="F5292" s="9" t="s">
        <v>367</v>
      </c>
      <c r="H5292" s="9"/>
    </row>
    <row r="5293" ht="14.25" customHeight="1">
      <c r="C5293" s="9" t="s">
        <v>3279</v>
      </c>
      <c r="D5293" s="9" t="s">
        <v>3280</v>
      </c>
      <c r="E5293" s="9" t="s">
        <v>3272</v>
      </c>
      <c r="F5293" s="9" t="s">
        <v>529</v>
      </c>
      <c r="H5293" s="9"/>
    </row>
    <row r="5294" ht="14.25" customHeight="1">
      <c r="C5294" s="9" t="s">
        <v>3279</v>
      </c>
      <c r="D5294" s="9" t="s">
        <v>3280</v>
      </c>
      <c r="E5294" s="9" t="s">
        <v>3272</v>
      </c>
      <c r="F5294" s="9" t="s">
        <v>282</v>
      </c>
      <c r="H5294" s="9"/>
    </row>
    <row r="5295" ht="14.25" customHeight="1">
      <c r="C5295" s="9" t="s">
        <v>3279</v>
      </c>
      <c r="D5295" s="9" t="s">
        <v>3280</v>
      </c>
      <c r="E5295" s="9" t="s">
        <v>3272</v>
      </c>
      <c r="F5295" s="9" t="s">
        <v>321</v>
      </c>
      <c r="H5295" s="9"/>
    </row>
    <row r="5296" ht="14.25" customHeight="1">
      <c r="C5296" s="9" t="s">
        <v>3279</v>
      </c>
      <c r="D5296" s="9" t="s">
        <v>3280</v>
      </c>
      <c r="E5296" s="9" t="s">
        <v>3272</v>
      </c>
      <c r="F5296" s="9" t="s">
        <v>272</v>
      </c>
      <c r="H5296" s="9"/>
    </row>
    <row r="5297" ht="14.25" customHeight="1">
      <c r="C5297" s="9" t="s">
        <v>3279</v>
      </c>
      <c r="D5297" s="9" t="s">
        <v>3280</v>
      </c>
      <c r="E5297" s="9" t="s">
        <v>3272</v>
      </c>
      <c r="F5297" s="9" t="s">
        <v>517</v>
      </c>
      <c r="H5297" s="9"/>
    </row>
    <row r="5298" ht="14.25" customHeight="1">
      <c r="C5298" s="9" t="s">
        <v>3279</v>
      </c>
      <c r="D5298" s="9" t="s">
        <v>3280</v>
      </c>
      <c r="E5298" s="9" t="s">
        <v>3272</v>
      </c>
      <c r="F5298" s="9" t="s">
        <v>2309</v>
      </c>
      <c r="H5298" s="9"/>
    </row>
    <row r="5299" ht="14.25" customHeight="1">
      <c r="C5299" s="9" t="s">
        <v>3279</v>
      </c>
      <c r="D5299" s="9" t="s">
        <v>3280</v>
      </c>
      <c r="E5299" s="9" t="s">
        <v>3272</v>
      </c>
      <c r="F5299" s="9" t="s">
        <v>507</v>
      </c>
      <c r="H5299" s="9"/>
    </row>
    <row r="5300" ht="14.25" customHeight="1">
      <c r="C5300" s="9" t="s">
        <v>3279</v>
      </c>
      <c r="D5300" s="9" t="s">
        <v>3280</v>
      </c>
      <c r="E5300" s="9" t="s">
        <v>3272</v>
      </c>
      <c r="F5300" s="9" t="s">
        <v>336</v>
      </c>
      <c r="H5300" s="9"/>
    </row>
    <row r="5301" ht="14.25" customHeight="1">
      <c r="C5301" s="9" t="s">
        <v>3279</v>
      </c>
      <c r="D5301" s="9" t="s">
        <v>3280</v>
      </c>
      <c r="E5301" s="9" t="s">
        <v>3272</v>
      </c>
      <c r="F5301" s="9" t="s">
        <v>235</v>
      </c>
      <c r="H5301" s="9"/>
    </row>
    <row r="5302" ht="14.25" customHeight="1">
      <c r="C5302" s="9" t="s">
        <v>3279</v>
      </c>
      <c r="D5302" s="9" t="s">
        <v>3280</v>
      </c>
      <c r="E5302" s="9" t="s">
        <v>3272</v>
      </c>
      <c r="F5302" s="9" t="s">
        <v>327</v>
      </c>
      <c r="H5302" s="9"/>
    </row>
    <row r="5303" ht="14.25" customHeight="1">
      <c r="C5303" s="9" t="s">
        <v>3279</v>
      </c>
      <c r="D5303" s="9" t="s">
        <v>3280</v>
      </c>
      <c r="E5303" s="9" t="s">
        <v>3272</v>
      </c>
      <c r="F5303" s="9" t="s">
        <v>264</v>
      </c>
      <c r="H5303" s="9"/>
    </row>
    <row r="5304" ht="14.25" customHeight="1">
      <c r="C5304" s="9" t="s">
        <v>1346</v>
      </c>
      <c r="D5304" s="9" t="s">
        <v>1346</v>
      </c>
      <c r="E5304" s="9" t="s">
        <v>3272</v>
      </c>
      <c r="F5304" s="9" t="s">
        <v>1439</v>
      </c>
      <c r="H5304" s="9"/>
    </row>
    <row r="5305" ht="14.25" customHeight="1">
      <c r="C5305" s="9" t="s">
        <v>1346</v>
      </c>
      <c r="D5305" s="9" t="s">
        <v>1346</v>
      </c>
      <c r="E5305" s="9" t="s">
        <v>3272</v>
      </c>
      <c r="F5305" s="9" t="s">
        <v>3132</v>
      </c>
      <c r="H5305" s="9"/>
    </row>
    <row r="5306" ht="14.25" customHeight="1">
      <c r="C5306" s="9" t="s">
        <v>1346</v>
      </c>
      <c r="D5306" s="9" t="s">
        <v>1346</v>
      </c>
      <c r="E5306" s="9" t="s">
        <v>3272</v>
      </c>
      <c r="F5306" s="9" t="s">
        <v>1440</v>
      </c>
      <c r="H5306" s="9"/>
    </row>
    <row r="5307" ht="14.25" customHeight="1">
      <c r="C5307" s="9" t="s">
        <v>1346</v>
      </c>
      <c r="D5307" s="9" t="s">
        <v>1346</v>
      </c>
      <c r="E5307" s="9" t="s">
        <v>3272</v>
      </c>
      <c r="F5307" s="9" t="s">
        <v>482</v>
      </c>
      <c r="H5307" s="9"/>
    </row>
    <row r="5308" ht="14.25" customHeight="1">
      <c r="C5308" s="9" t="s">
        <v>1346</v>
      </c>
      <c r="D5308" s="9" t="s">
        <v>1346</v>
      </c>
      <c r="E5308" s="9" t="s">
        <v>3272</v>
      </c>
      <c r="F5308" s="9" t="s">
        <v>3133</v>
      </c>
      <c r="H5308" s="9"/>
    </row>
    <row r="5309" ht="14.25" customHeight="1">
      <c r="C5309" s="9" t="s">
        <v>1346</v>
      </c>
      <c r="D5309" s="9" t="s">
        <v>1346</v>
      </c>
      <c r="E5309" s="9" t="s">
        <v>3272</v>
      </c>
      <c r="F5309" s="9" t="s">
        <v>341</v>
      </c>
      <c r="H5309" s="9"/>
    </row>
    <row r="5310" ht="14.25" customHeight="1">
      <c r="C5310" s="9" t="s">
        <v>1346</v>
      </c>
      <c r="D5310" s="9" t="s">
        <v>1346</v>
      </c>
      <c r="E5310" s="9" t="s">
        <v>3272</v>
      </c>
      <c r="F5310" s="9" t="s">
        <v>367</v>
      </c>
      <c r="H5310" s="9"/>
    </row>
    <row r="5311" ht="14.25" customHeight="1">
      <c r="C5311" s="9" t="s">
        <v>1346</v>
      </c>
      <c r="D5311" s="9" t="s">
        <v>1346</v>
      </c>
      <c r="E5311" s="9" t="s">
        <v>3272</v>
      </c>
      <c r="F5311" s="9" t="s">
        <v>529</v>
      </c>
      <c r="H5311" s="9"/>
    </row>
    <row r="5312" ht="14.25" customHeight="1">
      <c r="C5312" s="9" t="s">
        <v>1346</v>
      </c>
      <c r="D5312" s="9" t="s">
        <v>1346</v>
      </c>
      <c r="E5312" s="9" t="s">
        <v>3272</v>
      </c>
      <c r="F5312" s="9" t="s">
        <v>1435</v>
      </c>
      <c r="H5312" s="9"/>
    </row>
    <row r="5313" ht="14.25" customHeight="1">
      <c r="C5313" s="9" t="s">
        <v>1346</v>
      </c>
      <c r="D5313" s="9" t="s">
        <v>1346</v>
      </c>
      <c r="E5313" s="9" t="s">
        <v>3272</v>
      </c>
      <c r="F5313" s="9" t="s">
        <v>1437</v>
      </c>
      <c r="H5313" s="9"/>
    </row>
    <row r="5314" ht="14.25" customHeight="1">
      <c r="C5314" s="9" t="s">
        <v>1346</v>
      </c>
      <c r="D5314" s="9" t="s">
        <v>1346</v>
      </c>
      <c r="E5314" s="9" t="s">
        <v>3272</v>
      </c>
      <c r="F5314" s="9" t="s">
        <v>1436</v>
      </c>
      <c r="H5314" s="9"/>
    </row>
    <row r="5315" ht="14.25" customHeight="1">
      <c r="C5315" s="9" t="s">
        <v>1346</v>
      </c>
      <c r="D5315" s="9" t="s">
        <v>1346</v>
      </c>
      <c r="E5315" s="9" t="s">
        <v>3272</v>
      </c>
      <c r="F5315" s="9" t="s">
        <v>3134</v>
      </c>
      <c r="H5315" s="9"/>
    </row>
    <row r="5316" ht="14.25" customHeight="1">
      <c r="C5316" s="9" t="s">
        <v>1346</v>
      </c>
      <c r="D5316" s="9" t="s">
        <v>1346</v>
      </c>
      <c r="E5316" s="9" t="s">
        <v>3272</v>
      </c>
      <c r="F5316" s="9" t="s">
        <v>1434</v>
      </c>
      <c r="H5316" s="9"/>
    </row>
    <row r="5317" ht="14.25" customHeight="1">
      <c r="C5317" s="9" t="s">
        <v>1346</v>
      </c>
      <c r="D5317" s="9" t="s">
        <v>1346</v>
      </c>
      <c r="E5317" s="9" t="s">
        <v>3272</v>
      </c>
      <c r="F5317" s="9" t="s">
        <v>517</v>
      </c>
      <c r="H5317" s="9"/>
    </row>
    <row r="5318" ht="14.25" customHeight="1">
      <c r="C5318" s="9" t="s">
        <v>1346</v>
      </c>
      <c r="D5318" s="9" t="s">
        <v>1346</v>
      </c>
      <c r="E5318" s="9" t="s">
        <v>3272</v>
      </c>
      <c r="F5318" s="9" t="s">
        <v>507</v>
      </c>
      <c r="H5318" s="9"/>
    </row>
    <row r="5319" ht="14.25" customHeight="1">
      <c r="C5319" s="9" t="s">
        <v>1346</v>
      </c>
      <c r="D5319" s="9" t="s">
        <v>1346</v>
      </c>
      <c r="E5319" s="9" t="s">
        <v>3272</v>
      </c>
      <c r="F5319" s="9" t="s">
        <v>1441</v>
      </c>
      <c r="H5319" s="9"/>
    </row>
    <row r="5320" ht="14.25" customHeight="1">
      <c r="C5320" s="9" t="s">
        <v>1346</v>
      </c>
      <c r="D5320" s="9" t="s">
        <v>1346</v>
      </c>
      <c r="E5320" s="9" t="s">
        <v>3272</v>
      </c>
      <c r="F5320" s="9" t="s">
        <v>1438</v>
      </c>
      <c r="H5320" s="9"/>
    </row>
    <row r="5321" ht="14.25" customHeight="1">
      <c r="C5321" s="9" t="s">
        <v>3281</v>
      </c>
      <c r="D5321" s="9" t="s">
        <v>3281</v>
      </c>
      <c r="E5321" s="9" t="s">
        <v>3272</v>
      </c>
      <c r="F5321" s="9" t="s">
        <v>1439</v>
      </c>
      <c r="H5321" s="9"/>
    </row>
    <row r="5322" ht="14.25" customHeight="1">
      <c r="C5322" s="9" t="s">
        <v>3281</v>
      </c>
      <c r="D5322" s="9" t="s">
        <v>3281</v>
      </c>
      <c r="E5322" s="9" t="s">
        <v>3272</v>
      </c>
      <c r="F5322" s="9" t="s">
        <v>3132</v>
      </c>
      <c r="H5322" s="9"/>
    </row>
    <row r="5323" ht="14.25" customHeight="1">
      <c r="C5323" s="9" t="s">
        <v>3281</v>
      </c>
      <c r="D5323" s="9" t="s">
        <v>3281</v>
      </c>
      <c r="E5323" s="9" t="s">
        <v>3272</v>
      </c>
      <c r="F5323" s="9" t="s">
        <v>1440</v>
      </c>
      <c r="H5323" s="9"/>
    </row>
    <row r="5324" ht="14.25" customHeight="1">
      <c r="C5324" s="9" t="s">
        <v>3281</v>
      </c>
      <c r="D5324" s="9" t="s">
        <v>3281</v>
      </c>
      <c r="E5324" s="9" t="s">
        <v>3272</v>
      </c>
      <c r="F5324" s="9" t="s">
        <v>482</v>
      </c>
      <c r="H5324" s="9"/>
    </row>
    <row r="5325" ht="14.25" customHeight="1">
      <c r="C5325" s="9" t="s">
        <v>3281</v>
      </c>
      <c r="D5325" s="9" t="s">
        <v>3281</v>
      </c>
      <c r="E5325" s="9" t="s">
        <v>3272</v>
      </c>
      <c r="F5325" s="9" t="s">
        <v>3133</v>
      </c>
      <c r="H5325" s="9"/>
    </row>
    <row r="5326" ht="14.25" customHeight="1">
      <c r="C5326" s="9" t="s">
        <v>3281</v>
      </c>
      <c r="D5326" s="9" t="s">
        <v>3281</v>
      </c>
      <c r="E5326" s="9" t="s">
        <v>3272</v>
      </c>
      <c r="F5326" s="9" t="s">
        <v>341</v>
      </c>
      <c r="H5326" s="9"/>
    </row>
    <row r="5327" ht="14.25" customHeight="1">
      <c r="C5327" s="9" t="s">
        <v>3281</v>
      </c>
      <c r="D5327" s="9" t="s">
        <v>3281</v>
      </c>
      <c r="E5327" s="9" t="s">
        <v>3272</v>
      </c>
      <c r="F5327" s="9" t="s">
        <v>367</v>
      </c>
      <c r="H5327" s="9"/>
    </row>
    <row r="5328" ht="14.25" customHeight="1">
      <c r="C5328" s="9" t="s">
        <v>3281</v>
      </c>
      <c r="D5328" s="9" t="s">
        <v>3281</v>
      </c>
      <c r="E5328" s="9" t="s">
        <v>3272</v>
      </c>
      <c r="F5328" s="9" t="s">
        <v>529</v>
      </c>
      <c r="H5328" s="9"/>
    </row>
    <row r="5329" ht="14.25" customHeight="1">
      <c r="C5329" s="9" t="s">
        <v>3281</v>
      </c>
      <c r="D5329" s="9" t="s">
        <v>3281</v>
      </c>
      <c r="E5329" s="9" t="s">
        <v>3272</v>
      </c>
      <c r="F5329" s="9" t="s">
        <v>1435</v>
      </c>
      <c r="H5329" s="9"/>
    </row>
    <row r="5330" ht="14.25" customHeight="1">
      <c r="C5330" s="9" t="s">
        <v>3281</v>
      </c>
      <c r="D5330" s="9" t="s">
        <v>3281</v>
      </c>
      <c r="E5330" s="9" t="s">
        <v>3272</v>
      </c>
      <c r="F5330" s="9" t="s">
        <v>1437</v>
      </c>
      <c r="H5330" s="9"/>
    </row>
    <row r="5331" ht="14.25" customHeight="1">
      <c r="C5331" s="9" t="s">
        <v>3281</v>
      </c>
      <c r="D5331" s="9" t="s">
        <v>3281</v>
      </c>
      <c r="E5331" s="9" t="s">
        <v>3272</v>
      </c>
      <c r="F5331" s="9" t="s">
        <v>1436</v>
      </c>
      <c r="H5331" s="9"/>
    </row>
    <row r="5332" ht="14.25" customHeight="1">
      <c r="C5332" s="9" t="s">
        <v>3281</v>
      </c>
      <c r="D5332" s="9" t="s">
        <v>3281</v>
      </c>
      <c r="E5332" s="9" t="s">
        <v>3272</v>
      </c>
      <c r="F5332" s="9" t="s">
        <v>3134</v>
      </c>
      <c r="H5332" s="9"/>
    </row>
    <row r="5333" ht="14.25" customHeight="1">
      <c r="C5333" s="9" t="s">
        <v>3281</v>
      </c>
      <c r="D5333" s="9" t="s">
        <v>3281</v>
      </c>
      <c r="E5333" s="9" t="s">
        <v>3272</v>
      </c>
      <c r="F5333" s="9" t="s">
        <v>1434</v>
      </c>
      <c r="H5333" s="9"/>
    </row>
    <row r="5334" ht="14.25" customHeight="1">
      <c r="C5334" s="9" t="s">
        <v>3281</v>
      </c>
      <c r="D5334" s="9" t="s">
        <v>3281</v>
      </c>
      <c r="E5334" s="9" t="s">
        <v>3272</v>
      </c>
      <c r="F5334" s="9" t="s">
        <v>517</v>
      </c>
      <c r="H5334" s="9"/>
    </row>
    <row r="5335" ht="14.25" customHeight="1">
      <c r="C5335" s="9" t="s">
        <v>3281</v>
      </c>
      <c r="D5335" s="9" t="s">
        <v>3281</v>
      </c>
      <c r="E5335" s="9" t="s">
        <v>3272</v>
      </c>
      <c r="F5335" s="9" t="s">
        <v>507</v>
      </c>
      <c r="H5335" s="9"/>
    </row>
    <row r="5336" ht="14.25" customHeight="1">
      <c r="C5336" s="9" t="s">
        <v>3281</v>
      </c>
      <c r="D5336" s="9" t="s">
        <v>3281</v>
      </c>
      <c r="E5336" s="9" t="s">
        <v>3272</v>
      </c>
      <c r="F5336" s="9" t="s">
        <v>1441</v>
      </c>
      <c r="H5336" s="9"/>
    </row>
    <row r="5337" ht="14.25" customHeight="1">
      <c r="C5337" s="9" t="s">
        <v>3281</v>
      </c>
      <c r="D5337" s="9" t="s">
        <v>3281</v>
      </c>
      <c r="E5337" s="9" t="s">
        <v>3272</v>
      </c>
      <c r="F5337" s="9" t="s">
        <v>1438</v>
      </c>
      <c r="H5337" s="9"/>
    </row>
    <row r="5338" ht="14.25" customHeight="1">
      <c r="C5338" s="9" t="s">
        <v>3282</v>
      </c>
      <c r="D5338" s="9" t="s">
        <v>3283</v>
      </c>
      <c r="E5338" s="9" t="s">
        <v>3272</v>
      </c>
      <c r="F5338" s="9" t="s">
        <v>474</v>
      </c>
      <c r="H5338" s="9"/>
    </row>
    <row r="5339" ht="14.25" customHeight="1">
      <c r="C5339" s="9" t="s">
        <v>3282</v>
      </c>
      <c r="D5339" s="9" t="s">
        <v>3283</v>
      </c>
      <c r="E5339" s="9" t="s">
        <v>3272</v>
      </c>
      <c r="F5339" s="9" t="s">
        <v>284</v>
      </c>
      <c r="H5339" s="9"/>
    </row>
    <row r="5340" ht="14.25" customHeight="1">
      <c r="C5340" s="9" t="s">
        <v>3282</v>
      </c>
      <c r="D5340" s="9" t="s">
        <v>3283</v>
      </c>
      <c r="E5340" s="9" t="s">
        <v>3272</v>
      </c>
      <c r="F5340" s="9" t="s">
        <v>493</v>
      </c>
      <c r="H5340" s="9"/>
    </row>
    <row r="5341" ht="14.25" customHeight="1">
      <c r="C5341" s="9" t="s">
        <v>3282</v>
      </c>
      <c r="D5341" s="9" t="s">
        <v>3283</v>
      </c>
      <c r="E5341" s="9" t="s">
        <v>3272</v>
      </c>
      <c r="F5341" s="9" t="s">
        <v>450</v>
      </c>
      <c r="H5341" s="9"/>
    </row>
    <row r="5342" ht="14.25" customHeight="1">
      <c r="C5342" s="9" t="s">
        <v>3282</v>
      </c>
      <c r="D5342" s="9" t="s">
        <v>3283</v>
      </c>
      <c r="E5342" s="9" t="s">
        <v>3272</v>
      </c>
      <c r="F5342" s="9" t="s">
        <v>2296</v>
      </c>
      <c r="H5342" s="9"/>
    </row>
    <row r="5343" ht="14.25" customHeight="1">
      <c r="C5343" s="9" t="s">
        <v>3282</v>
      </c>
      <c r="D5343" s="9" t="s">
        <v>3283</v>
      </c>
      <c r="E5343" s="9" t="s">
        <v>3272</v>
      </c>
      <c r="F5343" s="9" t="s">
        <v>276</v>
      </c>
      <c r="H5343" s="9"/>
    </row>
    <row r="5344" ht="14.25" customHeight="1">
      <c r="C5344" s="9" t="s">
        <v>3282</v>
      </c>
      <c r="D5344" s="9" t="s">
        <v>3283</v>
      </c>
      <c r="E5344" s="9" t="s">
        <v>3272</v>
      </c>
      <c r="F5344" s="9" t="s">
        <v>431</v>
      </c>
      <c r="H5344" s="9"/>
    </row>
    <row r="5345" ht="14.25" customHeight="1">
      <c r="C5345" s="9" t="s">
        <v>3282</v>
      </c>
      <c r="D5345" s="9" t="s">
        <v>3283</v>
      </c>
      <c r="E5345" s="9" t="s">
        <v>3272</v>
      </c>
      <c r="F5345" s="9" t="s">
        <v>1272</v>
      </c>
      <c r="H5345" s="9"/>
    </row>
    <row r="5346" ht="14.25" customHeight="1">
      <c r="C5346" s="9" t="s">
        <v>3282</v>
      </c>
      <c r="D5346" s="9" t="s">
        <v>3283</v>
      </c>
      <c r="E5346" s="9" t="s">
        <v>3272</v>
      </c>
      <c r="F5346" s="9" t="s">
        <v>420</v>
      </c>
      <c r="H5346" s="9"/>
    </row>
    <row r="5347" ht="14.25" customHeight="1">
      <c r="C5347" s="9" t="s">
        <v>3282</v>
      </c>
      <c r="D5347" s="9" t="s">
        <v>3283</v>
      </c>
      <c r="E5347" s="9" t="s">
        <v>3272</v>
      </c>
      <c r="F5347" s="9" t="s">
        <v>482</v>
      </c>
      <c r="H5347" s="9"/>
    </row>
    <row r="5348" ht="14.25" customHeight="1">
      <c r="C5348" s="9" t="s">
        <v>3282</v>
      </c>
      <c r="D5348" s="9" t="s">
        <v>3283</v>
      </c>
      <c r="E5348" s="9" t="s">
        <v>3272</v>
      </c>
      <c r="F5348" s="9" t="s">
        <v>136</v>
      </c>
      <c r="H5348" s="9"/>
    </row>
    <row r="5349" ht="14.25" customHeight="1">
      <c r="C5349" s="9" t="s">
        <v>3282</v>
      </c>
      <c r="D5349" s="9" t="s">
        <v>3283</v>
      </c>
      <c r="E5349" s="9" t="s">
        <v>3272</v>
      </c>
      <c r="F5349" s="9" t="s">
        <v>408</v>
      </c>
      <c r="H5349" s="9"/>
    </row>
    <row r="5350" ht="14.25" customHeight="1">
      <c r="C5350" s="9" t="s">
        <v>3282</v>
      </c>
      <c r="D5350" s="9" t="s">
        <v>3283</v>
      </c>
      <c r="E5350" s="9" t="s">
        <v>3272</v>
      </c>
      <c r="F5350" s="9" t="s">
        <v>2301</v>
      </c>
      <c r="H5350" s="9"/>
    </row>
    <row r="5351" ht="14.25" customHeight="1">
      <c r="C5351" s="9" t="s">
        <v>3282</v>
      </c>
      <c r="D5351" s="9" t="s">
        <v>3283</v>
      </c>
      <c r="E5351" s="9" t="s">
        <v>3272</v>
      </c>
      <c r="F5351" s="9" t="s">
        <v>197</v>
      </c>
      <c r="H5351" s="9"/>
    </row>
    <row r="5352" ht="14.25" customHeight="1">
      <c r="C5352" s="9" t="s">
        <v>3282</v>
      </c>
      <c r="D5352" s="9" t="s">
        <v>3283</v>
      </c>
      <c r="E5352" s="9" t="s">
        <v>3272</v>
      </c>
      <c r="F5352" s="9" t="s">
        <v>172</v>
      </c>
      <c r="H5352" s="9"/>
    </row>
    <row r="5353" ht="14.25" customHeight="1">
      <c r="C5353" s="9" t="s">
        <v>3282</v>
      </c>
      <c r="D5353" s="9" t="s">
        <v>3283</v>
      </c>
      <c r="E5353" s="9" t="s">
        <v>3272</v>
      </c>
      <c r="F5353" s="9" t="s">
        <v>98</v>
      </c>
      <c r="H5353" s="9"/>
    </row>
    <row r="5354" ht="14.25" customHeight="1">
      <c r="C5354" s="9" t="s">
        <v>3282</v>
      </c>
      <c r="D5354" s="9" t="s">
        <v>3283</v>
      </c>
      <c r="E5354" s="9" t="s">
        <v>3272</v>
      </c>
      <c r="F5354" s="9" t="s">
        <v>341</v>
      </c>
      <c r="H5354" s="9"/>
    </row>
    <row r="5355" ht="14.25" customHeight="1">
      <c r="C5355" s="9" t="s">
        <v>3282</v>
      </c>
      <c r="D5355" s="9" t="s">
        <v>3283</v>
      </c>
      <c r="E5355" s="9" t="s">
        <v>3272</v>
      </c>
      <c r="F5355" s="9" t="s">
        <v>367</v>
      </c>
      <c r="H5355" s="9"/>
    </row>
    <row r="5356" ht="14.25" customHeight="1">
      <c r="C5356" s="9" t="s">
        <v>3282</v>
      </c>
      <c r="D5356" s="9" t="s">
        <v>3283</v>
      </c>
      <c r="E5356" s="9" t="s">
        <v>3272</v>
      </c>
      <c r="F5356" s="9" t="s">
        <v>529</v>
      </c>
      <c r="H5356" s="9"/>
    </row>
    <row r="5357" ht="14.25" customHeight="1">
      <c r="C5357" s="9" t="s">
        <v>3282</v>
      </c>
      <c r="D5357" s="9" t="s">
        <v>3283</v>
      </c>
      <c r="E5357" s="9" t="s">
        <v>3272</v>
      </c>
      <c r="F5357" s="9" t="s">
        <v>282</v>
      </c>
      <c r="H5357" s="9"/>
    </row>
    <row r="5358" ht="14.25" customHeight="1">
      <c r="C5358" s="9" t="s">
        <v>3282</v>
      </c>
      <c r="D5358" s="9" t="s">
        <v>3283</v>
      </c>
      <c r="E5358" s="9" t="s">
        <v>3272</v>
      </c>
      <c r="F5358" s="9" t="s">
        <v>321</v>
      </c>
      <c r="H5358" s="9"/>
    </row>
    <row r="5359" ht="14.25" customHeight="1">
      <c r="C5359" s="9" t="s">
        <v>3282</v>
      </c>
      <c r="D5359" s="9" t="s">
        <v>3283</v>
      </c>
      <c r="E5359" s="9" t="s">
        <v>3272</v>
      </c>
      <c r="F5359" s="9" t="s">
        <v>272</v>
      </c>
      <c r="H5359" s="9"/>
    </row>
    <row r="5360" ht="14.25" customHeight="1">
      <c r="C5360" s="9" t="s">
        <v>3282</v>
      </c>
      <c r="D5360" s="9" t="s">
        <v>3283</v>
      </c>
      <c r="E5360" s="9" t="s">
        <v>3272</v>
      </c>
      <c r="F5360" s="9" t="s">
        <v>517</v>
      </c>
      <c r="H5360" s="9"/>
    </row>
    <row r="5361" ht="14.25" customHeight="1">
      <c r="C5361" s="9" t="s">
        <v>3282</v>
      </c>
      <c r="D5361" s="9" t="s">
        <v>3283</v>
      </c>
      <c r="E5361" s="9" t="s">
        <v>3272</v>
      </c>
      <c r="F5361" s="9" t="s">
        <v>2309</v>
      </c>
      <c r="H5361" s="9"/>
    </row>
    <row r="5362" ht="14.25" customHeight="1">
      <c r="C5362" s="9" t="s">
        <v>3282</v>
      </c>
      <c r="D5362" s="9" t="s">
        <v>3283</v>
      </c>
      <c r="E5362" s="9" t="s">
        <v>3272</v>
      </c>
      <c r="F5362" s="9" t="s">
        <v>507</v>
      </c>
      <c r="H5362" s="9"/>
    </row>
    <row r="5363" ht="14.25" customHeight="1">
      <c r="C5363" s="9" t="s">
        <v>3282</v>
      </c>
      <c r="D5363" s="9" t="s">
        <v>3283</v>
      </c>
      <c r="E5363" s="9" t="s">
        <v>3272</v>
      </c>
      <c r="F5363" s="9" t="s">
        <v>336</v>
      </c>
      <c r="H5363" s="9"/>
    </row>
    <row r="5364" ht="14.25" customHeight="1">
      <c r="C5364" s="9" t="s">
        <v>3282</v>
      </c>
      <c r="D5364" s="9" t="s">
        <v>3283</v>
      </c>
      <c r="E5364" s="9" t="s">
        <v>3272</v>
      </c>
      <c r="F5364" s="9" t="s">
        <v>235</v>
      </c>
      <c r="H5364" s="9"/>
    </row>
    <row r="5365" ht="14.25" customHeight="1">
      <c r="C5365" s="9" t="s">
        <v>3282</v>
      </c>
      <c r="D5365" s="9" t="s">
        <v>3283</v>
      </c>
      <c r="E5365" s="9" t="s">
        <v>3272</v>
      </c>
      <c r="F5365" s="9" t="s">
        <v>327</v>
      </c>
      <c r="H5365" s="9"/>
    </row>
    <row r="5366" ht="14.25" customHeight="1">
      <c r="C5366" s="9" t="s">
        <v>3282</v>
      </c>
      <c r="D5366" s="9" t="s">
        <v>3283</v>
      </c>
      <c r="E5366" s="9" t="s">
        <v>3272</v>
      </c>
      <c r="F5366" s="9" t="s">
        <v>264</v>
      </c>
      <c r="H5366" s="9"/>
    </row>
    <row r="5367" ht="14.25" customHeight="1">
      <c r="C5367" s="9" t="s">
        <v>3284</v>
      </c>
      <c r="D5367" s="9" t="s">
        <v>3285</v>
      </c>
      <c r="E5367" s="9" t="s">
        <v>3272</v>
      </c>
      <c r="F5367" s="9" t="s">
        <v>474</v>
      </c>
      <c r="H5367" s="9"/>
    </row>
    <row r="5368" ht="14.25" customHeight="1">
      <c r="C5368" s="9" t="s">
        <v>3284</v>
      </c>
      <c r="D5368" s="9" t="s">
        <v>3285</v>
      </c>
      <c r="E5368" s="9" t="s">
        <v>3272</v>
      </c>
      <c r="F5368" s="9" t="s">
        <v>284</v>
      </c>
      <c r="H5368" s="9"/>
    </row>
    <row r="5369" ht="14.25" customHeight="1">
      <c r="C5369" s="9" t="s">
        <v>3284</v>
      </c>
      <c r="D5369" s="9" t="s">
        <v>3285</v>
      </c>
      <c r="E5369" s="9" t="s">
        <v>3272</v>
      </c>
      <c r="F5369" s="9" t="s">
        <v>493</v>
      </c>
      <c r="H5369" s="9"/>
    </row>
    <row r="5370" ht="14.25" customHeight="1">
      <c r="C5370" s="9" t="s">
        <v>3284</v>
      </c>
      <c r="D5370" s="9" t="s">
        <v>3285</v>
      </c>
      <c r="E5370" s="9" t="s">
        <v>3272</v>
      </c>
      <c r="F5370" s="9" t="s">
        <v>450</v>
      </c>
      <c r="H5370" s="9"/>
    </row>
    <row r="5371" ht="14.25" customHeight="1">
      <c r="C5371" s="9" t="s">
        <v>3284</v>
      </c>
      <c r="D5371" s="9" t="s">
        <v>3285</v>
      </c>
      <c r="E5371" s="9" t="s">
        <v>3272</v>
      </c>
      <c r="F5371" s="9" t="s">
        <v>2296</v>
      </c>
      <c r="H5371" s="9"/>
    </row>
    <row r="5372" ht="14.25" customHeight="1">
      <c r="C5372" s="9" t="s">
        <v>3284</v>
      </c>
      <c r="D5372" s="9" t="s">
        <v>3285</v>
      </c>
      <c r="E5372" s="9" t="s">
        <v>3272</v>
      </c>
      <c r="F5372" s="9" t="s">
        <v>276</v>
      </c>
      <c r="H5372" s="9"/>
    </row>
    <row r="5373" ht="14.25" customHeight="1">
      <c r="C5373" s="9" t="s">
        <v>3284</v>
      </c>
      <c r="D5373" s="9" t="s">
        <v>3285</v>
      </c>
      <c r="E5373" s="9" t="s">
        <v>3272</v>
      </c>
      <c r="F5373" s="9" t="s">
        <v>431</v>
      </c>
      <c r="H5373" s="9"/>
    </row>
    <row r="5374" ht="14.25" customHeight="1">
      <c r="C5374" s="9" t="s">
        <v>3284</v>
      </c>
      <c r="D5374" s="9" t="s">
        <v>3285</v>
      </c>
      <c r="E5374" s="9" t="s">
        <v>3272</v>
      </c>
      <c r="F5374" s="9" t="s">
        <v>1272</v>
      </c>
      <c r="H5374" s="9"/>
    </row>
    <row r="5375" ht="14.25" customHeight="1">
      <c r="C5375" s="9" t="s">
        <v>3284</v>
      </c>
      <c r="D5375" s="9" t="s">
        <v>3285</v>
      </c>
      <c r="E5375" s="9" t="s">
        <v>3272</v>
      </c>
      <c r="F5375" s="9" t="s">
        <v>420</v>
      </c>
      <c r="H5375" s="9"/>
    </row>
    <row r="5376" ht="14.25" customHeight="1">
      <c r="C5376" s="9" t="s">
        <v>3284</v>
      </c>
      <c r="D5376" s="9" t="s">
        <v>3285</v>
      </c>
      <c r="E5376" s="9" t="s">
        <v>3272</v>
      </c>
      <c r="F5376" s="9" t="s">
        <v>482</v>
      </c>
      <c r="H5376" s="9"/>
    </row>
    <row r="5377" ht="14.25" customHeight="1">
      <c r="C5377" s="9" t="s">
        <v>3284</v>
      </c>
      <c r="D5377" s="9" t="s">
        <v>3285</v>
      </c>
      <c r="E5377" s="9" t="s">
        <v>3272</v>
      </c>
      <c r="F5377" s="9" t="s">
        <v>136</v>
      </c>
      <c r="H5377" s="9"/>
    </row>
    <row r="5378" ht="14.25" customHeight="1">
      <c r="C5378" s="9" t="s">
        <v>3284</v>
      </c>
      <c r="D5378" s="9" t="s">
        <v>3285</v>
      </c>
      <c r="E5378" s="9" t="s">
        <v>3272</v>
      </c>
      <c r="F5378" s="9" t="s">
        <v>408</v>
      </c>
      <c r="H5378" s="9"/>
    </row>
    <row r="5379" ht="14.25" customHeight="1">
      <c r="C5379" s="9" t="s">
        <v>3284</v>
      </c>
      <c r="D5379" s="9" t="s">
        <v>3285</v>
      </c>
      <c r="E5379" s="9" t="s">
        <v>3272</v>
      </c>
      <c r="F5379" s="9" t="s">
        <v>2301</v>
      </c>
      <c r="H5379" s="9"/>
    </row>
    <row r="5380" ht="14.25" customHeight="1">
      <c r="C5380" s="9" t="s">
        <v>3284</v>
      </c>
      <c r="D5380" s="9" t="s">
        <v>3285</v>
      </c>
      <c r="E5380" s="9" t="s">
        <v>3272</v>
      </c>
      <c r="F5380" s="9" t="s">
        <v>197</v>
      </c>
      <c r="H5380" s="9"/>
    </row>
    <row r="5381" ht="14.25" customHeight="1">
      <c r="C5381" s="9" t="s">
        <v>3284</v>
      </c>
      <c r="D5381" s="9" t="s">
        <v>3285</v>
      </c>
      <c r="E5381" s="9" t="s">
        <v>3272</v>
      </c>
      <c r="F5381" s="9" t="s">
        <v>172</v>
      </c>
      <c r="H5381" s="9"/>
    </row>
    <row r="5382" ht="14.25" customHeight="1">
      <c r="C5382" s="9" t="s">
        <v>3284</v>
      </c>
      <c r="D5382" s="9" t="s">
        <v>3285</v>
      </c>
      <c r="E5382" s="9" t="s">
        <v>3272</v>
      </c>
      <c r="F5382" s="9" t="s">
        <v>98</v>
      </c>
      <c r="H5382" s="9"/>
    </row>
    <row r="5383" ht="14.25" customHeight="1">
      <c r="C5383" s="9" t="s">
        <v>3284</v>
      </c>
      <c r="D5383" s="9" t="s">
        <v>3285</v>
      </c>
      <c r="E5383" s="9" t="s">
        <v>3272</v>
      </c>
      <c r="F5383" s="9" t="s">
        <v>341</v>
      </c>
      <c r="H5383" s="9"/>
    </row>
    <row r="5384" ht="14.25" customHeight="1">
      <c r="C5384" s="9" t="s">
        <v>3284</v>
      </c>
      <c r="D5384" s="9" t="s">
        <v>3285</v>
      </c>
      <c r="E5384" s="9" t="s">
        <v>3272</v>
      </c>
      <c r="F5384" s="9" t="s">
        <v>367</v>
      </c>
      <c r="H5384" s="9"/>
    </row>
    <row r="5385" ht="14.25" customHeight="1">
      <c r="C5385" s="9" t="s">
        <v>3284</v>
      </c>
      <c r="D5385" s="9" t="s">
        <v>3285</v>
      </c>
      <c r="E5385" s="9" t="s">
        <v>3272</v>
      </c>
      <c r="F5385" s="9" t="s">
        <v>529</v>
      </c>
      <c r="H5385" s="9"/>
    </row>
    <row r="5386" ht="14.25" customHeight="1">
      <c r="C5386" s="9" t="s">
        <v>3284</v>
      </c>
      <c r="D5386" s="9" t="s">
        <v>3285</v>
      </c>
      <c r="E5386" s="9" t="s">
        <v>3272</v>
      </c>
      <c r="F5386" s="9" t="s">
        <v>282</v>
      </c>
      <c r="H5386" s="9"/>
    </row>
    <row r="5387" ht="14.25" customHeight="1">
      <c r="C5387" s="9" t="s">
        <v>3284</v>
      </c>
      <c r="D5387" s="9" t="s">
        <v>3285</v>
      </c>
      <c r="E5387" s="9" t="s">
        <v>3272</v>
      </c>
      <c r="F5387" s="9" t="s">
        <v>321</v>
      </c>
      <c r="H5387" s="9"/>
    </row>
    <row r="5388" ht="14.25" customHeight="1">
      <c r="C5388" s="9" t="s">
        <v>3284</v>
      </c>
      <c r="D5388" s="9" t="s">
        <v>3285</v>
      </c>
      <c r="E5388" s="9" t="s">
        <v>3272</v>
      </c>
      <c r="F5388" s="9" t="s">
        <v>272</v>
      </c>
      <c r="H5388" s="9"/>
    </row>
    <row r="5389" ht="14.25" customHeight="1">
      <c r="C5389" s="9" t="s">
        <v>3284</v>
      </c>
      <c r="D5389" s="9" t="s">
        <v>3285</v>
      </c>
      <c r="E5389" s="9" t="s">
        <v>3272</v>
      </c>
      <c r="F5389" s="9" t="s">
        <v>517</v>
      </c>
      <c r="H5389" s="9"/>
    </row>
    <row r="5390" ht="14.25" customHeight="1">
      <c r="C5390" s="9" t="s">
        <v>3284</v>
      </c>
      <c r="D5390" s="9" t="s">
        <v>3285</v>
      </c>
      <c r="E5390" s="9" t="s">
        <v>3272</v>
      </c>
      <c r="F5390" s="9" t="s">
        <v>2309</v>
      </c>
      <c r="H5390" s="9"/>
    </row>
    <row r="5391" ht="14.25" customHeight="1">
      <c r="C5391" s="9" t="s">
        <v>3284</v>
      </c>
      <c r="D5391" s="9" t="s">
        <v>3285</v>
      </c>
      <c r="E5391" s="9" t="s">
        <v>3272</v>
      </c>
      <c r="F5391" s="9" t="s">
        <v>507</v>
      </c>
      <c r="H5391" s="9"/>
    </row>
    <row r="5392" ht="14.25" customHeight="1">
      <c r="C5392" s="9" t="s">
        <v>3284</v>
      </c>
      <c r="D5392" s="9" t="s">
        <v>3285</v>
      </c>
      <c r="E5392" s="9" t="s">
        <v>3272</v>
      </c>
      <c r="F5392" s="9" t="s">
        <v>336</v>
      </c>
      <c r="H5392" s="9"/>
    </row>
    <row r="5393" ht="14.25" customHeight="1">
      <c r="C5393" s="9" t="s">
        <v>3284</v>
      </c>
      <c r="D5393" s="9" t="s">
        <v>3285</v>
      </c>
      <c r="E5393" s="9" t="s">
        <v>3272</v>
      </c>
      <c r="F5393" s="9" t="s">
        <v>235</v>
      </c>
      <c r="H5393" s="9"/>
    </row>
    <row r="5394" ht="14.25" customHeight="1">
      <c r="C5394" s="9" t="s">
        <v>3284</v>
      </c>
      <c r="D5394" s="9" t="s">
        <v>3285</v>
      </c>
      <c r="E5394" s="9" t="s">
        <v>3272</v>
      </c>
      <c r="F5394" s="9" t="s">
        <v>327</v>
      </c>
      <c r="H5394" s="9"/>
    </row>
    <row r="5395" ht="14.25" customHeight="1">
      <c r="C5395" s="9" t="s">
        <v>3284</v>
      </c>
      <c r="D5395" s="9" t="s">
        <v>3285</v>
      </c>
      <c r="E5395" s="9" t="s">
        <v>3272</v>
      </c>
      <c r="F5395" s="9" t="s">
        <v>264</v>
      </c>
      <c r="H5395" s="9"/>
    </row>
    <row r="5396" ht="14.25" customHeight="1">
      <c r="C5396" s="9" t="s">
        <v>3286</v>
      </c>
      <c r="D5396" s="9" t="s">
        <v>3286</v>
      </c>
      <c r="E5396" s="9" t="s">
        <v>3272</v>
      </c>
      <c r="F5396" s="9" t="s">
        <v>1439</v>
      </c>
      <c r="H5396" s="9"/>
    </row>
    <row r="5397" ht="14.25" customHeight="1">
      <c r="C5397" s="9" t="s">
        <v>3286</v>
      </c>
      <c r="D5397" s="9" t="s">
        <v>3286</v>
      </c>
      <c r="E5397" s="9" t="s">
        <v>3272</v>
      </c>
      <c r="F5397" s="9" t="s">
        <v>3132</v>
      </c>
      <c r="H5397" s="9"/>
    </row>
    <row r="5398" ht="14.25" customHeight="1">
      <c r="C5398" s="9" t="s">
        <v>3286</v>
      </c>
      <c r="D5398" s="9" t="s">
        <v>3286</v>
      </c>
      <c r="E5398" s="9" t="s">
        <v>3272</v>
      </c>
      <c r="F5398" s="9" t="s">
        <v>1440</v>
      </c>
      <c r="H5398" s="9"/>
    </row>
    <row r="5399" ht="14.25" customHeight="1">
      <c r="C5399" s="9" t="s">
        <v>3286</v>
      </c>
      <c r="D5399" s="9" t="s">
        <v>3286</v>
      </c>
      <c r="E5399" s="9" t="s">
        <v>3272</v>
      </c>
      <c r="F5399" s="9" t="s">
        <v>482</v>
      </c>
      <c r="H5399" s="9"/>
    </row>
    <row r="5400" ht="14.25" customHeight="1">
      <c r="C5400" s="9" t="s">
        <v>3286</v>
      </c>
      <c r="D5400" s="9" t="s">
        <v>3286</v>
      </c>
      <c r="E5400" s="9" t="s">
        <v>3272</v>
      </c>
      <c r="F5400" s="9" t="s">
        <v>3133</v>
      </c>
      <c r="H5400" s="9"/>
    </row>
    <row r="5401" ht="14.25" customHeight="1">
      <c r="C5401" s="9" t="s">
        <v>3286</v>
      </c>
      <c r="D5401" s="9" t="s">
        <v>3286</v>
      </c>
      <c r="E5401" s="9" t="s">
        <v>3272</v>
      </c>
      <c r="F5401" s="9" t="s">
        <v>341</v>
      </c>
      <c r="H5401" s="9"/>
    </row>
    <row r="5402" ht="14.25" customHeight="1">
      <c r="C5402" s="9" t="s">
        <v>3286</v>
      </c>
      <c r="D5402" s="9" t="s">
        <v>3286</v>
      </c>
      <c r="E5402" s="9" t="s">
        <v>3272</v>
      </c>
      <c r="F5402" s="9" t="s">
        <v>367</v>
      </c>
      <c r="H5402" s="9"/>
    </row>
    <row r="5403" ht="14.25" customHeight="1">
      <c r="C5403" s="9" t="s">
        <v>3286</v>
      </c>
      <c r="D5403" s="9" t="s">
        <v>3286</v>
      </c>
      <c r="E5403" s="9" t="s">
        <v>3272</v>
      </c>
      <c r="F5403" s="9" t="s">
        <v>529</v>
      </c>
      <c r="H5403" s="9"/>
    </row>
    <row r="5404" ht="14.25" customHeight="1">
      <c r="C5404" s="9" t="s">
        <v>3286</v>
      </c>
      <c r="D5404" s="9" t="s">
        <v>3286</v>
      </c>
      <c r="E5404" s="9" t="s">
        <v>3272</v>
      </c>
      <c r="F5404" s="9" t="s">
        <v>1435</v>
      </c>
      <c r="H5404" s="9"/>
    </row>
    <row r="5405" ht="14.25" customHeight="1">
      <c r="C5405" s="9" t="s">
        <v>3286</v>
      </c>
      <c r="D5405" s="9" t="s">
        <v>3286</v>
      </c>
      <c r="E5405" s="9" t="s">
        <v>3272</v>
      </c>
      <c r="F5405" s="9" t="s">
        <v>1437</v>
      </c>
      <c r="H5405" s="9"/>
    </row>
    <row r="5406" ht="14.25" customHeight="1">
      <c r="C5406" s="9" t="s">
        <v>3286</v>
      </c>
      <c r="D5406" s="9" t="s">
        <v>3286</v>
      </c>
      <c r="E5406" s="9" t="s">
        <v>3272</v>
      </c>
      <c r="F5406" s="9" t="s">
        <v>1436</v>
      </c>
      <c r="H5406" s="9"/>
    </row>
    <row r="5407" ht="14.25" customHeight="1">
      <c r="C5407" s="9" t="s">
        <v>3286</v>
      </c>
      <c r="D5407" s="9" t="s">
        <v>3286</v>
      </c>
      <c r="E5407" s="9" t="s">
        <v>3272</v>
      </c>
      <c r="F5407" s="9" t="s">
        <v>3134</v>
      </c>
      <c r="H5407" s="9"/>
    </row>
    <row r="5408" ht="14.25" customHeight="1">
      <c r="C5408" s="9" t="s">
        <v>3286</v>
      </c>
      <c r="D5408" s="9" t="s">
        <v>3286</v>
      </c>
      <c r="E5408" s="9" t="s">
        <v>3272</v>
      </c>
      <c r="F5408" s="9" t="s">
        <v>1434</v>
      </c>
      <c r="H5408" s="9"/>
    </row>
    <row r="5409" ht="14.25" customHeight="1">
      <c r="C5409" s="9" t="s">
        <v>3286</v>
      </c>
      <c r="D5409" s="9" t="s">
        <v>3286</v>
      </c>
      <c r="E5409" s="9" t="s">
        <v>3272</v>
      </c>
      <c r="F5409" s="9" t="s">
        <v>517</v>
      </c>
      <c r="H5409" s="9"/>
    </row>
    <row r="5410" ht="14.25" customHeight="1">
      <c r="C5410" s="9" t="s">
        <v>3286</v>
      </c>
      <c r="D5410" s="9" t="s">
        <v>3286</v>
      </c>
      <c r="E5410" s="9" t="s">
        <v>3272</v>
      </c>
      <c r="F5410" s="9" t="s">
        <v>507</v>
      </c>
      <c r="H5410" s="9"/>
    </row>
    <row r="5411" ht="14.25" customHeight="1">
      <c r="C5411" s="9" t="s">
        <v>3286</v>
      </c>
      <c r="D5411" s="9" t="s">
        <v>3286</v>
      </c>
      <c r="E5411" s="9" t="s">
        <v>3272</v>
      </c>
      <c r="F5411" s="9" t="s">
        <v>1441</v>
      </c>
      <c r="H5411" s="9"/>
    </row>
    <row r="5412" ht="14.25" customHeight="1">
      <c r="C5412" s="9" t="s">
        <v>3286</v>
      </c>
      <c r="D5412" s="9" t="s">
        <v>3286</v>
      </c>
      <c r="E5412" s="9" t="s">
        <v>3272</v>
      </c>
      <c r="F5412" s="9" t="s">
        <v>1438</v>
      </c>
      <c r="H5412" s="9"/>
    </row>
    <row r="5413" ht="14.25" customHeight="1">
      <c r="C5413" s="9" t="s">
        <v>3287</v>
      </c>
      <c r="D5413" s="9" t="s">
        <v>3288</v>
      </c>
      <c r="E5413" s="9" t="s">
        <v>3272</v>
      </c>
      <c r="F5413" s="9" t="s">
        <v>474</v>
      </c>
      <c r="H5413" s="9"/>
    </row>
    <row r="5414" ht="14.25" customHeight="1">
      <c r="C5414" s="9" t="s">
        <v>3287</v>
      </c>
      <c r="D5414" s="9" t="s">
        <v>3288</v>
      </c>
      <c r="E5414" s="9" t="s">
        <v>3272</v>
      </c>
      <c r="F5414" s="9" t="s">
        <v>3032</v>
      </c>
      <c r="H5414" s="9"/>
    </row>
    <row r="5415" ht="14.25" customHeight="1">
      <c r="C5415" s="9" t="s">
        <v>3287</v>
      </c>
      <c r="D5415" s="9" t="s">
        <v>3288</v>
      </c>
      <c r="E5415" s="9" t="s">
        <v>3272</v>
      </c>
      <c r="F5415" s="9" t="s">
        <v>284</v>
      </c>
      <c r="H5415" s="9"/>
    </row>
    <row r="5416" ht="14.25" customHeight="1">
      <c r="C5416" s="9" t="s">
        <v>3287</v>
      </c>
      <c r="D5416" s="9" t="s">
        <v>3288</v>
      </c>
      <c r="E5416" s="9" t="s">
        <v>3272</v>
      </c>
      <c r="F5416" s="9" t="s">
        <v>493</v>
      </c>
      <c r="H5416" s="9"/>
    </row>
    <row r="5417" ht="14.25" customHeight="1">
      <c r="C5417" s="9" t="s">
        <v>3287</v>
      </c>
      <c r="D5417" s="9" t="s">
        <v>3288</v>
      </c>
      <c r="E5417" s="9" t="s">
        <v>3272</v>
      </c>
      <c r="F5417" s="9" t="s">
        <v>450</v>
      </c>
      <c r="H5417" s="9"/>
    </row>
    <row r="5418" ht="14.25" customHeight="1">
      <c r="C5418" s="9" t="s">
        <v>3287</v>
      </c>
      <c r="D5418" s="9" t="s">
        <v>3288</v>
      </c>
      <c r="E5418" s="9" t="s">
        <v>3272</v>
      </c>
      <c r="F5418" s="9" t="s">
        <v>2296</v>
      </c>
      <c r="H5418" s="9"/>
    </row>
    <row r="5419" ht="14.25" customHeight="1">
      <c r="C5419" s="9" t="s">
        <v>3287</v>
      </c>
      <c r="D5419" s="9" t="s">
        <v>3288</v>
      </c>
      <c r="E5419" s="9" t="s">
        <v>3272</v>
      </c>
      <c r="F5419" s="9" t="s">
        <v>276</v>
      </c>
      <c r="H5419" s="9"/>
    </row>
    <row r="5420" ht="14.25" customHeight="1">
      <c r="C5420" s="9" t="s">
        <v>3287</v>
      </c>
      <c r="D5420" s="9" t="s">
        <v>3288</v>
      </c>
      <c r="E5420" s="9" t="s">
        <v>3272</v>
      </c>
      <c r="F5420" s="9" t="s">
        <v>431</v>
      </c>
      <c r="H5420" s="9"/>
    </row>
    <row r="5421" ht="14.25" customHeight="1">
      <c r="C5421" s="9" t="s">
        <v>3287</v>
      </c>
      <c r="D5421" s="9" t="s">
        <v>3288</v>
      </c>
      <c r="E5421" s="9" t="s">
        <v>3272</v>
      </c>
      <c r="F5421" s="9" t="s">
        <v>26</v>
      </c>
      <c r="H5421" s="9"/>
    </row>
    <row r="5422" ht="14.25" customHeight="1">
      <c r="C5422" s="9" t="s">
        <v>3287</v>
      </c>
      <c r="D5422" s="9" t="s">
        <v>3288</v>
      </c>
      <c r="E5422" s="9" t="s">
        <v>3272</v>
      </c>
      <c r="F5422" s="9" t="s">
        <v>420</v>
      </c>
      <c r="H5422" s="9"/>
    </row>
    <row r="5423" ht="14.25" customHeight="1">
      <c r="C5423" s="9" t="s">
        <v>3287</v>
      </c>
      <c r="D5423" s="9" t="s">
        <v>3288</v>
      </c>
      <c r="E5423" s="9" t="s">
        <v>3272</v>
      </c>
      <c r="F5423" s="9" t="s">
        <v>482</v>
      </c>
      <c r="H5423" s="9"/>
    </row>
    <row r="5424" ht="14.25" customHeight="1">
      <c r="C5424" s="9" t="s">
        <v>3287</v>
      </c>
      <c r="D5424" s="9" t="s">
        <v>3288</v>
      </c>
      <c r="E5424" s="9" t="s">
        <v>3272</v>
      </c>
      <c r="F5424" s="9" t="s">
        <v>136</v>
      </c>
      <c r="H5424" s="9"/>
    </row>
    <row r="5425" ht="14.25" customHeight="1">
      <c r="C5425" s="9" t="s">
        <v>3287</v>
      </c>
      <c r="D5425" s="9" t="s">
        <v>3288</v>
      </c>
      <c r="E5425" s="9" t="s">
        <v>3272</v>
      </c>
      <c r="F5425" s="9" t="s">
        <v>408</v>
      </c>
      <c r="H5425" s="9"/>
    </row>
    <row r="5426" ht="14.25" customHeight="1">
      <c r="C5426" s="9" t="s">
        <v>3287</v>
      </c>
      <c r="D5426" s="9" t="s">
        <v>3288</v>
      </c>
      <c r="E5426" s="9" t="s">
        <v>3272</v>
      </c>
      <c r="F5426" s="9" t="s">
        <v>2301</v>
      </c>
      <c r="H5426" s="9"/>
    </row>
    <row r="5427" ht="14.25" customHeight="1">
      <c r="C5427" s="9" t="s">
        <v>3287</v>
      </c>
      <c r="D5427" s="9" t="s">
        <v>3288</v>
      </c>
      <c r="E5427" s="9" t="s">
        <v>3272</v>
      </c>
      <c r="F5427" s="9" t="s">
        <v>197</v>
      </c>
      <c r="H5427" s="9"/>
    </row>
    <row r="5428" ht="14.25" customHeight="1">
      <c r="C5428" s="9" t="s">
        <v>3287</v>
      </c>
      <c r="D5428" s="9" t="s">
        <v>3288</v>
      </c>
      <c r="E5428" s="9" t="s">
        <v>3272</v>
      </c>
      <c r="F5428" s="9" t="s">
        <v>172</v>
      </c>
      <c r="H5428" s="9"/>
    </row>
    <row r="5429" ht="14.25" customHeight="1">
      <c r="C5429" s="9" t="s">
        <v>3287</v>
      </c>
      <c r="D5429" s="9" t="s">
        <v>3288</v>
      </c>
      <c r="E5429" s="9" t="s">
        <v>3272</v>
      </c>
      <c r="F5429" s="9" t="s">
        <v>98</v>
      </c>
      <c r="H5429" s="9"/>
    </row>
    <row r="5430" ht="14.25" customHeight="1">
      <c r="C5430" s="9" t="s">
        <v>3287</v>
      </c>
      <c r="D5430" s="9" t="s">
        <v>3288</v>
      </c>
      <c r="E5430" s="9" t="s">
        <v>3272</v>
      </c>
      <c r="F5430" s="9" t="s">
        <v>341</v>
      </c>
      <c r="H5430" s="9"/>
    </row>
    <row r="5431" ht="14.25" customHeight="1">
      <c r="C5431" s="9" t="s">
        <v>3287</v>
      </c>
      <c r="D5431" s="9" t="s">
        <v>3288</v>
      </c>
      <c r="E5431" s="9" t="s">
        <v>3272</v>
      </c>
      <c r="F5431" s="9" t="s">
        <v>3033</v>
      </c>
      <c r="H5431" s="9"/>
    </row>
    <row r="5432" ht="14.25" customHeight="1">
      <c r="C5432" s="9" t="s">
        <v>3287</v>
      </c>
      <c r="D5432" s="9" t="s">
        <v>3288</v>
      </c>
      <c r="E5432" s="9" t="s">
        <v>3272</v>
      </c>
      <c r="F5432" s="9" t="s">
        <v>367</v>
      </c>
      <c r="H5432" s="9"/>
    </row>
    <row r="5433" ht="14.25" customHeight="1">
      <c r="C5433" s="9" t="s">
        <v>3287</v>
      </c>
      <c r="D5433" s="9" t="s">
        <v>3288</v>
      </c>
      <c r="E5433" s="9" t="s">
        <v>3272</v>
      </c>
      <c r="F5433" s="9" t="s">
        <v>529</v>
      </c>
      <c r="H5433" s="9"/>
    </row>
    <row r="5434" ht="14.25" customHeight="1">
      <c r="C5434" s="9" t="s">
        <v>3287</v>
      </c>
      <c r="D5434" s="9" t="s">
        <v>3288</v>
      </c>
      <c r="E5434" s="9" t="s">
        <v>3272</v>
      </c>
      <c r="F5434" s="9" t="s">
        <v>282</v>
      </c>
      <c r="H5434" s="9"/>
    </row>
    <row r="5435" ht="14.25" customHeight="1">
      <c r="C5435" s="9" t="s">
        <v>3287</v>
      </c>
      <c r="D5435" s="9" t="s">
        <v>3288</v>
      </c>
      <c r="E5435" s="9" t="s">
        <v>3272</v>
      </c>
      <c r="F5435" s="9" t="s">
        <v>321</v>
      </c>
      <c r="H5435" s="9"/>
    </row>
    <row r="5436" ht="14.25" customHeight="1">
      <c r="C5436" s="9" t="s">
        <v>3287</v>
      </c>
      <c r="D5436" s="9" t="s">
        <v>3288</v>
      </c>
      <c r="E5436" s="9" t="s">
        <v>3272</v>
      </c>
      <c r="F5436" s="9" t="s">
        <v>479</v>
      </c>
      <c r="H5436" s="9"/>
    </row>
    <row r="5437" ht="14.25" customHeight="1">
      <c r="C5437" s="9" t="s">
        <v>3287</v>
      </c>
      <c r="D5437" s="9" t="s">
        <v>3288</v>
      </c>
      <c r="E5437" s="9" t="s">
        <v>3272</v>
      </c>
      <c r="F5437" s="9" t="s">
        <v>517</v>
      </c>
      <c r="H5437" s="9"/>
    </row>
    <row r="5438" ht="14.25" customHeight="1">
      <c r="C5438" s="9" t="s">
        <v>3287</v>
      </c>
      <c r="D5438" s="9" t="s">
        <v>3288</v>
      </c>
      <c r="E5438" s="9" t="s">
        <v>3272</v>
      </c>
      <c r="F5438" s="9" t="s">
        <v>2309</v>
      </c>
      <c r="H5438" s="9"/>
    </row>
    <row r="5439" ht="14.25" customHeight="1">
      <c r="C5439" s="9" t="s">
        <v>3287</v>
      </c>
      <c r="D5439" s="9" t="s">
        <v>3288</v>
      </c>
      <c r="E5439" s="9" t="s">
        <v>3272</v>
      </c>
      <c r="F5439" s="9" t="s">
        <v>507</v>
      </c>
      <c r="H5439" s="9"/>
    </row>
    <row r="5440" ht="14.25" customHeight="1">
      <c r="C5440" s="9" t="s">
        <v>3287</v>
      </c>
      <c r="D5440" s="9" t="s">
        <v>3288</v>
      </c>
      <c r="E5440" s="9" t="s">
        <v>3272</v>
      </c>
      <c r="F5440" s="9" t="s">
        <v>336</v>
      </c>
      <c r="H5440" s="9"/>
    </row>
    <row r="5441" ht="14.25" customHeight="1">
      <c r="C5441" s="9" t="s">
        <v>3287</v>
      </c>
      <c r="D5441" s="9" t="s">
        <v>3288</v>
      </c>
      <c r="E5441" s="9" t="s">
        <v>3272</v>
      </c>
      <c r="F5441" s="9" t="s">
        <v>235</v>
      </c>
      <c r="H5441" s="9"/>
    </row>
    <row r="5442" ht="14.25" customHeight="1">
      <c r="C5442" s="9" t="s">
        <v>3287</v>
      </c>
      <c r="D5442" s="9" t="s">
        <v>3288</v>
      </c>
      <c r="E5442" s="9" t="s">
        <v>3272</v>
      </c>
      <c r="F5442" s="9" t="s">
        <v>2957</v>
      </c>
      <c r="H5442" s="9"/>
    </row>
    <row r="5443" ht="14.25" customHeight="1">
      <c r="C5443" s="9" t="s">
        <v>3287</v>
      </c>
      <c r="D5443" s="9" t="s">
        <v>3288</v>
      </c>
      <c r="E5443" s="9" t="s">
        <v>3272</v>
      </c>
      <c r="F5443" s="9" t="s">
        <v>264</v>
      </c>
      <c r="H5443" s="9"/>
    </row>
    <row r="5444" ht="14.25" customHeight="1">
      <c r="C5444" s="9" t="s">
        <v>1284</v>
      </c>
      <c r="D5444" s="9" t="s">
        <v>1284</v>
      </c>
      <c r="E5444" s="9" t="s">
        <v>3289</v>
      </c>
      <c r="F5444" s="9" t="s">
        <v>1439</v>
      </c>
      <c r="H5444" s="9"/>
    </row>
    <row r="5445" ht="14.25" customHeight="1">
      <c r="C5445" s="9" t="s">
        <v>1284</v>
      </c>
      <c r="D5445" s="9" t="s">
        <v>1284</v>
      </c>
      <c r="E5445" s="9" t="s">
        <v>3289</v>
      </c>
      <c r="F5445" s="9" t="s">
        <v>3132</v>
      </c>
      <c r="H5445" s="9"/>
    </row>
    <row r="5446" ht="14.25" customHeight="1">
      <c r="C5446" s="9" t="s">
        <v>1284</v>
      </c>
      <c r="D5446" s="9" t="s">
        <v>1284</v>
      </c>
      <c r="E5446" s="9" t="s">
        <v>3289</v>
      </c>
      <c r="F5446" s="9" t="s">
        <v>1440</v>
      </c>
      <c r="H5446" s="9"/>
    </row>
    <row r="5447" ht="14.25" customHeight="1">
      <c r="C5447" s="9" t="s">
        <v>1284</v>
      </c>
      <c r="D5447" s="9" t="s">
        <v>1284</v>
      </c>
      <c r="E5447" s="9" t="s">
        <v>3289</v>
      </c>
      <c r="F5447" s="9" t="s">
        <v>482</v>
      </c>
      <c r="H5447" s="9"/>
    </row>
    <row r="5448" ht="14.25" customHeight="1">
      <c r="C5448" s="9" t="s">
        <v>1284</v>
      </c>
      <c r="D5448" s="9" t="s">
        <v>1284</v>
      </c>
      <c r="E5448" s="9" t="s">
        <v>3289</v>
      </c>
      <c r="F5448" s="9" t="s">
        <v>3133</v>
      </c>
      <c r="H5448" s="9"/>
    </row>
    <row r="5449" ht="14.25" customHeight="1">
      <c r="C5449" s="9" t="s">
        <v>1284</v>
      </c>
      <c r="D5449" s="9" t="s">
        <v>1284</v>
      </c>
      <c r="E5449" s="9" t="s">
        <v>3289</v>
      </c>
      <c r="F5449" s="9" t="s">
        <v>341</v>
      </c>
      <c r="H5449" s="9"/>
    </row>
    <row r="5450" ht="14.25" customHeight="1">
      <c r="C5450" s="9" t="s">
        <v>1284</v>
      </c>
      <c r="D5450" s="9" t="s">
        <v>1284</v>
      </c>
      <c r="E5450" s="9" t="s">
        <v>3289</v>
      </c>
      <c r="F5450" s="9" t="s">
        <v>367</v>
      </c>
      <c r="H5450" s="9"/>
    </row>
    <row r="5451" ht="14.25" customHeight="1">
      <c r="C5451" s="9" t="s">
        <v>1284</v>
      </c>
      <c r="D5451" s="9" t="s">
        <v>1284</v>
      </c>
      <c r="E5451" s="9" t="s">
        <v>3289</v>
      </c>
      <c r="F5451" s="9" t="s">
        <v>529</v>
      </c>
      <c r="H5451" s="9"/>
    </row>
    <row r="5452" ht="14.25" customHeight="1">
      <c r="C5452" s="9" t="s">
        <v>1284</v>
      </c>
      <c r="D5452" s="9" t="s">
        <v>1284</v>
      </c>
      <c r="E5452" s="9" t="s">
        <v>3289</v>
      </c>
      <c r="F5452" s="9" t="s">
        <v>1435</v>
      </c>
      <c r="H5452" s="9"/>
    </row>
    <row r="5453" ht="14.25" customHeight="1">
      <c r="C5453" s="9" t="s">
        <v>1284</v>
      </c>
      <c r="D5453" s="9" t="s">
        <v>1284</v>
      </c>
      <c r="E5453" s="9" t="s">
        <v>3289</v>
      </c>
      <c r="F5453" s="9" t="s">
        <v>1437</v>
      </c>
      <c r="H5453" s="9"/>
    </row>
    <row r="5454" ht="14.25" customHeight="1">
      <c r="C5454" s="9" t="s">
        <v>1284</v>
      </c>
      <c r="D5454" s="9" t="s">
        <v>1284</v>
      </c>
      <c r="E5454" s="9" t="s">
        <v>3289</v>
      </c>
      <c r="F5454" s="9" t="s">
        <v>1436</v>
      </c>
      <c r="H5454" s="9"/>
    </row>
    <row r="5455" ht="14.25" customHeight="1">
      <c r="C5455" s="9" t="s">
        <v>1284</v>
      </c>
      <c r="D5455" s="9" t="s">
        <v>1284</v>
      </c>
      <c r="E5455" s="9" t="s">
        <v>3289</v>
      </c>
      <c r="F5455" s="9" t="s">
        <v>3134</v>
      </c>
      <c r="H5455" s="9"/>
    </row>
    <row r="5456" ht="14.25" customHeight="1">
      <c r="C5456" s="9" t="s">
        <v>1284</v>
      </c>
      <c r="D5456" s="9" t="s">
        <v>1284</v>
      </c>
      <c r="E5456" s="9" t="s">
        <v>3289</v>
      </c>
      <c r="F5456" s="9" t="s">
        <v>1434</v>
      </c>
      <c r="H5456" s="9"/>
    </row>
    <row r="5457" ht="14.25" customHeight="1">
      <c r="C5457" s="9" t="s">
        <v>1284</v>
      </c>
      <c r="D5457" s="9" t="s">
        <v>1284</v>
      </c>
      <c r="E5457" s="9" t="s">
        <v>3289</v>
      </c>
      <c r="F5457" s="9" t="s">
        <v>517</v>
      </c>
      <c r="H5457" s="9"/>
    </row>
    <row r="5458" ht="14.25" customHeight="1">
      <c r="C5458" s="9" t="s">
        <v>1284</v>
      </c>
      <c r="D5458" s="9" t="s">
        <v>1284</v>
      </c>
      <c r="E5458" s="9" t="s">
        <v>3289</v>
      </c>
      <c r="F5458" s="9" t="s">
        <v>507</v>
      </c>
      <c r="H5458" s="9"/>
    </row>
    <row r="5459" ht="14.25" customHeight="1">
      <c r="C5459" s="9" t="s">
        <v>1284</v>
      </c>
      <c r="D5459" s="9" t="s">
        <v>1284</v>
      </c>
      <c r="E5459" s="9" t="s">
        <v>3289</v>
      </c>
      <c r="F5459" s="9" t="s">
        <v>1441</v>
      </c>
      <c r="H5459" s="9"/>
    </row>
    <row r="5460" ht="14.25" customHeight="1">
      <c r="C5460" s="9" t="s">
        <v>1284</v>
      </c>
      <c r="D5460" s="9" t="s">
        <v>1284</v>
      </c>
      <c r="E5460" s="9" t="s">
        <v>3289</v>
      </c>
      <c r="F5460" s="9" t="s">
        <v>1438</v>
      </c>
      <c r="H5460" s="9"/>
    </row>
    <row r="5461" ht="14.25" customHeight="1">
      <c r="C5461" s="9" t="s">
        <v>1284</v>
      </c>
      <c r="D5461" s="9" t="s">
        <v>3290</v>
      </c>
      <c r="E5461" s="9" t="s">
        <v>3289</v>
      </c>
      <c r="F5461" s="9" t="s">
        <v>1439</v>
      </c>
      <c r="H5461" s="9"/>
    </row>
    <row r="5462" ht="14.25" customHeight="1">
      <c r="C5462" s="9" t="s">
        <v>1284</v>
      </c>
      <c r="D5462" s="9" t="s">
        <v>3290</v>
      </c>
      <c r="E5462" s="9" t="s">
        <v>3289</v>
      </c>
      <c r="F5462" s="9" t="s">
        <v>3132</v>
      </c>
      <c r="H5462" s="9"/>
    </row>
    <row r="5463" ht="14.25" customHeight="1">
      <c r="C5463" s="9" t="s">
        <v>1284</v>
      </c>
      <c r="D5463" s="9" t="s">
        <v>3290</v>
      </c>
      <c r="E5463" s="9" t="s">
        <v>3289</v>
      </c>
      <c r="F5463" s="9" t="s">
        <v>1440</v>
      </c>
      <c r="H5463" s="9"/>
    </row>
    <row r="5464" ht="14.25" customHeight="1">
      <c r="C5464" s="9" t="s">
        <v>1284</v>
      </c>
      <c r="D5464" s="9" t="s">
        <v>3290</v>
      </c>
      <c r="E5464" s="9" t="s">
        <v>3289</v>
      </c>
      <c r="F5464" s="9" t="s">
        <v>482</v>
      </c>
      <c r="H5464" s="9"/>
    </row>
    <row r="5465" ht="14.25" customHeight="1">
      <c r="C5465" s="9" t="s">
        <v>1284</v>
      </c>
      <c r="D5465" s="9" t="s">
        <v>3290</v>
      </c>
      <c r="E5465" s="9" t="s">
        <v>3289</v>
      </c>
      <c r="F5465" s="9" t="s">
        <v>3133</v>
      </c>
      <c r="H5465" s="9"/>
    </row>
    <row r="5466" ht="14.25" customHeight="1">
      <c r="C5466" s="9" t="s">
        <v>1284</v>
      </c>
      <c r="D5466" s="9" t="s">
        <v>3290</v>
      </c>
      <c r="E5466" s="9" t="s">
        <v>3289</v>
      </c>
      <c r="F5466" s="9" t="s">
        <v>341</v>
      </c>
      <c r="H5466" s="9"/>
    </row>
    <row r="5467" ht="14.25" customHeight="1">
      <c r="C5467" s="9" t="s">
        <v>1284</v>
      </c>
      <c r="D5467" s="9" t="s">
        <v>3290</v>
      </c>
      <c r="E5467" s="9" t="s">
        <v>3289</v>
      </c>
      <c r="F5467" s="9" t="s">
        <v>367</v>
      </c>
      <c r="H5467" s="9"/>
    </row>
    <row r="5468" ht="14.25" customHeight="1">
      <c r="C5468" s="9" t="s">
        <v>1284</v>
      </c>
      <c r="D5468" s="9" t="s">
        <v>3290</v>
      </c>
      <c r="E5468" s="9" t="s">
        <v>3289</v>
      </c>
      <c r="F5468" s="9" t="s">
        <v>529</v>
      </c>
      <c r="H5468" s="9"/>
    </row>
    <row r="5469" ht="14.25" customHeight="1">
      <c r="C5469" s="9" t="s">
        <v>1284</v>
      </c>
      <c r="D5469" s="9" t="s">
        <v>3290</v>
      </c>
      <c r="E5469" s="9" t="s">
        <v>3289</v>
      </c>
      <c r="F5469" s="9" t="s">
        <v>1435</v>
      </c>
      <c r="H5469" s="9"/>
    </row>
    <row r="5470" ht="14.25" customHeight="1">
      <c r="C5470" s="9" t="s">
        <v>1284</v>
      </c>
      <c r="D5470" s="9" t="s">
        <v>3290</v>
      </c>
      <c r="E5470" s="9" t="s">
        <v>3289</v>
      </c>
      <c r="F5470" s="9" t="s">
        <v>1437</v>
      </c>
      <c r="H5470" s="9"/>
    </row>
    <row r="5471" ht="14.25" customHeight="1">
      <c r="C5471" s="9" t="s">
        <v>1284</v>
      </c>
      <c r="D5471" s="9" t="s">
        <v>3290</v>
      </c>
      <c r="E5471" s="9" t="s">
        <v>3289</v>
      </c>
      <c r="F5471" s="9" t="s">
        <v>1436</v>
      </c>
      <c r="H5471" s="9"/>
    </row>
    <row r="5472" ht="14.25" customHeight="1">
      <c r="C5472" s="9" t="s">
        <v>1284</v>
      </c>
      <c r="D5472" s="9" t="s">
        <v>3290</v>
      </c>
      <c r="E5472" s="9" t="s">
        <v>3289</v>
      </c>
      <c r="F5472" s="9" t="s">
        <v>3134</v>
      </c>
      <c r="H5472" s="9"/>
    </row>
    <row r="5473" ht="14.25" customHeight="1">
      <c r="C5473" s="9" t="s">
        <v>1284</v>
      </c>
      <c r="D5473" s="9" t="s">
        <v>3290</v>
      </c>
      <c r="E5473" s="9" t="s">
        <v>3289</v>
      </c>
      <c r="F5473" s="9" t="s">
        <v>1434</v>
      </c>
      <c r="H5473" s="9"/>
    </row>
    <row r="5474" ht="14.25" customHeight="1">
      <c r="C5474" s="9" t="s">
        <v>1284</v>
      </c>
      <c r="D5474" s="9" t="s">
        <v>3290</v>
      </c>
      <c r="E5474" s="9" t="s">
        <v>3289</v>
      </c>
      <c r="F5474" s="9" t="s">
        <v>517</v>
      </c>
      <c r="H5474" s="9"/>
    </row>
    <row r="5475" ht="14.25" customHeight="1">
      <c r="C5475" s="9" t="s">
        <v>1284</v>
      </c>
      <c r="D5475" s="9" t="s">
        <v>3290</v>
      </c>
      <c r="E5475" s="9" t="s">
        <v>3289</v>
      </c>
      <c r="F5475" s="9" t="s">
        <v>507</v>
      </c>
      <c r="H5475" s="9"/>
    </row>
    <row r="5476" ht="14.25" customHeight="1">
      <c r="C5476" s="9" t="s">
        <v>1284</v>
      </c>
      <c r="D5476" s="9" t="s">
        <v>3290</v>
      </c>
      <c r="E5476" s="9" t="s">
        <v>3289</v>
      </c>
      <c r="F5476" s="9" t="s">
        <v>1441</v>
      </c>
      <c r="H5476" s="9"/>
    </row>
    <row r="5477" ht="14.25" customHeight="1">
      <c r="C5477" s="9" t="s">
        <v>1284</v>
      </c>
      <c r="D5477" s="9" t="s">
        <v>3290</v>
      </c>
      <c r="E5477" s="9" t="s">
        <v>3289</v>
      </c>
      <c r="F5477" s="9" t="s">
        <v>1438</v>
      </c>
      <c r="H5477" s="9"/>
    </row>
    <row r="5478" ht="14.25" customHeight="1">
      <c r="C5478" s="9" t="s">
        <v>1284</v>
      </c>
      <c r="D5478" s="9" t="s">
        <v>3291</v>
      </c>
      <c r="E5478" s="9" t="s">
        <v>3289</v>
      </c>
      <c r="F5478" s="9" t="s">
        <v>1439</v>
      </c>
      <c r="H5478" s="9"/>
    </row>
    <row r="5479" ht="14.25" customHeight="1">
      <c r="C5479" s="9" t="s">
        <v>1284</v>
      </c>
      <c r="D5479" s="9" t="s">
        <v>3291</v>
      </c>
      <c r="E5479" s="9" t="s">
        <v>3289</v>
      </c>
      <c r="F5479" s="9" t="s">
        <v>3132</v>
      </c>
      <c r="H5479" s="9"/>
    </row>
    <row r="5480" ht="14.25" customHeight="1">
      <c r="C5480" s="9" t="s">
        <v>1284</v>
      </c>
      <c r="D5480" s="9" t="s">
        <v>3291</v>
      </c>
      <c r="E5480" s="9" t="s">
        <v>3289</v>
      </c>
      <c r="F5480" s="9" t="s">
        <v>1440</v>
      </c>
      <c r="H5480" s="9"/>
    </row>
    <row r="5481" ht="14.25" customHeight="1">
      <c r="C5481" s="9" t="s">
        <v>1284</v>
      </c>
      <c r="D5481" s="9" t="s">
        <v>3291</v>
      </c>
      <c r="E5481" s="9" t="s">
        <v>3289</v>
      </c>
      <c r="F5481" s="9" t="s">
        <v>482</v>
      </c>
      <c r="H5481" s="9"/>
    </row>
    <row r="5482" ht="14.25" customHeight="1">
      <c r="C5482" s="9" t="s">
        <v>1284</v>
      </c>
      <c r="D5482" s="9" t="s">
        <v>3291</v>
      </c>
      <c r="E5482" s="9" t="s">
        <v>3289</v>
      </c>
      <c r="F5482" s="9" t="s">
        <v>3133</v>
      </c>
      <c r="H5482" s="9"/>
    </row>
    <row r="5483" ht="14.25" customHeight="1">
      <c r="C5483" s="9" t="s">
        <v>1284</v>
      </c>
      <c r="D5483" s="9" t="s">
        <v>3291</v>
      </c>
      <c r="E5483" s="9" t="s">
        <v>3289</v>
      </c>
      <c r="F5483" s="9" t="s">
        <v>341</v>
      </c>
      <c r="H5483" s="9"/>
    </row>
    <row r="5484" ht="14.25" customHeight="1">
      <c r="C5484" s="9" t="s">
        <v>1284</v>
      </c>
      <c r="D5484" s="9" t="s">
        <v>3291</v>
      </c>
      <c r="E5484" s="9" t="s">
        <v>3289</v>
      </c>
      <c r="F5484" s="9" t="s">
        <v>367</v>
      </c>
      <c r="H5484" s="9"/>
    </row>
    <row r="5485" ht="14.25" customHeight="1">
      <c r="C5485" s="9" t="s">
        <v>1284</v>
      </c>
      <c r="D5485" s="9" t="s">
        <v>3291</v>
      </c>
      <c r="E5485" s="9" t="s">
        <v>3289</v>
      </c>
      <c r="F5485" s="9" t="s">
        <v>529</v>
      </c>
      <c r="H5485" s="9"/>
    </row>
    <row r="5486" ht="14.25" customHeight="1">
      <c r="C5486" s="9" t="s">
        <v>1284</v>
      </c>
      <c r="D5486" s="9" t="s">
        <v>3291</v>
      </c>
      <c r="E5486" s="9" t="s">
        <v>3289</v>
      </c>
      <c r="F5486" s="9" t="s">
        <v>1435</v>
      </c>
      <c r="H5486" s="9"/>
    </row>
    <row r="5487" ht="14.25" customHeight="1">
      <c r="C5487" s="9" t="s">
        <v>1284</v>
      </c>
      <c r="D5487" s="9" t="s">
        <v>3291</v>
      </c>
      <c r="E5487" s="9" t="s">
        <v>3289</v>
      </c>
      <c r="F5487" s="9" t="s">
        <v>1437</v>
      </c>
      <c r="H5487" s="9"/>
    </row>
    <row r="5488" ht="14.25" customHeight="1">
      <c r="C5488" s="9" t="s">
        <v>1284</v>
      </c>
      <c r="D5488" s="9" t="s">
        <v>3291</v>
      </c>
      <c r="E5488" s="9" t="s">
        <v>3289</v>
      </c>
      <c r="F5488" s="9" t="s">
        <v>1436</v>
      </c>
      <c r="H5488" s="9"/>
    </row>
    <row r="5489" ht="14.25" customHeight="1">
      <c r="C5489" s="9" t="s">
        <v>1284</v>
      </c>
      <c r="D5489" s="9" t="s">
        <v>3291</v>
      </c>
      <c r="E5489" s="9" t="s">
        <v>3289</v>
      </c>
      <c r="F5489" s="9" t="s">
        <v>3134</v>
      </c>
      <c r="H5489" s="9"/>
    </row>
    <row r="5490" ht="14.25" customHeight="1">
      <c r="C5490" s="9" t="s">
        <v>1284</v>
      </c>
      <c r="D5490" s="9" t="s">
        <v>3291</v>
      </c>
      <c r="E5490" s="9" t="s">
        <v>3289</v>
      </c>
      <c r="F5490" s="9" t="s">
        <v>1434</v>
      </c>
      <c r="H5490" s="9"/>
    </row>
    <row r="5491" ht="14.25" customHeight="1">
      <c r="C5491" s="9" t="s">
        <v>1284</v>
      </c>
      <c r="D5491" s="9" t="s">
        <v>3291</v>
      </c>
      <c r="E5491" s="9" t="s">
        <v>3289</v>
      </c>
      <c r="F5491" s="9" t="s">
        <v>517</v>
      </c>
      <c r="H5491" s="9"/>
    </row>
    <row r="5492" ht="14.25" customHeight="1">
      <c r="C5492" s="9" t="s">
        <v>1284</v>
      </c>
      <c r="D5492" s="9" t="s">
        <v>3291</v>
      </c>
      <c r="E5492" s="9" t="s">
        <v>3289</v>
      </c>
      <c r="F5492" s="9" t="s">
        <v>507</v>
      </c>
      <c r="H5492" s="9"/>
    </row>
    <row r="5493" ht="14.25" customHeight="1">
      <c r="C5493" s="9" t="s">
        <v>1284</v>
      </c>
      <c r="D5493" s="9" t="s">
        <v>3291</v>
      </c>
      <c r="E5493" s="9" t="s">
        <v>3289</v>
      </c>
      <c r="F5493" s="9" t="s">
        <v>1441</v>
      </c>
      <c r="H5493" s="9"/>
    </row>
    <row r="5494" ht="14.25" customHeight="1">
      <c r="C5494" s="9" t="s">
        <v>1284</v>
      </c>
      <c r="D5494" s="9" t="s">
        <v>3291</v>
      </c>
      <c r="E5494" s="9" t="s">
        <v>3289</v>
      </c>
      <c r="F5494" s="9" t="s">
        <v>1438</v>
      </c>
      <c r="H5494" s="9"/>
    </row>
    <row r="5495" ht="14.25" customHeight="1">
      <c r="C5495" s="9" t="s">
        <v>1284</v>
      </c>
      <c r="D5495" s="9" t="s">
        <v>3292</v>
      </c>
      <c r="E5495" s="9" t="s">
        <v>3289</v>
      </c>
      <c r="F5495" s="9" t="s">
        <v>1439</v>
      </c>
      <c r="H5495" s="9"/>
    </row>
    <row r="5496" ht="14.25" customHeight="1">
      <c r="C5496" s="9" t="s">
        <v>1284</v>
      </c>
      <c r="D5496" s="9" t="s">
        <v>3292</v>
      </c>
      <c r="E5496" s="9" t="s">
        <v>3289</v>
      </c>
      <c r="F5496" s="9" t="s">
        <v>3132</v>
      </c>
      <c r="H5496" s="9"/>
    </row>
    <row r="5497" ht="14.25" customHeight="1">
      <c r="C5497" s="9" t="s">
        <v>1284</v>
      </c>
      <c r="D5497" s="9" t="s">
        <v>3292</v>
      </c>
      <c r="E5497" s="9" t="s">
        <v>3289</v>
      </c>
      <c r="F5497" s="9" t="s">
        <v>1440</v>
      </c>
      <c r="H5497" s="9"/>
    </row>
    <row r="5498" ht="14.25" customHeight="1">
      <c r="C5498" s="9" t="s">
        <v>1284</v>
      </c>
      <c r="D5498" s="9" t="s">
        <v>3292</v>
      </c>
      <c r="E5498" s="9" t="s">
        <v>3289</v>
      </c>
      <c r="F5498" s="9" t="s">
        <v>482</v>
      </c>
      <c r="H5498" s="9"/>
    </row>
    <row r="5499" ht="14.25" customHeight="1">
      <c r="C5499" s="9" t="s">
        <v>1284</v>
      </c>
      <c r="D5499" s="9" t="s">
        <v>3292</v>
      </c>
      <c r="E5499" s="9" t="s">
        <v>3289</v>
      </c>
      <c r="F5499" s="9" t="s">
        <v>3133</v>
      </c>
      <c r="H5499" s="9"/>
    </row>
    <row r="5500" ht="14.25" customHeight="1">
      <c r="C5500" s="9" t="s">
        <v>1284</v>
      </c>
      <c r="D5500" s="9" t="s">
        <v>3292</v>
      </c>
      <c r="E5500" s="9" t="s">
        <v>3289</v>
      </c>
      <c r="F5500" s="9" t="s">
        <v>341</v>
      </c>
      <c r="H5500" s="9"/>
    </row>
    <row r="5501" ht="14.25" customHeight="1">
      <c r="C5501" s="9" t="s">
        <v>1284</v>
      </c>
      <c r="D5501" s="9" t="s">
        <v>3292</v>
      </c>
      <c r="E5501" s="9" t="s">
        <v>3289</v>
      </c>
      <c r="F5501" s="9" t="s">
        <v>367</v>
      </c>
      <c r="H5501" s="9"/>
    </row>
    <row r="5502" ht="14.25" customHeight="1">
      <c r="C5502" s="9" t="s">
        <v>1284</v>
      </c>
      <c r="D5502" s="9" t="s">
        <v>3292</v>
      </c>
      <c r="E5502" s="9" t="s">
        <v>3289</v>
      </c>
      <c r="F5502" s="9" t="s">
        <v>529</v>
      </c>
      <c r="H5502" s="9"/>
    </row>
    <row r="5503" ht="14.25" customHeight="1">
      <c r="C5503" s="9" t="s">
        <v>1284</v>
      </c>
      <c r="D5503" s="9" t="s">
        <v>3292</v>
      </c>
      <c r="E5503" s="9" t="s">
        <v>3289</v>
      </c>
      <c r="F5503" s="9" t="s">
        <v>1435</v>
      </c>
      <c r="H5503" s="9"/>
    </row>
    <row r="5504" ht="14.25" customHeight="1">
      <c r="C5504" s="9" t="s">
        <v>1284</v>
      </c>
      <c r="D5504" s="9" t="s">
        <v>3292</v>
      </c>
      <c r="E5504" s="9" t="s">
        <v>3289</v>
      </c>
      <c r="F5504" s="9" t="s">
        <v>1437</v>
      </c>
      <c r="H5504" s="9"/>
    </row>
    <row r="5505" ht="14.25" customHeight="1">
      <c r="C5505" s="9" t="s">
        <v>1284</v>
      </c>
      <c r="D5505" s="9" t="s">
        <v>3292</v>
      </c>
      <c r="E5505" s="9" t="s">
        <v>3289</v>
      </c>
      <c r="F5505" s="9" t="s">
        <v>1436</v>
      </c>
      <c r="H5505" s="9"/>
    </row>
    <row r="5506" ht="14.25" customHeight="1">
      <c r="C5506" s="9" t="s">
        <v>1284</v>
      </c>
      <c r="D5506" s="9" t="s">
        <v>3292</v>
      </c>
      <c r="E5506" s="9" t="s">
        <v>3289</v>
      </c>
      <c r="F5506" s="9" t="s">
        <v>3134</v>
      </c>
      <c r="H5506" s="9"/>
    </row>
    <row r="5507" ht="14.25" customHeight="1">
      <c r="C5507" s="9" t="s">
        <v>1284</v>
      </c>
      <c r="D5507" s="9" t="s">
        <v>3292</v>
      </c>
      <c r="E5507" s="9" t="s">
        <v>3289</v>
      </c>
      <c r="F5507" s="9" t="s">
        <v>1434</v>
      </c>
      <c r="H5507" s="9"/>
    </row>
    <row r="5508" ht="14.25" customHeight="1">
      <c r="C5508" s="9" t="s">
        <v>1284</v>
      </c>
      <c r="D5508" s="9" t="s">
        <v>3292</v>
      </c>
      <c r="E5508" s="9" t="s">
        <v>3289</v>
      </c>
      <c r="F5508" s="9" t="s">
        <v>517</v>
      </c>
      <c r="H5508" s="9"/>
    </row>
    <row r="5509" ht="14.25" customHeight="1">
      <c r="C5509" s="9" t="s">
        <v>1284</v>
      </c>
      <c r="D5509" s="9" t="s">
        <v>3292</v>
      </c>
      <c r="E5509" s="9" t="s">
        <v>3289</v>
      </c>
      <c r="F5509" s="9" t="s">
        <v>507</v>
      </c>
      <c r="H5509" s="9"/>
    </row>
    <row r="5510" ht="14.25" customHeight="1">
      <c r="C5510" s="9" t="s">
        <v>1284</v>
      </c>
      <c r="D5510" s="9" t="s">
        <v>3292</v>
      </c>
      <c r="E5510" s="9" t="s">
        <v>3289</v>
      </c>
      <c r="F5510" s="9" t="s">
        <v>1441</v>
      </c>
      <c r="H5510" s="9"/>
    </row>
    <row r="5511" ht="14.25" customHeight="1">
      <c r="C5511" s="9" t="s">
        <v>1284</v>
      </c>
      <c r="D5511" s="9" t="s">
        <v>3292</v>
      </c>
      <c r="E5511" s="9" t="s">
        <v>3289</v>
      </c>
      <c r="F5511" s="9" t="s">
        <v>1438</v>
      </c>
      <c r="H5511" s="9"/>
    </row>
    <row r="5512" ht="14.25" customHeight="1">
      <c r="C5512" s="9" t="s">
        <v>1284</v>
      </c>
      <c r="D5512" s="9" t="s">
        <v>3293</v>
      </c>
      <c r="E5512" s="9" t="s">
        <v>3289</v>
      </c>
      <c r="F5512" s="9" t="s">
        <v>1439</v>
      </c>
      <c r="H5512" s="9"/>
    </row>
    <row r="5513" ht="14.25" customHeight="1">
      <c r="C5513" s="9" t="s">
        <v>1284</v>
      </c>
      <c r="D5513" s="9" t="s">
        <v>3293</v>
      </c>
      <c r="E5513" s="9" t="s">
        <v>3289</v>
      </c>
      <c r="F5513" s="9" t="s">
        <v>3132</v>
      </c>
      <c r="H5513" s="9"/>
    </row>
    <row r="5514" ht="14.25" customHeight="1">
      <c r="C5514" s="9" t="s">
        <v>1284</v>
      </c>
      <c r="D5514" s="9" t="s">
        <v>3293</v>
      </c>
      <c r="E5514" s="9" t="s">
        <v>3289</v>
      </c>
      <c r="F5514" s="9" t="s">
        <v>1440</v>
      </c>
      <c r="H5514" s="9"/>
    </row>
    <row r="5515" ht="14.25" customHeight="1">
      <c r="C5515" s="9" t="s">
        <v>1284</v>
      </c>
      <c r="D5515" s="9" t="s">
        <v>3293</v>
      </c>
      <c r="E5515" s="9" t="s">
        <v>3289</v>
      </c>
      <c r="F5515" s="9" t="s">
        <v>482</v>
      </c>
      <c r="H5515" s="9"/>
    </row>
    <row r="5516" ht="14.25" customHeight="1">
      <c r="C5516" s="9" t="s">
        <v>1284</v>
      </c>
      <c r="D5516" s="9" t="s">
        <v>3293</v>
      </c>
      <c r="E5516" s="9" t="s">
        <v>3289</v>
      </c>
      <c r="F5516" s="9" t="s">
        <v>3133</v>
      </c>
      <c r="H5516" s="9"/>
    </row>
    <row r="5517" ht="14.25" customHeight="1">
      <c r="C5517" s="9" t="s">
        <v>1284</v>
      </c>
      <c r="D5517" s="9" t="s">
        <v>3293</v>
      </c>
      <c r="E5517" s="9" t="s">
        <v>3289</v>
      </c>
      <c r="F5517" s="9" t="s">
        <v>341</v>
      </c>
      <c r="H5517" s="9"/>
    </row>
    <row r="5518" ht="14.25" customHeight="1">
      <c r="C5518" s="9" t="s">
        <v>1284</v>
      </c>
      <c r="D5518" s="9" t="s">
        <v>3293</v>
      </c>
      <c r="E5518" s="9" t="s">
        <v>3289</v>
      </c>
      <c r="F5518" s="9" t="s">
        <v>367</v>
      </c>
      <c r="H5518" s="9"/>
    </row>
    <row r="5519" ht="14.25" customHeight="1">
      <c r="C5519" s="9" t="s">
        <v>1284</v>
      </c>
      <c r="D5519" s="9" t="s">
        <v>3293</v>
      </c>
      <c r="E5519" s="9" t="s">
        <v>3289</v>
      </c>
      <c r="F5519" s="9" t="s">
        <v>529</v>
      </c>
      <c r="H5519" s="9"/>
    </row>
    <row r="5520" ht="14.25" customHeight="1">
      <c r="C5520" s="9" t="s">
        <v>1284</v>
      </c>
      <c r="D5520" s="9" t="s">
        <v>3293</v>
      </c>
      <c r="E5520" s="9" t="s">
        <v>3289</v>
      </c>
      <c r="F5520" s="9" t="s">
        <v>1435</v>
      </c>
      <c r="H5520" s="9"/>
    </row>
    <row r="5521" ht="14.25" customHeight="1">
      <c r="C5521" s="9" t="s">
        <v>1284</v>
      </c>
      <c r="D5521" s="9" t="s">
        <v>3293</v>
      </c>
      <c r="E5521" s="9" t="s">
        <v>3289</v>
      </c>
      <c r="F5521" s="9" t="s">
        <v>1437</v>
      </c>
      <c r="H5521" s="9"/>
    </row>
    <row r="5522" ht="14.25" customHeight="1">
      <c r="C5522" s="9" t="s">
        <v>1284</v>
      </c>
      <c r="D5522" s="9" t="s">
        <v>3293</v>
      </c>
      <c r="E5522" s="9" t="s">
        <v>3289</v>
      </c>
      <c r="F5522" s="9" t="s">
        <v>1436</v>
      </c>
      <c r="H5522" s="9"/>
    </row>
    <row r="5523" ht="14.25" customHeight="1">
      <c r="C5523" s="9" t="s">
        <v>1284</v>
      </c>
      <c r="D5523" s="9" t="s">
        <v>3293</v>
      </c>
      <c r="E5523" s="9" t="s">
        <v>3289</v>
      </c>
      <c r="F5523" s="9" t="s">
        <v>3134</v>
      </c>
      <c r="H5523" s="9"/>
    </row>
    <row r="5524" ht="14.25" customHeight="1">
      <c r="C5524" s="9" t="s">
        <v>1284</v>
      </c>
      <c r="D5524" s="9" t="s">
        <v>3293</v>
      </c>
      <c r="E5524" s="9" t="s">
        <v>3289</v>
      </c>
      <c r="F5524" s="9" t="s">
        <v>1434</v>
      </c>
      <c r="H5524" s="9"/>
    </row>
    <row r="5525" ht="14.25" customHeight="1">
      <c r="C5525" s="9" t="s">
        <v>1284</v>
      </c>
      <c r="D5525" s="9" t="s">
        <v>3293</v>
      </c>
      <c r="E5525" s="9" t="s">
        <v>3289</v>
      </c>
      <c r="F5525" s="9" t="s">
        <v>517</v>
      </c>
      <c r="H5525" s="9"/>
    </row>
    <row r="5526" ht="14.25" customHeight="1">
      <c r="C5526" s="9" t="s">
        <v>1284</v>
      </c>
      <c r="D5526" s="9" t="s">
        <v>3293</v>
      </c>
      <c r="E5526" s="9" t="s">
        <v>3289</v>
      </c>
      <c r="F5526" s="9" t="s">
        <v>507</v>
      </c>
      <c r="H5526" s="9"/>
    </row>
    <row r="5527" ht="14.25" customHeight="1">
      <c r="C5527" s="9" t="s">
        <v>1284</v>
      </c>
      <c r="D5527" s="9" t="s">
        <v>3293</v>
      </c>
      <c r="E5527" s="9" t="s">
        <v>3289</v>
      </c>
      <c r="F5527" s="9" t="s">
        <v>1441</v>
      </c>
      <c r="H5527" s="9"/>
    </row>
    <row r="5528" ht="14.25" customHeight="1">
      <c r="C5528" s="9" t="s">
        <v>1284</v>
      </c>
      <c r="D5528" s="9" t="s">
        <v>3293</v>
      </c>
      <c r="E5528" s="9" t="s">
        <v>3289</v>
      </c>
      <c r="F5528" s="9" t="s">
        <v>1438</v>
      </c>
      <c r="H5528" s="9"/>
    </row>
    <row r="5529" ht="14.25" customHeight="1">
      <c r="C5529" s="9" t="s">
        <v>1284</v>
      </c>
      <c r="D5529" s="9" t="s">
        <v>3294</v>
      </c>
      <c r="E5529" s="9" t="s">
        <v>3289</v>
      </c>
      <c r="F5529" s="9" t="s">
        <v>1439</v>
      </c>
      <c r="H5529" s="9"/>
    </row>
    <row r="5530" ht="14.25" customHeight="1">
      <c r="C5530" s="9" t="s">
        <v>1284</v>
      </c>
      <c r="D5530" s="9" t="s">
        <v>3294</v>
      </c>
      <c r="E5530" s="9" t="s">
        <v>3289</v>
      </c>
      <c r="F5530" s="9" t="s">
        <v>3132</v>
      </c>
      <c r="H5530" s="9"/>
    </row>
    <row r="5531" ht="14.25" customHeight="1">
      <c r="C5531" s="9" t="s">
        <v>1284</v>
      </c>
      <c r="D5531" s="9" t="s">
        <v>3294</v>
      </c>
      <c r="E5531" s="9" t="s">
        <v>3289</v>
      </c>
      <c r="F5531" s="9" t="s">
        <v>1440</v>
      </c>
      <c r="H5531" s="9"/>
    </row>
    <row r="5532" ht="14.25" customHeight="1">
      <c r="C5532" s="9" t="s">
        <v>1284</v>
      </c>
      <c r="D5532" s="9" t="s">
        <v>3294</v>
      </c>
      <c r="E5532" s="9" t="s">
        <v>3289</v>
      </c>
      <c r="F5532" s="9" t="s">
        <v>482</v>
      </c>
      <c r="H5532" s="9"/>
    </row>
    <row r="5533" ht="14.25" customHeight="1">
      <c r="C5533" s="9" t="s">
        <v>1284</v>
      </c>
      <c r="D5533" s="9" t="s">
        <v>3294</v>
      </c>
      <c r="E5533" s="9" t="s">
        <v>3289</v>
      </c>
      <c r="F5533" s="9" t="s">
        <v>3133</v>
      </c>
      <c r="H5533" s="9"/>
    </row>
    <row r="5534" ht="14.25" customHeight="1">
      <c r="C5534" s="9" t="s">
        <v>1284</v>
      </c>
      <c r="D5534" s="9" t="s">
        <v>3294</v>
      </c>
      <c r="E5534" s="9" t="s">
        <v>3289</v>
      </c>
      <c r="F5534" s="9" t="s">
        <v>341</v>
      </c>
      <c r="H5534" s="9"/>
    </row>
    <row r="5535" ht="14.25" customHeight="1">
      <c r="C5535" s="9" t="s">
        <v>1284</v>
      </c>
      <c r="D5535" s="9" t="s">
        <v>3294</v>
      </c>
      <c r="E5535" s="9" t="s">
        <v>3289</v>
      </c>
      <c r="F5535" s="9" t="s">
        <v>367</v>
      </c>
      <c r="H5535" s="9"/>
    </row>
    <row r="5536" ht="14.25" customHeight="1">
      <c r="C5536" s="9" t="s">
        <v>1284</v>
      </c>
      <c r="D5536" s="9" t="s">
        <v>3294</v>
      </c>
      <c r="E5536" s="9" t="s">
        <v>3289</v>
      </c>
      <c r="F5536" s="9" t="s">
        <v>529</v>
      </c>
      <c r="H5536" s="9"/>
    </row>
    <row r="5537" ht="14.25" customHeight="1">
      <c r="C5537" s="9" t="s">
        <v>1284</v>
      </c>
      <c r="D5537" s="9" t="s">
        <v>3294</v>
      </c>
      <c r="E5537" s="9" t="s">
        <v>3289</v>
      </c>
      <c r="F5537" s="9" t="s">
        <v>1435</v>
      </c>
      <c r="H5537" s="9"/>
    </row>
    <row r="5538" ht="14.25" customHeight="1">
      <c r="C5538" s="9" t="s">
        <v>1284</v>
      </c>
      <c r="D5538" s="9" t="s">
        <v>3294</v>
      </c>
      <c r="E5538" s="9" t="s">
        <v>3289</v>
      </c>
      <c r="F5538" s="9" t="s">
        <v>1437</v>
      </c>
      <c r="H5538" s="9"/>
    </row>
    <row r="5539" ht="14.25" customHeight="1">
      <c r="C5539" s="9" t="s">
        <v>1284</v>
      </c>
      <c r="D5539" s="9" t="s">
        <v>3294</v>
      </c>
      <c r="E5539" s="9" t="s">
        <v>3289</v>
      </c>
      <c r="F5539" s="9" t="s">
        <v>1436</v>
      </c>
      <c r="H5539" s="9"/>
    </row>
    <row r="5540" ht="14.25" customHeight="1">
      <c r="C5540" s="9" t="s">
        <v>1284</v>
      </c>
      <c r="D5540" s="9" t="s">
        <v>3294</v>
      </c>
      <c r="E5540" s="9" t="s">
        <v>3289</v>
      </c>
      <c r="F5540" s="9" t="s">
        <v>3134</v>
      </c>
      <c r="H5540" s="9"/>
    </row>
    <row r="5541" ht="14.25" customHeight="1">
      <c r="C5541" s="9" t="s">
        <v>1284</v>
      </c>
      <c r="D5541" s="9" t="s">
        <v>3294</v>
      </c>
      <c r="E5541" s="9" t="s">
        <v>3289</v>
      </c>
      <c r="F5541" s="9" t="s">
        <v>1434</v>
      </c>
      <c r="H5541" s="9"/>
    </row>
    <row r="5542" ht="14.25" customHeight="1">
      <c r="C5542" s="9" t="s">
        <v>1284</v>
      </c>
      <c r="D5542" s="9" t="s">
        <v>3294</v>
      </c>
      <c r="E5542" s="9" t="s">
        <v>3289</v>
      </c>
      <c r="F5542" s="9" t="s">
        <v>517</v>
      </c>
      <c r="H5542" s="9"/>
    </row>
    <row r="5543" ht="14.25" customHeight="1">
      <c r="C5543" s="9" t="s">
        <v>1284</v>
      </c>
      <c r="D5543" s="9" t="s">
        <v>3294</v>
      </c>
      <c r="E5543" s="9" t="s">
        <v>3289</v>
      </c>
      <c r="F5543" s="9" t="s">
        <v>507</v>
      </c>
      <c r="H5543" s="9"/>
    </row>
    <row r="5544" ht="14.25" customHeight="1">
      <c r="C5544" s="9" t="s">
        <v>1284</v>
      </c>
      <c r="D5544" s="9" t="s">
        <v>3294</v>
      </c>
      <c r="E5544" s="9" t="s">
        <v>3289</v>
      </c>
      <c r="F5544" s="9" t="s">
        <v>1441</v>
      </c>
      <c r="H5544" s="9"/>
    </row>
    <row r="5545" ht="14.25" customHeight="1">
      <c r="C5545" s="9" t="s">
        <v>1284</v>
      </c>
      <c r="D5545" s="9" t="s">
        <v>3294</v>
      </c>
      <c r="E5545" s="9" t="s">
        <v>3289</v>
      </c>
      <c r="F5545" s="9" t="s">
        <v>1438</v>
      </c>
      <c r="H5545" s="9"/>
    </row>
    <row r="5546" ht="14.25" customHeight="1">
      <c r="C5546" s="9" t="s">
        <v>1284</v>
      </c>
      <c r="D5546" s="9" t="s">
        <v>3295</v>
      </c>
      <c r="E5546" s="9" t="s">
        <v>3289</v>
      </c>
      <c r="F5546" s="9" t="s">
        <v>1439</v>
      </c>
      <c r="H5546" s="9"/>
    </row>
    <row r="5547" ht="14.25" customHeight="1">
      <c r="C5547" s="9" t="s">
        <v>1284</v>
      </c>
      <c r="D5547" s="9" t="s">
        <v>3295</v>
      </c>
      <c r="E5547" s="9" t="s">
        <v>3289</v>
      </c>
      <c r="F5547" s="9" t="s">
        <v>3132</v>
      </c>
      <c r="H5547" s="9"/>
    </row>
    <row r="5548" ht="14.25" customHeight="1">
      <c r="C5548" s="9" t="s">
        <v>1284</v>
      </c>
      <c r="D5548" s="9" t="s">
        <v>3295</v>
      </c>
      <c r="E5548" s="9" t="s">
        <v>3289</v>
      </c>
      <c r="F5548" s="9" t="s">
        <v>1440</v>
      </c>
      <c r="H5548" s="9"/>
    </row>
    <row r="5549" ht="14.25" customHeight="1">
      <c r="C5549" s="9" t="s">
        <v>1284</v>
      </c>
      <c r="D5549" s="9" t="s">
        <v>3295</v>
      </c>
      <c r="E5549" s="9" t="s">
        <v>3289</v>
      </c>
      <c r="F5549" s="9" t="s">
        <v>482</v>
      </c>
      <c r="H5549" s="9"/>
    </row>
    <row r="5550" ht="14.25" customHeight="1">
      <c r="C5550" s="9" t="s">
        <v>1284</v>
      </c>
      <c r="D5550" s="9" t="s">
        <v>3295</v>
      </c>
      <c r="E5550" s="9" t="s">
        <v>3289</v>
      </c>
      <c r="F5550" s="9" t="s">
        <v>3133</v>
      </c>
      <c r="H5550" s="9"/>
    </row>
    <row r="5551" ht="14.25" customHeight="1">
      <c r="C5551" s="9" t="s">
        <v>1284</v>
      </c>
      <c r="D5551" s="9" t="s">
        <v>3295</v>
      </c>
      <c r="E5551" s="9" t="s">
        <v>3289</v>
      </c>
      <c r="F5551" s="9" t="s">
        <v>341</v>
      </c>
      <c r="H5551" s="9"/>
    </row>
    <row r="5552" ht="14.25" customHeight="1">
      <c r="C5552" s="9" t="s">
        <v>1284</v>
      </c>
      <c r="D5552" s="9" t="s">
        <v>3295</v>
      </c>
      <c r="E5552" s="9" t="s">
        <v>3289</v>
      </c>
      <c r="F5552" s="9" t="s">
        <v>367</v>
      </c>
      <c r="H5552" s="9"/>
    </row>
    <row r="5553" ht="14.25" customHeight="1">
      <c r="C5553" s="9" t="s">
        <v>1284</v>
      </c>
      <c r="D5553" s="9" t="s">
        <v>3295</v>
      </c>
      <c r="E5553" s="9" t="s">
        <v>3289</v>
      </c>
      <c r="F5553" s="9" t="s">
        <v>529</v>
      </c>
      <c r="H5553" s="9"/>
    </row>
    <row r="5554" ht="14.25" customHeight="1">
      <c r="C5554" s="9" t="s">
        <v>1284</v>
      </c>
      <c r="D5554" s="9" t="s">
        <v>3295</v>
      </c>
      <c r="E5554" s="9" t="s">
        <v>3289</v>
      </c>
      <c r="F5554" s="9" t="s">
        <v>1435</v>
      </c>
      <c r="H5554" s="9"/>
    </row>
    <row r="5555" ht="14.25" customHeight="1">
      <c r="C5555" s="9" t="s">
        <v>1284</v>
      </c>
      <c r="D5555" s="9" t="s">
        <v>3295</v>
      </c>
      <c r="E5555" s="9" t="s">
        <v>3289</v>
      </c>
      <c r="F5555" s="9" t="s">
        <v>1437</v>
      </c>
      <c r="H5555" s="9"/>
    </row>
    <row r="5556" ht="14.25" customHeight="1">
      <c r="C5556" s="9" t="s">
        <v>1284</v>
      </c>
      <c r="D5556" s="9" t="s">
        <v>3295</v>
      </c>
      <c r="E5556" s="9" t="s">
        <v>3289</v>
      </c>
      <c r="F5556" s="9" t="s">
        <v>1436</v>
      </c>
      <c r="H5556" s="9"/>
    </row>
    <row r="5557" ht="14.25" customHeight="1">
      <c r="C5557" s="9" t="s">
        <v>1284</v>
      </c>
      <c r="D5557" s="9" t="s">
        <v>3295</v>
      </c>
      <c r="E5557" s="9" t="s">
        <v>3289</v>
      </c>
      <c r="F5557" s="9" t="s">
        <v>3134</v>
      </c>
      <c r="H5557" s="9"/>
    </row>
    <row r="5558" ht="14.25" customHeight="1">
      <c r="C5558" s="9" t="s">
        <v>1284</v>
      </c>
      <c r="D5558" s="9" t="s">
        <v>3295</v>
      </c>
      <c r="E5558" s="9" t="s">
        <v>3289</v>
      </c>
      <c r="F5558" s="9" t="s">
        <v>1434</v>
      </c>
      <c r="H5558" s="9"/>
    </row>
    <row r="5559" ht="14.25" customHeight="1">
      <c r="C5559" s="9" t="s">
        <v>1284</v>
      </c>
      <c r="D5559" s="9" t="s">
        <v>3295</v>
      </c>
      <c r="E5559" s="9" t="s">
        <v>3289</v>
      </c>
      <c r="F5559" s="9" t="s">
        <v>517</v>
      </c>
      <c r="H5559" s="9"/>
    </row>
    <row r="5560" ht="14.25" customHeight="1">
      <c r="C5560" s="9" t="s">
        <v>1284</v>
      </c>
      <c r="D5560" s="9" t="s">
        <v>3295</v>
      </c>
      <c r="E5560" s="9" t="s">
        <v>3289</v>
      </c>
      <c r="F5560" s="9" t="s">
        <v>507</v>
      </c>
      <c r="H5560" s="9"/>
    </row>
    <row r="5561" ht="14.25" customHeight="1">
      <c r="C5561" s="9" t="s">
        <v>1284</v>
      </c>
      <c r="D5561" s="9" t="s">
        <v>3295</v>
      </c>
      <c r="E5561" s="9" t="s">
        <v>3289</v>
      </c>
      <c r="F5561" s="9" t="s">
        <v>1441</v>
      </c>
      <c r="H5561" s="9"/>
    </row>
    <row r="5562" ht="14.25" customHeight="1">
      <c r="C5562" s="9" t="s">
        <v>1284</v>
      </c>
      <c r="D5562" s="9" t="s">
        <v>3295</v>
      </c>
      <c r="E5562" s="9" t="s">
        <v>3289</v>
      </c>
      <c r="F5562" s="9" t="s">
        <v>1438</v>
      </c>
      <c r="H5562" s="9"/>
    </row>
    <row r="5563" ht="14.25" customHeight="1">
      <c r="C5563" s="9" t="s">
        <v>1284</v>
      </c>
      <c r="D5563" s="9" t="s">
        <v>3296</v>
      </c>
      <c r="E5563" s="9" t="s">
        <v>3289</v>
      </c>
      <c r="F5563" s="9" t="s">
        <v>1439</v>
      </c>
      <c r="H5563" s="9"/>
    </row>
    <row r="5564" ht="14.25" customHeight="1">
      <c r="C5564" s="9" t="s">
        <v>1284</v>
      </c>
      <c r="D5564" s="9" t="s">
        <v>3296</v>
      </c>
      <c r="E5564" s="9" t="s">
        <v>3289</v>
      </c>
      <c r="F5564" s="9" t="s">
        <v>3132</v>
      </c>
      <c r="H5564" s="9"/>
    </row>
    <row r="5565" ht="14.25" customHeight="1">
      <c r="C5565" s="9" t="s">
        <v>1284</v>
      </c>
      <c r="D5565" s="9" t="s">
        <v>3296</v>
      </c>
      <c r="E5565" s="9" t="s">
        <v>3289</v>
      </c>
      <c r="F5565" s="9" t="s">
        <v>1440</v>
      </c>
      <c r="H5565" s="9"/>
    </row>
    <row r="5566" ht="14.25" customHeight="1">
      <c r="C5566" s="9" t="s">
        <v>1284</v>
      </c>
      <c r="D5566" s="9" t="s">
        <v>3296</v>
      </c>
      <c r="E5566" s="9" t="s">
        <v>3289</v>
      </c>
      <c r="F5566" s="9" t="s">
        <v>482</v>
      </c>
      <c r="H5566" s="9"/>
    </row>
    <row r="5567" ht="14.25" customHeight="1">
      <c r="C5567" s="9" t="s">
        <v>1284</v>
      </c>
      <c r="D5567" s="9" t="s">
        <v>3296</v>
      </c>
      <c r="E5567" s="9" t="s">
        <v>3289</v>
      </c>
      <c r="F5567" s="9" t="s">
        <v>3133</v>
      </c>
      <c r="H5567" s="9"/>
    </row>
    <row r="5568" ht="14.25" customHeight="1">
      <c r="C5568" s="9" t="s">
        <v>1284</v>
      </c>
      <c r="D5568" s="9" t="s">
        <v>3296</v>
      </c>
      <c r="E5568" s="9" t="s">
        <v>3289</v>
      </c>
      <c r="F5568" s="9" t="s">
        <v>341</v>
      </c>
      <c r="H5568" s="9"/>
    </row>
    <row r="5569" ht="14.25" customHeight="1">
      <c r="C5569" s="9" t="s">
        <v>1284</v>
      </c>
      <c r="D5569" s="9" t="s">
        <v>3296</v>
      </c>
      <c r="E5569" s="9" t="s">
        <v>3289</v>
      </c>
      <c r="F5569" s="9" t="s">
        <v>367</v>
      </c>
      <c r="H5569" s="9"/>
    </row>
    <row r="5570" ht="14.25" customHeight="1">
      <c r="C5570" s="9" t="s">
        <v>1284</v>
      </c>
      <c r="D5570" s="9" t="s">
        <v>3296</v>
      </c>
      <c r="E5570" s="9" t="s">
        <v>3289</v>
      </c>
      <c r="F5570" s="9" t="s">
        <v>529</v>
      </c>
      <c r="H5570" s="9"/>
    </row>
    <row r="5571" ht="14.25" customHeight="1">
      <c r="C5571" s="9" t="s">
        <v>1284</v>
      </c>
      <c r="D5571" s="9" t="s">
        <v>3296</v>
      </c>
      <c r="E5571" s="9" t="s">
        <v>3289</v>
      </c>
      <c r="F5571" s="9" t="s">
        <v>1435</v>
      </c>
      <c r="H5571" s="9"/>
    </row>
    <row r="5572" ht="14.25" customHeight="1">
      <c r="C5572" s="9" t="s">
        <v>1284</v>
      </c>
      <c r="D5572" s="9" t="s">
        <v>3296</v>
      </c>
      <c r="E5572" s="9" t="s">
        <v>3289</v>
      </c>
      <c r="F5572" s="9" t="s">
        <v>1437</v>
      </c>
      <c r="H5572" s="9"/>
    </row>
    <row r="5573" ht="14.25" customHeight="1">
      <c r="C5573" s="9" t="s">
        <v>1284</v>
      </c>
      <c r="D5573" s="9" t="s">
        <v>3296</v>
      </c>
      <c r="E5573" s="9" t="s">
        <v>3289</v>
      </c>
      <c r="F5573" s="9" t="s">
        <v>1436</v>
      </c>
      <c r="H5573" s="9"/>
    </row>
    <row r="5574" ht="14.25" customHeight="1">
      <c r="C5574" s="9" t="s">
        <v>1284</v>
      </c>
      <c r="D5574" s="9" t="s">
        <v>3296</v>
      </c>
      <c r="E5574" s="9" t="s">
        <v>3289</v>
      </c>
      <c r="F5574" s="9" t="s">
        <v>3134</v>
      </c>
      <c r="H5574" s="9"/>
    </row>
    <row r="5575" ht="14.25" customHeight="1">
      <c r="C5575" s="9" t="s">
        <v>1284</v>
      </c>
      <c r="D5575" s="9" t="s">
        <v>3296</v>
      </c>
      <c r="E5575" s="9" t="s">
        <v>3289</v>
      </c>
      <c r="F5575" s="9" t="s">
        <v>1434</v>
      </c>
      <c r="H5575" s="9"/>
    </row>
    <row r="5576" ht="14.25" customHeight="1">
      <c r="C5576" s="9" t="s">
        <v>1284</v>
      </c>
      <c r="D5576" s="9" t="s">
        <v>3296</v>
      </c>
      <c r="E5576" s="9" t="s">
        <v>3289</v>
      </c>
      <c r="F5576" s="9" t="s">
        <v>517</v>
      </c>
      <c r="H5576" s="9"/>
    </row>
    <row r="5577" ht="14.25" customHeight="1">
      <c r="C5577" s="9" t="s">
        <v>1284</v>
      </c>
      <c r="D5577" s="9" t="s">
        <v>3296</v>
      </c>
      <c r="E5577" s="9" t="s">
        <v>3289</v>
      </c>
      <c r="F5577" s="9" t="s">
        <v>507</v>
      </c>
      <c r="H5577" s="9"/>
    </row>
    <row r="5578" ht="14.25" customHeight="1">
      <c r="C5578" s="9" t="s">
        <v>1284</v>
      </c>
      <c r="D5578" s="9" t="s">
        <v>3296</v>
      </c>
      <c r="E5578" s="9" t="s">
        <v>3289</v>
      </c>
      <c r="F5578" s="9" t="s">
        <v>1441</v>
      </c>
      <c r="H5578" s="9"/>
    </row>
    <row r="5579" ht="14.25" customHeight="1">
      <c r="C5579" s="9" t="s">
        <v>1284</v>
      </c>
      <c r="D5579" s="9" t="s">
        <v>3296</v>
      </c>
      <c r="E5579" s="9" t="s">
        <v>3289</v>
      </c>
      <c r="F5579" s="9" t="s">
        <v>1438</v>
      </c>
      <c r="H5579" s="9"/>
    </row>
    <row r="5580" ht="14.25" customHeight="1">
      <c r="C5580" s="9" t="s">
        <v>1306</v>
      </c>
      <c r="D5580" s="9" t="s">
        <v>1306</v>
      </c>
      <c r="E5580" s="9" t="s">
        <v>3289</v>
      </c>
      <c r="F5580" s="9" t="s">
        <v>1439</v>
      </c>
      <c r="H5580" s="9"/>
    </row>
    <row r="5581" ht="14.25" customHeight="1">
      <c r="C5581" s="9" t="s">
        <v>1306</v>
      </c>
      <c r="D5581" s="9" t="s">
        <v>1306</v>
      </c>
      <c r="E5581" s="9" t="s">
        <v>3289</v>
      </c>
      <c r="F5581" s="9" t="s">
        <v>3132</v>
      </c>
      <c r="H5581" s="9"/>
    </row>
    <row r="5582" ht="14.25" customHeight="1">
      <c r="C5582" s="9" t="s">
        <v>1306</v>
      </c>
      <c r="D5582" s="9" t="s">
        <v>1306</v>
      </c>
      <c r="E5582" s="9" t="s">
        <v>3289</v>
      </c>
      <c r="F5582" s="9" t="s">
        <v>1440</v>
      </c>
      <c r="H5582" s="9"/>
    </row>
    <row r="5583" ht="14.25" customHeight="1">
      <c r="C5583" s="9" t="s">
        <v>1306</v>
      </c>
      <c r="D5583" s="9" t="s">
        <v>1306</v>
      </c>
      <c r="E5583" s="9" t="s">
        <v>3289</v>
      </c>
      <c r="F5583" s="9" t="s">
        <v>482</v>
      </c>
      <c r="H5583" s="9"/>
    </row>
    <row r="5584" ht="14.25" customHeight="1">
      <c r="C5584" s="9" t="s">
        <v>1306</v>
      </c>
      <c r="D5584" s="9" t="s">
        <v>1306</v>
      </c>
      <c r="E5584" s="9" t="s">
        <v>3289</v>
      </c>
      <c r="F5584" s="9" t="s">
        <v>3133</v>
      </c>
      <c r="H5584" s="9"/>
    </row>
    <row r="5585" ht="14.25" customHeight="1">
      <c r="C5585" s="9" t="s">
        <v>1306</v>
      </c>
      <c r="D5585" s="9" t="s">
        <v>1306</v>
      </c>
      <c r="E5585" s="9" t="s">
        <v>3289</v>
      </c>
      <c r="F5585" s="9" t="s">
        <v>341</v>
      </c>
      <c r="H5585" s="9"/>
    </row>
    <row r="5586" ht="14.25" customHeight="1">
      <c r="C5586" s="9" t="s">
        <v>1306</v>
      </c>
      <c r="D5586" s="9" t="s">
        <v>1306</v>
      </c>
      <c r="E5586" s="9" t="s">
        <v>3289</v>
      </c>
      <c r="F5586" s="9" t="s">
        <v>367</v>
      </c>
      <c r="H5586" s="9"/>
    </row>
    <row r="5587" ht="14.25" customHeight="1">
      <c r="C5587" s="9" t="s">
        <v>1306</v>
      </c>
      <c r="D5587" s="9" t="s">
        <v>1306</v>
      </c>
      <c r="E5587" s="9" t="s">
        <v>3289</v>
      </c>
      <c r="F5587" s="9" t="s">
        <v>529</v>
      </c>
      <c r="H5587" s="9"/>
    </row>
    <row r="5588" ht="14.25" customHeight="1">
      <c r="C5588" s="9" t="s">
        <v>1306</v>
      </c>
      <c r="D5588" s="9" t="s">
        <v>1306</v>
      </c>
      <c r="E5588" s="9" t="s">
        <v>3289</v>
      </c>
      <c r="F5588" s="9" t="s">
        <v>1435</v>
      </c>
      <c r="H5588" s="9"/>
    </row>
    <row r="5589" ht="14.25" customHeight="1">
      <c r="C5589" s="9" t="s">
        <v>1306</v>
      </c>
      <c r="D5589" s="9" t="s">
        <v>1306</v>
      </c>
      <c r="E5589" s="9" t="s">
        <v>3289</v>
      </c>
      <c r="F5589" s="9" t="s">
        <v>1437</v>
      </c>
      <c r="H5589" s="9"/>
    </row>
    <row r="5590" ht="14.25" customHeight="1">
      <c r="C5590" s="9" t="s">
        <v>1306</v>
      </c>
      <c r="D5590" s="9" t="s">
        <v>1306</v>
      </c>
      <c r="E5590" s="9" t="s">
        <v>3289</v>
      </c>
      <c r="F5590" s="9" t="s">
        <v>1436</v>
      </c>
      <c r="H5590" s="9"/>
    </row>
    <row r="5591" ht="14.25" customHeight="1">
      <c r="C5591" s="9" t="s">
        <v>1306</v>
      </c>
      <c r="D5591" s="9" t="s">
        <v>1306</v>
      </c>
      <c r="E5591" s="9" t="s">
        <v>3289</v>
      </c>
      <c r="F5591" s="9" t="s">
        <v>3134</v>
      </c>
      <c r="H5591" s="9"/>
    </row>
    <row r="5592" ht="14.25" customHeight="1">
      <c r="C5592" s="9" t="s">
        <v>1306</v>
      </c>
      <c r="D5592" s="9" t="s">
        <v>1306</v>
      </c>
      <c r="E5592" s="9" t="s">
        <v>3289</v>
      </c>
      <c r="F5592" s="9" t="s">
        <v>1434</v>
      </c>
      <c r="H5592" s="9"/>
    </row>
    <row r="5593" ht="14.25" customHeight="1">
      <c r="C5593" s="9" t="s">
        <v>1306</v>
      </c>
      <c r="D5593" s="9" t="s">
        <v>1306</v>
      </c>
      <c r="E5593" s="9" t="s">
        <v>3289</v>
      </c>
      <c r="F5593" s="9" t="s">
        <v>517</v>
      </c>
      <c r="H5593" s="9"/>
    </row>
    <row r="5594" ht="14.25" customHeight="1">
      <c r="C5594" s="9" t="s">
        <v>1306</v>
      </c>
      <c r="D5594" s="9" t="s">
        <v>1306</v>
      </c>
      <c r="E5594" s="9" t="s">
        <v>3289</v>
      </c>
      <c r="F5594" s="9" t="s">
        <v>507</v>
      </c>
      <c r="H5594" s="9"/>
    </row>
    <row r="5595" ht="14.25" customHeight="1">
      <c r="C5595" s="9" t="s">
        <v>1306</v>
      </c>
      <c r="D5595" s="9" t="s">
        <v>1306</v>
      </c>
      <c r="E5595" s="9" t="s">
        <v>3289</v>
      </c>
      <c r="F5595" s="9" t="s">
        <v>1441</v>
      </c>
      <c r="H5595" s="9"/>
    </row>
    <row r="5596" ht="14.25" customHeight="1">
      <c r="C5596" s="9" t="s">
        <v>1306</v>
      </c>
      <c r="D5596" s="9" t="s">
        <v>1306</v>
      </c>
      <c r="E5596" s="9" t="s">
        <v>3289</v>
      </c>
      <c r="F5596" s="9" t="s">
        <v>1438</v>
      </c>
      <c r="H5596" s="9"/>
    </row>
    <row r="5597" ht="14.25" customHeight="1">
      <c r="C5597" s="9" t="s">
        <v>3297</v>
      </c>
      <c r="D5597" s="9" t="s">
        <v>3298</v>
      </c>
      <c r="E5597" s="9" t="s">
        <v>3299</v>
      </c>
      <c r="F5597" s="9" t="s">
        <v>3300</v>
      </c>
      <c r="H5597" s="9"/>
    </row>
    <row r="5598" ht="14.25" customHeight="1">
      <c r="C5598" s="9" t="s">
        <v>3297</v>
      </c>
      <c r="D5598" s="9" t="s">
        <v>3298</v>
      </c>
      <c r="E5598" s="9" t="s">
        <v>3299</v>
      </c>
      <c r="F5598" s="9" t="s">
        <v>3301</v>
      </c>
      <c r="H5598" s="9"/>
    </row>
    <row r="5599" ht="14.25" customHeight="1">
      <c r="C5599" s="9" t="s">
        <v>3297</v>
      </c>
      <c r="D5599" s="9" t="s">
        <v>3298</v>
      </c>
      <c r="E5599" s="9" t="s">
        <v>3299</v>
      </c>
      <c r="F5599" s="9" t="s">
        <v>3302</v>
      </c>
      <c r="H5599" s="9"/>
    </row>
    <row r="5600" ht="14.25" customHeight="1">
      <c r="C5600" s="9" t="s">
        <v>3297</v>
      </c>
      <c r="D5600" s="9" t="s">
        <v>3298</v>
      </c>
      <c r="E5600" s="9" t="s">
        <v>3299</v>
      </c>
      <c r="F5600" s="9" t="s">
        <v>3303</v>
      </c>
      <c r="H5600" s="9"/>
    </row>
    <row r="5601" ht="14.25" customHeight="1">
      <c r="C5601" s="9" t="s">
        <v>3297</v>
      </c>
      <c r="D5601" s="9" t="s">
        <v>3298</v>
      </c>
      <c r="E5601" s="9" t="s">
        <v>3299</v>
      </c>
      <c r="F5601" s="9" t="s">
        <v>3304</v>
      </c>
      <c r="H5601" s="9"/>
    </row>
    <row r="5602" ht="14.25" customHeight="1">
      <c r="C5602" s="9" t="s">
        <v>3297</v>
      </c>
      <c r="D5602" s="9" t="s">
        <v>3298</v>
      </c>
      <c r="E5602" s="9" t="s">
        <v>3299</v>
      </c>
      <c r="F5602" s="9" t="s">
        <v>3305</v>
      </c>
      <c r="H5602" s="9"/>
    </row>
    <row r="5603" ht="14.25" customHeight="1">
      <c r="C5603" s="9" t="s">
        <v>3297</v>
      </c>
      <c r="D5603" s="9" t="s">
        <v>3306</v>
      </c>
      <c r="E5603" s="9" t="s">
        <v>3299</v>
      </c>
      <c r="F5603" s="9" t="s">
        <v>3307</v>
      </c>
      <c r="H5603" s="9"/>
    </row>
    <row r="5604" ht="14.25" customHeight="1">
      <c r="C5604" s="9" t="s">
        <v>3297</v>
      </c>
      <c r="D5604" s="9" t="s">
        <v>3306</v>
      </c>
      <c r="E5604" s="9" t="s">
        <v>3299</v>
      </c>
      <c r="F5604" s="9" t="s">
        <v>3308</v>
      </c>
      <c r="H5604" s="9"/>
    </row>
    <row r="5605" ht="14.25" customHeight="1">
      <c r="C5605" s="9" t="s">
        <v>3297</v>
      </c>
      <c r="D5605" s="9" t="s">
        <v>3306</v>
      </c>
      <c r="E5605" s="9" t="s">
        <v>3299</v>
      </c>
      <c r="F5605" s="9" t="s">
        <v>3309</v>
      </c>
      <c r="H5605" s="9"/>
    </row>
    <row r="5606" ht="14.25" customHeight="1">
      <c r="C5606" s="9" t="s">
        <v>3297</v>
      </c>
      <c r="D5606" s="9" t="s">
        <v>3310</v>
      </c>
      <c r="E5606" s="9" t="s">
        <v>3299</v>
      </c>
      <c r="F5606" s="9" t="s">
        <v>3311</v>
      </c>
      <c r="H5606" s="9"/>
    </row>
    <row r="5607" ht="14.25" customHeight="1">
      <c r="C5607" s="9" t="s">
        <v>3297</v>
      </c>
      <c r="D5607" s="9" t="s">
        <v>3310</v>
      </c>
      <c r="E5607" s="9" t="s">
        <v>3299</v>
      </c>
      <c r="F5607" s="9" t="s">
        <v>3312</v>
      </c>
      <c r="H5607" s="9"/>
    </row>
    <row r="5608" ht="14.25" customHeight="1">
      <c r="C5608" s="9" t="s">
        <v>3297</v>
      </c>
      <c r="D5608" s="9" t="s">
        <v>3310</v>
      </c>
      <c r="E5608" s="9" t="s">
        <v>3299</v>
      </c>
      <c r="F5608" s="9" t="s">
        <v>3313</v>
      </c>
      <c r="H5608" s="9"/>
    </row>
    <row r="5609" ht="14.25" customHeight="1">
      <c r="C5609" s="9" t="s">
        <v>3297</v>
      </c>
      <c r="D5609" s="9" t="s">
        <v>3310</v>
      </c>
      <c r="E5609" s="9" t="s">
        <v>3299</v>
      </c>
      <c r="F5609" s="9" t="s">
        <v>3314</v>
      </c>
      <c r="H5609" s="9"/>
    </row>
    <row r="5610" ht="14.25" customHeight="1">
      <c r="C5610" s="9" t="s">
        <v>3315</v>
      </c>
      <c r="D5610" s="9" t="s">
        <v>3316</v>
      </c>
      <c r="E5610" s="9" t="s">
        <v>3299</v>
      </c>
      <c r="F5610" s="9" t="s">
        <v>3317</v>
      </c>
      <c r="H5610" s="9"/>
    </row>
    <row r="5611" ht="14.25" customHeight="1">
      <c r="C5611" s="9" t="s">
        <v>3315</v>
      </c>
      <c r="D5611" s="9" t="s">
        <v>3316</v>
      </c>
      <c r="E5611" s="9" t="s">
        <v>3299</v>
      </c>
      <c r="F5611" s="9" t="s">
        <v>3318</v>
      </c>
      <c r="H5611" s="9"/>
    </row>
    <row r="5612" ht="14.25" customHeight="1">
      <c r="C5612" s="9" t="s">
        <v>3315</v>
      </c>
      <c r="D5612" s="9" t="s">
        <v>3316</v>
      </c>
      <c r="E5612" s="9" t="s">
        <v>3299</v>
      </c>
      <c r="F5612" s="9" t="s">
        <v>3319</v>
      </c>
      <c r="H5612" s="9"/>
    </row>
    <row r="5613" ht="14.25" customHeight="1">
      <c r="C5613" s="9" t="s">
        <v>3320</v>
      </c>
      <c r="D5613" s="9" t="s">
        <v>3321</v>
      </c>
      <c r="E5613" s="9" t="s">
        <v>3299</v>
      </c>
      <c r="F5613" s="9" t="s">
        <v>3322</v>
      </c>
      <c r="H5613" s="9"/>
    </row>
    <row r="5614" ht="14.25" customHeight="1">
      <c r="C5614" s="9" t="s">
        <v>3320</v>
      </c>
      <c r="D5614" s="9" t="s">
        <v>3323</v>
      </c>
      <c r="E5614" s="9" t="s">
        <v>3299</v>
      </c>
      <c r="F5614" s="9" t="s">
        <v>3324</v>
      </c>
      <c r="H5614" s="9"/>
    </row>
    <row r="5615" ht="14.25" customHeight="1">
      <c r="C5615" s="9" t="s">
        <v>3320</v>
      </c>
      <c r="D5615" s="9" t="s">
        <v>3325</v>
      </c>
      <c r="E5615" s="9" t="s">
        <v>3299</v>
      </c>
      <c r="F5615" s="9" t="s">
        <v>3326</v>
      </c>
      <c r="H5615" s="9"/>
    </row>
    <row r="5616" ht="14.25" customHeight="1">
      <c r="C5616" s="9" t="s">
        <v>3320</v>
      </c>
      <c r="D5616" s="9" t="s">
        <v>3325</v>
      </c>
      <c r="E5616" s="9" t="s">
        <v>3299</v>
      </c>
      <c r="F5616" s="9" t="s">
        <v>3327</v>
      </c>
      <c r="H5616" s="9"/>
    </row>
    <row r="5617" ht="14.25" customHeight="1">
      <c r="C5617" s="9" t="s">
        <v>3320</v>
      </c>
      <c r="D5617" s="9" t="s">
        <v>3325</v>
      </c>
      <c r="E5617" s="9" t="s">
        <v>3299</v>
      </c>
      <c r="F5617" s="9" t="s">
        <v>3328</v>
      </c>
      <c r="H5617" s="9"/>
    </row>
    <row r="5618" ht="14.25" customHeight="1">
      <c r="C5618" s="9" t="s">
        <v>3320</v>
      </c>
      <c r="D5618" s="9" t="s">
        <v>3325</v>
      </c>
      <c r="E5618" s="9" t="s">
        <v>3299</v>
      </c>
      <c r="F5618" s="9" t="s">
        <v>3329</v>
      </c>
      <c r="H5618" s="9"/>
    </row>
    <row r="5619" ht="14.25" customHeight="1">
      <c r="C5619" s="9" t="s">
        <v>3320</v>
      </c>
      <c r="D5619" s="9" t="s">
        <v>3325</v>
      </c>
      <c r="E5619" s="9" t="s">
        <v>3299</v>
      </c>
      <c r="F5619" s="9" t="s">
        <v>3330</v>
      </c>
      <c r="H5619" s="9"/>
    </row>
    <row r="5620" ht="14.25" customHeight="1">
      <c r="C5620" s="9" t="s">
        <v>3331</v>
      </c>
      <c r="D5620" s="9" t="s">
        <v>3332</v>
      </c>
      <c r="E5620" s="9" t="s">
        <v>3299</v>
      </c>
      <c r="F5620" s="9" t="s">
        <v>3333</v>
      </c>
      <c r="H5620" s="9"/>
    </row>
    <row r="5621" ht="14.25" customHeight="1">
      <c r="C5621" s="9" t="s">
        <v>3331</v>
      </c>
      <c r="D5621" s="9" t="s">
        <v>3332</v>
      </c>
      <c r="E5621" s="9" t="s">
        <v>3299</v>
      </c>
      <c r="F5621" s="9" t="s">
        <v>3334</v>
      </c>
      <c r="H5621" s="9"/>
    </row>
    <row r="5622" ht="14.25" customHeight="1">
      <c r="C5622" s="9" t="s">
        <v>3331</v>
      </c>
      <c r="D5622" s="9" t="s">
        <v>3332</v>
      </c>
      <c r="E5622" s="9" t="s">
        <v>3299</v>
      </c>
      <c r="F5622" s="9" t="s">
        <v>3335</v>
      </c>
      <c r="H5622" s="9"/>
    </row>
    <row r="5623" ht="14.25" customHeight="1">
      <c r="C5623" s="9" t="s">
        <v>3331</v>
      </c>
      <c r="D5623" s="9" t="s">
        <v>3332</v>
      </c>
      <c r="E5623" s="9" t="s">
        <v>3299</v>
      </c>
      <c r="F5623" s="9" t="s">
        <v>3303</v>
      </c>
      <c r="H5623" s="9"/>
    </row>
    <row r="5624" ht="14.25" customHeight="1">
      <c r="C5624" s="9" t="s">
        <v>3331</v>
      </c>
      <c r="D5624" s="9" t="s">
        <v>3332</v>
      </c>
      <c r="E5624" s="9" t="s">
        <v>3299</v>
      </c>
      <c r="F5624" s="9" t="s">
        <v>3336</v>
      </c>
      <c r="H5624" s="9"/>
    </row>
    <row r="5625" ht="14.25" customHeight="1">
      <c r="C5625" s="9" t="s">
        <v>3331</v>
      </c>
      <c r="D5625" s="9" t="s">
        <v>3332</v>
      </c>
      <c r="E5625" s="9" t="s">
        <v>3299</v>
      </c>
      <c r="F5625" s="9" t="s">
        <v>3337</v>
      </c>
      <c r="H5625" s="9"/>
    </row>
    <row r="5626" ht="14.25" customHeight="1">
      <c r="A5626" s="9"/>
      <c r="B5626" s="9"/>
      <c r="C5626" s="9" t="s">
        <v>3338</v>
      </c>
      <c r="D5626" s="9" t="s">
        <v>697</v>
      </c>
      <c r="E5626" s="9" t="s">
        <v>3339</v>
      </c>
      <c r="F5626" s="15" t="s">
        <v>474</v>
      </c>
      <c r="H5626" s="9"/>
    </row>
    <row r="5627" ht="14.25" customHeight="1">
      <c r="A5627" s="9"/>
      <c r="B5627" s="9"/>
      <c r="C5627" s="9" t="s">
        <v>3338</v>
      </c>
      <c r="D5627" s="9" t="s">
        <v>697</v>
      </c>
      <c r="E5627" s="9" t="s">
        <v>3339</v>
      </c>
      <c r="F5627" s="15" t="s">
        <v>284</v>
      </c>
      <c r="H5627" s="9"/>
    </row>
    <row r="5628" ht="14.25" customHeight="1">
      <c r="A5628" s="9"/>
      <c r="B5628" s="9"/>
      <c r="C5628" s="9" t="s">
        <v>3338</v>
      </c>
      <c r="D5628" s="9" t="s">
        <v>697</v>
      </c>
      <c r="E5628" s="9" t="s">
        <v>3339</v>
      </c>
      <c r="F5628" s="15" t="s">
        <v>493</v>
      </c>
      <c r="H5628" s="9"/>
    </row>
    <row r="5629" ht="14.25" customHeight="1">
      <c r="A5629" s="9"/>
      <c r="B5629" s="9"/>
      <c r="C5629" s="9" t="s">
        <v>3338</v>
      </c>
      <c r="D5629" s="9" t="s">
        <v>697</v>
      </c>
      <c r="E5629" s="9" t="s">
        <v>3339</v>
      </c>
      <c r="F5629" s="15" t="s">
        <v>450</v>
      </c>
      <c r="H5629" s="9"/>
    </row>
    <row r="5630" ht="14.25" customHeight="1">
      <c r="A5630" s="9"/>
      <c r="B5630" s="9"/>
      <c r="C5630" s="9" t="s">
        <v>3338</v>
      </c>
      <c r="D5630" s="9" t="s">
        <v>697</v>
      </c>
      <c r="E5630" s="9" t="s">
        <v>3339</v>
      </c>
      <c r="F5630" s="15" t="s">
        <v>395</v>
      </c>
      <c r="H5630" s="9"/>
    </row>
    <row r="5631" ht="14.25" customHeight="1">
      <c r="A5631" s="9"/>
      <c r="B5631" s="9"/>
      <c r="C5631" s="9" t="s">
        <v>3338</v>
      </c>
      <c r="D5631" s="9" t="s">
        <v>697</v>
      </c>
      <c r="E5631" s="9" t="s">
        <v>3339</v>
      </c>
      <c r="F5631" s="15" t="s">
        <v>276</v>
      </c>
      <c r="H5631" s="9"/>
    </row>
    <row r="5632" ht="14.25" customHeight="1">
      <c r="A5632" s="9"/>
      <c r="B5632" s="9"/>
      <c r="C5632" s="9" t="s">
        <v>3338</v>
      </c>
      <c r="D5632" s="9" t="s">
        <v>697</v>
      </c>
      <c r="E5632" s="9" t="s">
        <v>3339</v>
      </c>
      <c r="F5632" s="15" t="s">
        <v>431</v>
      </c>
      <c r="H5632" s="9"/>
    </row>
    <row r="5633" ht="14.25" customHeight="1">
      <c r="A5633" s="9"/>
      <c r="B5633" s="9"/>
      <c r="C5633" s="9" t="s">
        <v>3338</v>
      </c>
      <c r="D5633" s="9" t="s">
        <v>697</v>
      </c>
      <c r="E5633" s="9" t="s">
        <v>3339</v>
      </c>
      <c r="F5633" s="15" t="s">
        <v>1272</v>
      </c>
      <c r="H5633" s="9"/>
    </row>
    <row r="5634" ht="14.25" customHeight="1">
      <c r="A5634" s="9"/>
      <c r="B5634" s="9"/>
      <c r="C5634" s="9" t="s">
        <v>3338</v>
      </c>
      <c r="D5634" s="9" t="s">
        <v>697</v>
      </c>
      <c r="E5634" s="9" t="s">
        <v>3339</v>
      </c>
      <c r="F5634" s="15" t="s">
        <v>420</v>
      </c>
      <c r="H5634" s="9"/>
    </row>
    <row r="5635" ht="14.25" customHeight="1">
      <c r="A5635" s="9"/>
      <c r="B5635" s="9"/>
      <c r="C5635" s="9" t="s">
        <v>3338</v>
      </c>
      <c r="D5635" s="9" t="s">
        <v>697</v>
      </c>
      <c r="E5635" s="9" t="s">
        <v>3339</v>
      </c>
      <c r="F5635" s="15" t="s">
        <v>482</v>
      </c>
      <c r="H5635" s="9"/>
    </row>
    <row r="5636" ht="14.25" customHeight="1">
      <c r="A5636" s="9"/>
      <c r="B5636" s="9"/>
      <c r="C5636" s="9" t="s">
        <v>3338</v>
      </c>
      <c r="D5636" s="9" t="s">
        <v>697</v>
      </c>
      <c r="E5636" s="9" t="s">
        <v>3339</v>
      </c>
      <c r="F5636" s="15" t="s">
        <v>136</v>
      </c>
      <c r="H5636" s="9"/>
    </row>
    <row r="5637" ht="14.25" customHeight="1">
      <c r="A5637" s="9"/>
      <c r="B5637" s="9"/>
      <c r="C5637" s="9" t="s">
        <v>3338</v>
      </c>
      <c r="D5637" s="9" t="s">
        <v>697</v>
      </c>
      <c r="E5637" s="9" t="s">
        <v>3339</v>
      </c>
      <c r="F5637" s="15" t="s">
        <v>408</v>
      </c>
      <c r="H5637" s="9"/>
    </row>
    <row r="5638" ht="14.25" customHeight="1">
      <c r="A5638" s="9"/>
      <c r="B5638" s="9"/>
      <c r="C5638" s="9" t="s">
        <v>3338</v>
      </c>
      <c r="D5638" s="9" t="s">
        <v>697</v>
      </c>
      <c r="E5638" s="9" t="s">
        <v>3339</v>
      </c>
      <c r="F5638" s="15" t="s">
        <v>2589</v>
      </c>
      <c r="H5638" s="9"/>
    </row>
    <row r="5639" ht="14.25" customHeight="1">
      <c r="A5639" s="9"/>
      <c r="B5639" s="9"/>
      <c r="C5639" s="9" t="s">
        <v>3338</v>
      </c>
      <c r="D5639" s="9" t="s">
        <v>697</v>
      </c>
      <c r="E5639" s="9" t="s">
        <v>3339</v>
      </c>
      <c r="F5639" s="15" t="s">
        <v>197</v>
      </c>
      <c r="H5639" s="9"/>
    </row>
    <row r="5640" ht="14.25" customHeight="1">
      <c r="A5640" s="9"/>
      <c r="B5640" s="9"/>
      <c r="C5640" s="9" t="s">
        <v>3338</v>
      </c>
      <c r="D5640" s="9" t="s">
        <v>697</v>
      </c>
      <c r="E5640" s="9" t="s">
        <v>3339</v>
      </c>
      <c r="F5640" s="15" t="s">
        <v>172</v>
      </c>
      <c r="H5640" s="9"/>
    </row>
    <row r="5641" ht="14.25" customHeight="1">
      <c r="A5641" s="9"/>
      <c r="B5641" s="9"/>
      <c r="C5641" s="9" t="s">
        <v>3338</v>
      </c>
      <c r="D5641" s="9" t="s">
        <v>697</v>
      </c>
      <c r="E5641" s="9" t="s">
        <v>3339</v>
      </c>
      <c r="F5641" s="15" t="s">
        <v>98</v>
      </c>
      <c r="H5641" s="9"/>
    </row>
    <row r="5642" ht="14.25" customHeight="1">
      <c r="A5642" s="9"/>
      <c r="B5642" s="9"/>
      <c r="C5642" s="9" t="s">
        <v>3338</v>
      </c>
      <c r="D5642" s="9" t="s">
        <v>697</v>
      </c>
      <c r="E5642" s="9" t="s">
        <v>3339</v>
      </c>
      <c r="F5642" s="15" t="s">
        <v>341</v>
      </c>
      <c r="H5642" s="9"/>
    </row>
    <row r="5643" ht="14.25" customHeight="1">
      <c r="A5643" s="9"/>
      <c r="B5643" s="9"/>
      <c r="C5643" s="9" t="s">
        <v>3338</v>
      </c>
      <c r="D5643" s="9" t="s">
        <v>697</v>
      </c>
      <c r="E5643" s="9" t="s">
        <v>3339</v>
      </c>
      <c r="F5643" s="15" t="s">
        <v>367</v>
      </c>
      <c r="H5643" s="9"/>
    </row>
    <row r="5644" ht="14.25" customHeight="1">
      <c r="A5644" s="9"/>
      <c r="B5644" s="9"/>
      <c r="C5644" s="9" t="s">
        <v>3338</v>
      </c>
      <c r="D5644" s="9" t="s">
        <v>697</v>
      </c>
      <c r="E5644" s="9" t="s">
        <v>3339</v>
      </c>
      <c r="F5644" s="15" t="s">
        <v>529</v>
      </c>
      <c r="H5644" s="9"/>
    </row>
    <row r="5645" ht="14.25" customHeight="1">
      <c r="A5645" s="9"/>
      <c r="B5645" s="9"/>
      <c r="C5645" s="9" t="s">
        <v>3338</v>
      </c>
      <c r="D5645" s="9" t="s">
        <v>697</v>
      </c>
      <c r="E5645" s="9" t="s">
        <v>3339</v>
      </c>
      <c r="F5645" s="15" t="s">
        <v>282</v>
      </c>
      <c r="H5645" s="9"/>
    </row>
    <row r="5646" ht="14.25" customHeight="1">
      <c r="A5646" s="9"/>
      <c r="B5646" s="9"/>
      <c r="C5646" s="9" t="s">
        <v>3338</v>
      </c>
      <c r="D5646" s="9" t="s">
        <v>697</v>
      </c>
      <c r="E5646" s="9" t="s">
        <v>3339</v>
      </c>
      <c r="F5646" s="15" t="s">
        <v>321</v>
      </c>
      <c r="H5646" s="9"/>
    </row>
    <row r="5647" ht="14.25" customHeight="1">
      <c r="A5647" s="9"/>
      <c r="B5647" s="9"/>
      <c r="C5647" s="9" t="s">
        <v>3338</v>
      </c>
      <c r="D5647" s="9" t="s">
        <v>697</v>
      </c>
      <c r="E5647" s="9" t="s">
        <v>3339</v>
      </c>
      <c r="F5647" s="15" t="s">
        <v>272</v>
      </c>
      <c r="H5647" s="9"/>
    </row>
    <row r="5648" ht="14.25" customHeight="1">
      <c r="A5648" s="9"/>
      <c r="B5648" s="9"/>
      <c r="C5648" s="9" t="s">
        <v>3338</v>
      </c>
      <c r="D5648" s="9" t="s">
        <v>697</v>
      </c>
      <c r="E5648" s="9" t="s">
        <v>3339</v>
      </c>
      <c r="F5648" s="15" t="s">
        <v>517</v>
      </c>
      <c r="H5648" s="9"/>
    </row>
    <row r="5649" ht="14.25" customHeight="1">
      <c r="A5649" s="9"/>
      <c r="B5649" s="9"/>
      <c r="C5649" s="9" t="s">
        <v>3338</v>
      </c>
      <c r="D5649" s="9" t="s">
        <v>697</v>
      </c>
      <c r="E5649" s="9" t="s">
        <v>3339</v>
      </c>
      <c r="F5649" s="15" t="s">
        <v>2593</v>
      </c>
      <c r="H5649" s="9"/>
    </row>
    <row r="5650" ht="14.25" customHeight="1">
      <c r="A5650" s="9"/>
      <c r="B5650" s="9"/>
      <c r="C5650" s="9" t="s">
        <v>3338</v>
      </c>
      <c r="D5650" s="9" t="s">
        <v>697</v>
      </c>
      <c r="E5650" s="9" t="s">
        <v>3339</v>
      </c>
      <c r="F5650" s="15" t="s">
        <v>507</v>
      </c>
      <c r="H5650" s="9"/>
    </row>
    <row r="5651" ht="14.25" customHeight="1">
      <c r="A5651" s="9"/>
      <c r="B5651" s="9"/>
      <c r="C5651" s="9" t="s">
        <v>3338</v>
      </c>
      <c r="D5651" s="9" t="s">
        <v>697</v>
      </c>
      <c r="E5651" s="9" t="s">
        <v>3339</v>
      </c>
      <c r="F5651" s="15" t="s">
        <v>336</v>
      </c>
      <c r="H5651" s="9"/>
    </row>
    <row r="5652" ht="14.25" customHeight="1">
      <c r="A5652" s="9"/>
      <c r="B5652" s="9"/>
      <c r="C5652" s="9" t="s">
        <v>3338</v>
      </c>
      <c r="D5652" s="9" t="s">
        <v>697</v>
      </c>
      <c r="E5652" s="9" t="s">
        <v>3339</v>
      </c>
      <c r="F5652" s="15" t="s">
        <v>235</v>
      </c>
      <c r="H5652" s="9"/>
    </row>
    <row r="5653" ht="14.25" customHeight="1">
      <c r="A5653" s="9"/>
      <c r="B5653" s="9"/>
      <c r="C5653" s="9" t="s">
        <v>3338</v>
      </c>
      <c r="D5653" s="9" t="s">
        <v>697</v>
      </c>
      <c r="E5653" s="9" t="s">
        <v>3339</v>
      </c>
      <c r="F5653" s="15" t="s">
        <v>327</v>
      </c>
      <c r="H5653" s="9"/>
    </row>
    <row r="5654" ht="14.25" customHeight="1">
      <c r="A5654" s="9"/>
      <c r="B5654" s="9"/>
      <c r="C5654" s="9" t="s">
        <v>3338</v>
      </c>
      <c r="D5654" s="9" t="s">
        <v>697</v>
      </c>
      <c r="E5654" s="9" t="s">
        <v>3339</v>
      </c>
      <c r="F5654" s="15" t="s">
        <v>264</v>
      </c>
      <c r="H5654" s="9"/>
    </row>
    <row r="5655" ht="14.25" customHeight="1">
      <c r="A5655" s="9"/>
      <c r="B5655" s="9"/>
      <c r="C5655" s="9" t="s">
        <v>3338</v>
      </c>
      <c r="D5655" s="9" t="s">
        <v>3340</v>
      </c>
      <c r="E5655" s="9" t="s">
        <v>3339</v>
      </c>
      <c r="F5655" s="15" t="s">
        <v>474</v>
      </c>
      <c r="H5655" s="9"/>
    </row>
    <row r="5656" ht="14.25" customHeight="1">
      <c r="A5656" s="9"/>
      <c r="B5656" s="9"/>
      <c r="C5656" s="9" t="s">
        <v>3338</v>
      </c>
      <c r="D5656" s="9" t="s">
        <v>3340</v>
      </c>
      <c r="E5656" s="9" t="s">
        <v>3339</v>
      </c>
      <c r="F5656" s="15" t="s">
        <v>284</v>
      </c>
      <c r="H5656" s="9"/>
    </row>
    <row r="5657" ht="14.25" customHeight="1">
      <c r="A5657" s="9"/>
      <c r="B5657" s="9"/>
      <c r="C5657" s="9" t="s">
        <v>3338</v>
      </c>
      <c r="D5657" s="9" t="s">
        <v>3340</v>
      </c>
      <c r="E5657" s="9" t="s">
        <v>3339</v>
      </c>
      <c r="F5657" s="15" t="s">
        <v>493</v>
      </c>
      <c r="H5657" s="9"/>
    </row>
    <row r="5658" ht="14.25" customHeight="1">
      <c r="A5658" s="9"/>
      <c r="B5658" s="9"/>
      <c r="C5658" s="9" t="s">
        <v>3338</v>
      </c>
      <c r="D5658" s="9" t="s">
        <v>3340</v>
      </c>
      <c r="E5658" s="9" t="s">
        <v>3339</v>
      </c>
      <c r="F5658" s="15" t="s">
        <v>450</v>
      </c>
      <c r="H5658" s="9"/>
    </row>
    <row r="5659" ht="14.25" customHeight="1">
      <c r="A5659" s="9"/>
      <c r="B5659" s="9"/>
      <c r="C5659" s="9" t="s">
        <v>3338</v>
      </c>
      <c r="D5659" s="9" t="s">
        <v>3340</v>
      </c>
      <c r="E5659" s="9" t="s">
        <v>3339</v>
      </c>
      <c r="F5659" s="15" t="s">
        <v>395</v>
      </c>
      <c r="H5659" s="9"/>
    </row>
    <row r="5660" ht="14.25" customHeight="1">
      <c r="A5660" s="9"/>
      <c r="B5660" s="9"/>
      <c r="C5660" s="9" t="s">
        <v>3338</v>
      </c>
      <c r="D5660" s="9" t="s">
        <v>3340</v>
      </c>
      <c r="E5660" s="9" t="s">
        <v>3339</v>
      </c>
      <c r="F5660" s="15" t="s">
        <v>276</v>
      </c>
      <c r="H5660" s="9"/>
    </row>
    <row r="5661" ht="14.25" customHeight="1">
      <c r="A5661" s="9"/>
      <c r="B5661" s="9"/>
      <c r="C5661" s="9" t="s">
        <v>3338</v>
      </c>
      <c r="D5661" s="9" t="s">
        <v>3340</v>
      </c>
      <c r="E5661" s="9" t="s">
        <v>3339</v>
      </c>
      <c r="F5661" s="15" t="s">
        <v>431</v>
      </c>
      <c r="H5661" s="9"/>
    </row>
    <row r="5662" ht="14.25" customHeight="1">
      <c r="A5662" s="9"/>
      <c r="B5662" s="9"/>
      <c r="C5662" s="9" t="s">
        <v>3338</v>
      </c>
      <c r="D5662" s="9" t="s">
        <v>3340</v>
      </c>
      <c r="E5662" s="9" t="s">
        <v>3339</v>
      </c>
      <c r="F5662" s="15" t="s">
        <v>1272</v>
      </c>
      <c r="H5662" s="9"/>
    </row>
    <row r="5663" ht="14.25" customHeight="1">
      <c r="A5663" s="9"/>
      <c r="B5663" s="9"/>
      <c r="C5663" s="9" t="s">
        <v>3338</v>
      </c>
      <c r="D5663" s="9" t="s">
        <v>3340</v>
      </c>
      <c r="E5663" s="9" t="s">
        <v>3339</v>
      </c>
      <c r="F5663" s="15" t="s">
        <v>420</v>
      </c>
      <c r="H5663" s="9"/>
    </row>
    <row r="5664" ht="14.25" customHeight="1">
      <c r="A5664" s="9"/>
      <c r="B5664" s="9"/>
      <c r="C5664" s="9" t="s">
        <v>3338</v>
      </c>
      <c r="D5664" s="9" t="s">
        <v>3340</v>
      </c>
      <c r="E5664" s="9" t="s">
        <v>3339</v>
      </c>
      <c r="F5664" s="15" t="s">
        <v>482</v>
      </c>
      <c r="H5664" s="9"/>
    </row>
    <row r="5665" ht="14.25" customHeight="1">
      <c r="A5665" s="9"/>
      <c r="B5665" s="9"/>
      <c r="C5665" s="9" t="s">
        <v>3338</v>
      </c>
      <c r="D5665" s="9" t="s">
        <v>3340</v>
      </c>
      <c r="E5665" s="9" t="s">
        <v>3339</v>
      </c>
      <c r="F5665" s="15" t="s">
        <v>136</v>
      </c>
      <c r="H5665" s="9"/>
    </row>
    <row r="5666" ht="14.25" customHeight="1">
      <c r="A5666" s="9"/>
      <c r="B5666" s="9"/>
      <c r="C5666" s="9" t="s">
        <v>3338</v>
      </c>
      <c r="D5666" s="9" t="s">
        <v>3340</v>
      </c>
      <c r="E5666" s="9" t="s">
        <v>3339</v>
      </c>
      <c r="F5666" s="15" t="s">
        <v>408</v>
      </c>
      <c r="H5666" s="9"/>
    </row>
    <row r="5667" ht="14.25" customHeight="1">
      <c r="A5667" s="9"/>
      <c r="B5667" s="9"/>
      <c r="C5667" s="9" t="s">
        <v>3338</v>
      </c>
      <c r="D5667" s="9" t="s">
        <v>3340</v>
      </c>
      <c r="E5667" s="9" t="s">
        <v>3339</v>
      </c>
      <c r="F5667" s="15" t="s">
        <v>2589</v>
      </c>
      <c r="H5667" s="9"/>
    </row>
    <row r="5668" ht="14.25" customHeight="1">
      <c r="A5668" s="9"/>
      <c r="B5668" s="9"/>
      <c r="C5668" s="9" t="s">
        <v>3338</v>
      </c>
      <c r="D5668" s="9" t="s">
        <v>3340</v>
      </c>
      <c r="E5668" s="9" t="s">
        <v>3339</v>
      </c>
      <c r="F5668" s="15" t="s">
        <v>197</v>
      </c>
      <c r="H5668" s="9"/>
    </row>
    <row r="5669" ht="14.25" customHeight="1">
      <c r="A5669" s="9"/>
      <c r="B5669" s="9"/>
      <c r="C5669" s="9" t="s">
        <v>3338</v>
      </c>
      <c r="D5669" s="9" t="s">
        <v>3340</v>
      </c>
      <c r="E5669" s="9" t="s">
        <v>3339</v>
      </c>
      <c r="F5669" s="15" t="s">
        <v>172</v>
      </c>
      <c r="H5669" s="9"/>
    </row>
    <row r="5670" ht="14.25" customHeight="1">
      <c r="A5670" s="9"/>
      <c r="B5670" s="9"/>
      <c r="C5670" s="9" t="s">
        <v>3338</v>
      </c>
      <c r="D5670" s="9" t="s">
        <v>3340</v>
      </c>
      <c r="E5670" s="9" t="s">
        <v>3339</v>
      </c>
      <c r="F5670" s="15" t="s">
        <v>98</v>
      </c>
      <c r="H5670" s="9"/>
    </row>
    <row r="5671" ht="14.25" customHeight="1">
      <c r="A5671" s="9"/>
      <c r="B5671" s="9"/>
      <c r="C5671" s="9" t="s">
        <v>3338</v>
      </c>
      <c r="D5671" s="9" t="s">
        <v>3340</v>
      </c>
      <c r="E5671" s="9" t="s">
        <v>3339</v>
      </c>
      <c r="F5671" s="15" t="s">
        <v>341</v>
      </c>
      <c r="H5671" s="9"/>
    </row>
    <row r="5672" ht="14.25" customHeight="1">
      <c r="A5672" s="9"/>
      <c r="B5672" s="9"/>
      <c r="C5672" s="9" t="s">
        <v>3338</v>
      </c>
      <c r="D5672" s="9" t="s">
        <v>3340</v>
      </c>
      <c r="E5672" s="9" t="s">
        <v>3339</v>
      </c>
      <c r="F5672" s="15" t="s">
        <v>367</v>
      </c>
      <c r="H5672" s="9"/>
    </row>
    <row r="5673" ht="14.25" customHeight="1">
      <c r="A5673" s="9"/>
      <c r="B5673" s="9"/>
      <c r="C5673" s="9" t="s">
        <v>3338</v>
      </c>
      <c r="D5673" s="9" t="s">
        <v>3340</v>
      </c>
      <c r="E5673" s="9" t="s">
        <v>3339</v>
      </c>
      <c r="F5673" s="15" t="s">
        <v>529</v>
      </c>
      <c r="H5673" s="9"/>
    </row>
    <row r="5674" ht="14.25" customHeight="1">
      <c r="A5674" s="9"/>
      <c r="B5674" s="9"/>
      <c r="C5674" s="9" t="s">
        <v>3338</v>
      </c>
      <c r="D5674" s="9" t="s">
        <v>3340</v>
      </c>
      <c r="E5674" s="9" t="s">
        <v>3339</v>
      </c>
      <c r="F5674" s="15" t="s">
        <v>282</v>
      </c>
      <c r="H5674" s="9"/>
    </row>
    <row r="5675" ht="14.25" customHeight="1">
      <c r="A5675" s="9"/>
      <c r="B5675" s="9"/>
      <c r="C5675" s="9" t="s">
        <v>3338</v>
      </c>
      <c r="D5675" s="9" t="s">
        <v>3340</v>
      </c>
      <c r="E5675" s="9" t="s">
        <v>3339</v>
      </c>
      <c r="F5675" s="15" t="s">
        <v>321</v>
      </c>
      <c r="H5675" s="9"/>
    </row>
    <row r="5676" ht="14.25" customHeight="1">
      <c r="A5676" s="9"/>
      <c r="B5676" s="9"/>
      <c r="C5676" s="9" t="s">
        <v>3338</v>
      </c>
      <c r="D5676" s="9" t="s">
        <v>3340</v>
      </c>
      <c r="E5676" s="9" t="s">
        <v>3339</v>
      </c>
      <c r="F5676" s="15" t="s">
        <v>272</v>
      </c>
      <c r="H5676" s="9"/>
    </row>
    <row r="5677" ht="14.25" customHeight="1">
      <c r="A5677" s="9"/>
      <c r="B5677" s="9"/>
      <c r="C5677" s="9" t="s">
        <v>3338</v>
      </c>
      <c r="D5677" s="9" t="s">
        <v>3340</v>
      </c>
      <c r="E5677" s="9" t="s">
        <v>3339</v>
      </c>
      <c r="F5677" s="15" t="s">
        <v>517</v>
      </c>
      <c r="H5677" s="9"/>
    </row>
    <row r="5678" ht="14.25" customHeight="1">
      <c r="A5678" s="9"/>
      <c r="B5678" s="9"/>
      <c r="C5678" s="9" t="s">
        <v>3338</v>
      </c>
      <c r="D5678" s="9" t="s">
        <v>3340</v>
      </c>
      <c r="E5678" s="9" t="s">
        <v>3339</v>
      </c>
      <c r="F5678" s="15" t="s">
        <v>2593</v>
      </c>
      <c r="H5678" s="9"/>
    </row>
    <row r="5679" ht="14.25" customHeight="1">
      <c r="A5679" s="9"/>
      <c r="B5679" s="9"/>
      <c r="C5679" s="9" t="s">
        <v>3338</v>
      </c>
      <c r="D5679" s="9" t="s">
        <v>3340</v>
      </c>
      <c r="E5679" s="9" t="s">
        <v>3339</v>
      </c>
      <c r="F5679" s="15" t="s">
        <v>507</v>
      </c>
      <c r="H5679" s="9"/>
    </row>
    <row r="5680" ht="14.25" customHeight="1">
      <c r="A5680" s="9"/>
      <c r="B5680" s="9"/>
      <c r="C5680" s="9" t="s">
        <v>3338</v>
      </c>
      <c r="D5680" s="9" t="s">
        <v>3340</v>
      </c>
      <c r="E5680" s="9" t="s">
        <v>3339</v>
      </c>
      <c r="F5680" s="15" t="s">
        <v>336</v>
      </c>
      <c r="H5680" s="9"/>
    </row>
    <row r="5681" ht="14.25" customHeight="1">
      <c r="A5681" s="9"/>
      <c r="B5681" s="9"/>
      <c r="C5681" s="9" t="s">
        <v>3338</v>
      </c>
      <c r="D5681" s="9" t="s">
        <v>3340</v>
      </c>
      <c r="E5681" s="9" t="s">
        <v>3339</v>
      </c>
      <c r="F5681" s="15" t="s">
        <v>235</v>
      </c>
      <c r="H5681" s="9"/>
    </row>
    <row r="5682" ht="14.25" customHeight="1">
      <c r="A5682" s="9"/>
      <c r="B5682" s="9"/>
      <c r="C5682" s="9" t="s">
        <v>3338</v>
      </c>
      <c r="D5682" s="9" t="s">
        <v>3340</v>
      </c>
      <c r="E5682" s="9" t="s">
        <v>3339</v>
      </c>
      <c r="F5682" s="15" t="s">
        <v>327</v>
      </c>
      <c r="H5682" s="9"/>
    </row>
    <row r="5683" ht="14.25" customHeight="1">
      <c r="A5683" s="9"/>
      <c r="B5683" s="9"/>
      <c r="C5683" s="9" t="s">
        <v>3338</v>
      </c>
      <c r="D5683" s="9" t="s">
        <v>3340</v>
      </c>
      <c r="E5683" s="9" t="s">
        <v>3339</v>
      </c>
      <c r="F5683" s="15" t="s">
        <v>264</v>
      </c>
      <c r="H5683" s="9"/>
    </row>
    <row r="5684" ht="14.25" customHeight="1">
      <c r="H5684" s="9"/>
    </row>
    <row r="5685" ht="14.25" customHeight="1">
      <c r="H5685" s="9"/>
    </row>
    <row r="5686" ht="14.25" customHeight="1">
      <c r="H5686" s="9"/>
    </row>
    <row r="5687" ht="14.25" customHeight="1">
      <c r="H5687" s="9"/>
    </row>
    <row r="5688" ht="14.25" customHeight="1">
      <c r="H5688" s="9"/>
    </row>
    <row r="5689" ht="14.25" customHeight="1">
      <c r="H5689" s="9"/>
    </row>
    <row r="5690" ht="14.25" customHeight="1">
      <c r="H5690" s="9"/>
    </row>
    <row r="5691" ht="14.25" customHeight="1">
      <c r="H5691" s="9"/>
    </row>
    <row r="5692" ht="14.25" customHeight="1">
      <c r="H5692" s="9"/>
    </row>
    <row r="5693" ht="14.25" customHeight="1">
      <c r="H5693" s="9"/>
    </row>
    <row r="5694" ht="14.25" customHeight="1">
      <c r="H5694" s="9"/>
    </row>
    <row r="5695" ht="14.25" customHeight="1">
      <c r="H5695" s="9"/>
    </row>
    <row r="5696" ht="14.25" customHeight="1">
      <c r="H5696" s="9"/>
    </row>
    <row r="5697" ht="14.25" customHeight="1">
      <c r="H5697" s="9"/>
    </row>
    <row r="5698" ht="14.25" customHeight="1">
      <c r="H5698" s="9"/>
    </row>
    <row r="5699" ht="14.25" customHeight="1">
      <c r="H5699" s="9"/>
    </row>
    <row r="5700" ht="14.25" customHeight="1">
      <c r="H5700" s="9"/>
    </row>
    <row r="5701" ht="14.25" customHeight="1">
      <c r="H5701" s="9"/>
    </row>
    <row r="5702" ht="14.25" customHeight="1">
      <c r="H5702" s="9"/>
    </row>
    <row r="5703" ht="14.25" customHeight="1">
      <c r="H5703" s="9"/>
    </row>
    <row r="5704" ht="14.25" customHeight="1">
      <c r="H5704" s="9"/>
    </row>
    <row r="5705" ht="14.25" customHeight="1">
      <c r="H5705" s="9"/>
    </row>
    <row r="5706" ht="14.25" customHeight="1">
      <c r="H5706" s="9"/>
    </row>
    <row r="5707" ht="14.25" customHeight="1">
      <c r="H5707" s="9"/>
    </row>
    <row r="5708" ht="14.25" customHeight="1">
      <c r="H5708" s="9"/>
    </row>
    <row r="5709" ht="14.25" customHeight="1">
      <c r="H5709" s="9"/>
    </row>
    <row r="5710" ht="14.25" customHeight="1">
      <c r="H5710" s="9"/>
    </row>
    <row r="5711" ht="14.25" customHeight="1">
      <c r="H5711" s="9"/>
    </row>
    <row r="5712" ht="14.25" customHeight="1">
      <c r="H5712" s="9"/>
    </row>
    <row r="5713" ht="14.25" customHeight="1">
      <c r="H5713" s="9"/>
    </row>
    <row r="5714" ht="14.25" customHeight="1">
      <c r="H5714" s="9"/>
    </row>
    <row r="5715" ht="14.25" customHeight="1">
      <c r="H5715" s="9"/>
    </row>
    <row r="5716" ht="14.25" customHeight="1">
      <c r="H5716" s="9"/>
    </row>
    <row r="5717" ht="14.25" customHeight="1">
      <c r="H5717" s="9"/>
    </row>
    <row r="5718" ht="14.25" customHeight="1">
      <c r="H5718" s="9"/>
    </row>
    <row r="5719" ht="14.25" customHeight="1">
      <c r="H5719" s="9"/>
    </row>
    <row r="5720" ht="14.25" customHeight="1">
      <c r="H5720" s="9"/>
    </row>
    <row r="5721" ht="14.25" customHeight="1">
      <c r="H5721" s="9"/>
    </row>
    <row r="5722" ht="14.25" customHeight="1">
      <c r="H5722" s="9"/>
    </row>
    <row r="5723" ht="14.25" customHeight="1">
      <c r="H5723" s="9"/>
    </row>
    <row r="5724" ht="14.25" customHeight="1">
      <c r="H5724" s="9"/>
    </row>
    <row r="5725" ht="14.25" customHeight="1">
      <c r="H5725" s="9"/>
    </row>
    <row r="5726" ht="14.25" customHeight="1">
      <c r="H5726" s="9"/>
    </row>
    <row r="5727" ht="14.25" customHeight="1">
      <c r="H5727" s="9"/>
    </row>
    <row r="5728" ht="14.25" customHeight="1">
      <c r="H5728" s="9"/>
    </row>
    <row r="5729" ht="14.25" customHeight="1">
      <c r="H5729" s="9"/>
    </row>
    <row r="5730" ht="14.25" customHeight="1">
      <c r="H5730" s="9"/>
    </row>
    <row r="5731" ht="14.25" customHeight="1">
      <c r="H5731" s="9"/>
    </row>
    <row r="5732" ht="14.25" customHeight="1">
      <c r="H5732" s="9"/>
    </row>
    <row r="5733" ht="14.25" customHeight="1">
      <c r="H5733" s="9"/>
    </row>
    <row r="5734" ht="14.25" customHeight="1">
      <c r="H5734" s="9"/>
    </row>
    <row r="5735" ht="14.25" customHeight="1">
      <c r="H5735" s="9"/>
    </row>
    <row r="5736" ht="14.25" customHeight="1">
      <c r="H5736" s="9"/>
    </row>
    <row r="5737" ht="14.25" customHeight="1">
      <c r="H5737" s="9"/>
    </row>
    <row r="5738" ht="14.25" customHeight="1">
      <c r="H5738" s="9"/>
    </row>
    <row r="5739" ht="14.25" customHeight="1">
      <c r="H5739" s="9"/>
    </row>
    <row r="5740" ht="14.25" customHeight="1">
      <c r="H5740" s="9"/>
    </row>
    <row r="5741" ht="14.25" customHeight="1">
      <c r="H5741" s="9"/>
    </row>
    <row r="5742" ht="14.25" customHeight="1">
      <c r="H5742" s="9"/>
    </row>
    <row r="5743" ht="14.25" customHeight="1">
      <c r="H5743" s="9"/>
    </row>
    <row r="5744" ht="14.25" customHeight="1">
      <c r="H5744" s="9"/>
    </row>
    <row r="5745" ht="14.25" customHeight="1">
      <c r="H5745" s="9"/>
    </row>
    <row r="5746" ht="14.25" customHeight="1">
      <c r="H5746" s="9"/>
    </row>
    <row r="5747" ht="14.25" customHeight="1">
      <c r="H5747" s="9"/>
    </row>
    <row r="5748" ht="14.25" customHeight="1">
      <c r="H5748" s="9"/>
    </row>
    <row r="5749" ht="14.25" customHeight="1">
      <c r="H5749" s="9"/>
    </row>
    <row r="5750" ht="14.25" customHeight="1">
      <c r="H5750" s="9"/>
    </row>
    <row r="5751" ht="14.25" customHeight="1">
      <c r="H5751" s="9"/>
    </row>
    <row r="5752" ht="14.25" customHeight="1">
      <c r="H5752" s="9"/>
    </row>
    <row r="5753" ht="14.25" customHeight="1">
      <c r="H5753" s="9"/>
    </row>
    <row r="5754" ht="14.25" customHeight="1">
      <c r="H5754" s="9"/>
    </row>
    <row r="5755" ht="14.25" customHeight="1">
      <c r="H5755" s="9"/>
    </row>
    <row r="5756" ht="14.25" customHeight="1">
      <c r="H5756" s="9"/>
    </row>
    <row r="5757" ht="14.25" customHeight="1">
      <c r="H5757" s="9"/>
    </row>
    <row r="5758" ht="14.25" customHeight="1">
      <c r="H5758" s="9"/>
    </row>
    <row r="5759" ht="14.25" customHeight="1">
      <c r="H5759" s="9"/>
    </row>
    <row r="5760" ht="14.25" customHeight="1">
      <c r="H5760" s="9"/>
    </row>
    <row r="5761" ht="14.25" customHeight="1">
      <c r="H5761" s="9"/>
    </row>
    <row r="5762" ht="14.25" customHeight="1">
      <c r="H5762" s="9"/>
    </row>
    <row r="5763" ht="14.25" customHeight="1">
      <c r="H5763" s="9"/>
    </row>
    <row r="5764" ht="14.25" customHeight="1">
      <c r="H5764" s="9"/>
    </row>
    <row r="5765" ht="14.25" customHeight="1">
      <c r="H5765" s="9"/>
    </row>
    <row r="5766" ht="14.25" customHeight="1">
      <c r="H5766" s="9"/>
    </row>
    <row r="5767" ht="14.25" customHeight="1">
      <c r="H5767" s="9"/>
    </row>
    <row r="5768" ht="14.25" customHeight="1">
      <c r="H5768" s="9"/>
    </row>
    <row r="5769" ht="14.25" customHeight="1">
      <c r="H5769" s="9"/>
    </row>
    <row r="5770" ht="14.25" customHeight="1">
      <c r="H5770" s="9"/>
    </row>
    <row r="5771" ht="14.25" customHeight="1">
      <c r="H5771" s="9"/>
    </row>
    <row r="5772" ht="14.25" customHeight="1">
      <c r="H5772" s="9"/>
    </row>
    <row r="5773" ht="14.25" customHeight="1">
      <c r="H5773" s="9"/>
    </row>
    <row r="5774" ht="14.25" customHeight="1">
      <c r="H5774" s="9"/>
    </row>
    <row r="5775" ht="14.25" customHeight="1">
      <c r="H5775" s="9"/>
    </row>
    <row r="5776" ht="14.25" customHeight="1">
      <c r="H5776" s="9"/>
    </row>
    <row r="5777" ht="14.25" customHeight="1">
      <c r="H5777" s="9"/>
    </row>
    <row r="5778" ht="14.25" customHeight="1">
      <c r="H5778" s="9"/>
    </row>
    <row r="5779" ht="14.25" customHeight="1">
      <c r="H5779" s="9"/>
    </row>
    <row r="5780" ht="14.25" customHeight="1">
      <c r="H5780" s="9"/>
    </row>
    <row r="5781" ht="14.25" customHeight="1">
      <c r="H5781" s="9"/>
    </row>
    <row r="5782" ht="14.25" customHeight="1">
      <c r="H5782" s="9"/>
    </row>
    <row r="5783" ht="14.25" customHeight="1">
      <c r="H5783" s="9"/>
    </row>
    <row r="5784" ht="14.25" customHeight="1">
      <c r="H5784" s="9"/>
    </row>
    <row r="5785" ht="14.25" customHeight="1">
      <c r="H5785" s="9"/>
    </row>
    <row r="5786" ht="14.25" customHeight="1">
      <c r="H5786" s="9"/>
    </row>
    <row r="5787" ht="14.25" customHeight="1">
      <c r="H5787" s="9"/>
    </row>
    <row r="5788" ht="14.25" customHeight="1">
      <c r="H5788" s="9"/>
    </row>
    <row r="5789" ht="14.25" customHeight="1">
      <c r="H5789" s="9"/>
    </row>
    <row r="5790" ht="14.25" customHeight="1">
      <c r="H5790" s="9"/>
    </row>
    <row r="5791" ht="14.25" customHeight="1">
      <c r="H5791" s="9"/>
    </row>
    <row r="5792" ht="14.25" customHeight="1">
      <c r="H5792" s="9"/>
    </row>
    <row r="5793" ht="14.25" customHeight="1">
      <c r="H5793" s="9"/>
    </row>
    <row r="5794" ht="14.25" customHeight="1">
      <c r="H5794" s="9"/>
    </row>
    <row r="5795" ht="14.25" customHeight="1">
      <c r="H5795" s="9"/>
    </row>
    <row r="5796" ht="14.25" customHeight="1">
      <c r="H5796" s="9"/>
    </row>
    <row r="5797" ht="14.25" customHeight="1">
      <c r="H5797" s="9"/>
    </row>
    <row r="5798" ht="14.25" customHeight="1">
      <c r="H5798" s="9"/>
    </row>
    <row r="5799" ht="14.25" customHeight="1">
      <c r="H5799" s="9"/>
    </row>
    <row r="5800" ht="14.25" customHeight="1">
      <c r="H5800" s="9"/>
    </row>
    <row r="5801" ht="14.25" customHeight="1">
      <c r="H5801" s="9"/>
    </row>
    <row r="5802" ht="14.25" customHeight="1">
      <c r="H5802" s="9"/>
    </row>
    <row r="5803" ht="14.25" customHeight="1">
      <c r="H5803" s="9"/>
    </row>
    <row r="5804" ht="14.25" customHeight="1">
      <c r="H5804" s="9"/>
    </row>
    <row r="5805" ht="14.25" customHeight="1">
      <c r="H5805" s="9"/>
    </row>
    <row r="5806" ht="14.25" customHeight="1">
      <c r="H5806" s="9"/>
    </row>
    <row r="5807" ht="14.25" customHeight="1">
      <c r="H5807" s="9"/>
    </row>
    <row r="5808" ht="14.25" customHeight="1">
      <c r="H5808" s="9"/>
    </row>
    <row r="5809" ht="14.25" customHeight="1">
      <c r="H5809" s="9"/>
    </row>
    <row r="5810" ht="14.25" customHeight="1">
      <c r="H5810" s="9"/>
    </row>
    <row r="5811" ht="14.25" customHeight="1">
      <c r="H5811" s="9"/>
    </row>
    <row r="5812" ht="14.25" customHeight="1">
      <c r="H5812" s="9"/>
    </row>
    <row r="5813" ht="14.25" customHeight="1">
      <c r="H5813" s="9"/>
    </row>
    <row r="5814" ht="14.25" customHeight="1">
      <c r="H5814" s="9"/>
    </row>
    <row r="5815" ht="14.25" customHeight="1">
      <c r="H5815" s="9"/>
    </row>
    <row r="5816" ht="14.25" customHeight="1">
      <c r="H5816" s="9"/>
    </row>
    <row r="5817" ht="14.25" customHeight="1">
      <c r="H5817" s="9"/>
    </row>
    <row r="5818" ht="14.25" customHeight="1">
      <c r="H5818" s="9"/>
    </row>
    <row r="5819" ht="14.25" customHeight="1">
      <c r="H5819" s="9"/>
    </row>
    <row r="5820" ht="14.25" customHeight="1">
      <c r="H5820" s="9"/>
    </row>
    <row r="5821" ht="14.25" customHeight="1">
      <c r="H5821" s="9"/>
    </row>
    <row r="5822" ht="14.25" customHeight="1">
      <c r="H5822" s="9"/>
    </row>
    <row r="5823" ht="14.25" customHeight="1">
      <c r="H5823" s="9"/>
    </row>
    <row r="5824" ht="14.25" customHeight="1">
      <c r="H5824" s="9"/>
    </row>
    <row r="5825" ht="14.25" customHeight="1">
      <c r="H5825" s="9"/>
    </row>
    <row r="5826" ht="14.25" customHeight="1">
      <c r="H5826" s="9"/>
    </row>
    <row r="5827" ht="14.25" customHeight="1">
      <c r="H5827" s="9"/>
    </row>
    <row r="5828" ht="14.25" customHeight="1">
      <c r="H5828" s="9"/>
    </row>
    <row r="5829" ht="14.25" customHeight="1">
      <c r="H5829" s="9"/>
    </row>
    <row r="5830" ht="14.25" customHeight="1">
      <c r="H5830" s="9"/>
    </row>
    <row r="5831" ht="14.25" customHeight="1">
      <c r="H5831" s="9"/>
    </row>
    <row r="5832" ht="14.25" customHeight="1">
      <c r="H5832" s="9"/>
    </row>
    <row r="5833" ht="14.25" customHeight="1">
      <c r="H5833" s="9"/>
    </row>
    <row r="5834" ht="14.25" customHeight="1">
      <c r="H5834" s="9"/>
    </row>
    <row r="5835" ht="14.25" customHeight="1">
      <c r="H5835" s="9"/>
    </row>
    <row r="5836" ht="14.25" customHeight="1">
      <c r="H5836" s="9"/>
    </row>
    <row r="5837" ht="14.25" customHeight="1">
      <c r="H5837" s="9"/>
    </row>
    <row r="5838" ht="14.25" customHeight="1">
      <c r="H5838" s="9"/>
    </row>
    <row r="5839" ht="14.25" customHeight="1">
      <c r="H5839" s="9"/>
    </row>
    <row r="5840" ht="14.25" customHeight="1">
      <c r="H5840" s="9"/>
    </row>
    <row r="5841" ht="14.25" customHeight="1">
      <c r="H5841" s="9"/>
    </row>
    <row r="5842" ht="14.25" customHeight="1">
      <c r="H5842" s="9"/>
    </row>
    <row r="5843" ht="14.25" customHeight="1">
      <c r="H5843" s="9"/>
    </row>
    <row r="5844" ht="14.25" customHeight="1">
      <c r="H5844" s="9"/>
    </row>
    <row r="5845" ht="14.25" customHeight="1">
      <c r="H5845" s="9"/>
    </row>
    <row r="5846" ht="14.25" customHeight="1">
      <c r="H5846" s="9"/>
    </row>
    <row r="5847" ht="14.25" customHeight="1">
      <c r="H5847" s="9"/>
    </row>
    <row r="5848" ht="14.25" customHeight="1">
      <c r="H5848" s="9"/>
    </row>
    <row r="5849" ht="14.25" customHeight="1">
      <c r="H5849" s="9"/>
    </row>
    <row r="5850" ht="14.25" customHeight="1">
      <c r="H5850" s="9"/>
    </row>
    <row r="5851" ht="14.25" customHeight="1">
      <c r="H5851" s="9"/>
    </row>
    <row r="5852" ht="14.25" customHeight="1">
      <c r="H5852" s="9"/>
    </row>
    <row r="5853" ht="14.25" customHeight="1">
      <c r="H5853" s="9"/>
    </row>
    <row r="5854" ht="14.25" customHeight="1">
      <c r="H5854" s="9"/>
    </row>
    <row r="5855" ht="14.25" customHeight="1">
      <c r="H5855" s="9"/>
    </row>
    <row r="5856" ht="14.25" customHeight="1">
      <c r="H5856" s="9"/>
    </row>
    <row r="5857" ht="14.25" customHeight="1">
      <c r="H5857" s="9"/>
    </row>
    <row r="5858" ht="14.25" customHeight="1">
      <c r="H5858" s="9"/>
    </row>
    <row r="5859" ht="14.25" customHeight="1">
      <c r="H5859" s="9"/>
    </row>
    <row r="5860" ht="14.25" customHeight="1">
      <c r="H5860" s="9"/>
    </row>
    <row r="5861" ht="14.25" customHeight="1">
      <c r="H5861" s="9"/>
    </row>
    <row r="5862" ht="14.25" customHeight="1">
      <c r="H5862" s="9"/>
    </row>
    <row r="5863" ht="14.25" customHeight="1">
      <c r="H5863" s="9"/>
    </row>
    <row r="5864" ht="14.25" customHeight="1">
      <c r="H5864" s="9"/>
    </row>
    <row r="5865" ht="14.25" customHeight="1">
      <c r="H5865" s="9"/>
    </row>
    <row r="5866" ht="14.25" customHeight="1">
      <c r="H5866" s="9"/>
    </row>
    <row r="5867" ht="14.25" customHeight="1">
      <c r="H5867" s="9"/>
    </row>
    <row r="5868" ht="14.25" customHeight="1">
      <c r="H5868" s="9"/>
    </row>
    <row r="5869" ht="14.25" customHeight="1">
      <c r="H5869" s="9"/>
    </row>
    <row r="5870" ht="14.25" customHeight="1">
      <c r="H5870" s="9"/>
    </row>
    <row r="5871" ht="14.25" customHeight="1">
      <c r="H5871" s="9"/>
    </row>
    <row r="5872" ht="14.25" customHeight="1">
      <c r="H5872" s="9"/>
    </row>
    <row r="5873" ht="14.25" customHeight="1">
      <c r="H5873" s="9"/>
    </row>
    <row r="5874" ht="14.25" customHeight="1">
      <c r="H5874" s="9"/>
    </row>
    <row r="5875" ht="14.25" customHeight="1">
      <c r="H5875" s="9"/>
    </row>
    <row r="5876" ht="14.25" customHeight="1">
      <c r="H5876" s="9"/>
    </row>
    <row r="5877" ht="14.25" customHeight="1">
      <c r="H5877" s="9"/>
    </row>
    <row r="5878" ht="14.25" customHeight="1">
      <c r="H5878" s="9"/>
    </row>
    <row r="5879" ht="14.25" customHeight="1">
      <c r="H5879" s="9"/>
    </row>
    <row r="5880" ht="14.25" customHeight="1">
      <c r="H5880" s="9"/>
    </row>
    <row r="5881" ht="14.25" customHeight="1">
      <c r="H5881" s="9"/>
    </row>
    <row r="5882" ht="14.25" customHeight="1">
      <c r="H5882" s="9"/>
    </row>
    <row r="5883" ht="14.25" customHeight="1">
      <c r="H5883" s="9"/>
    </row>
  </sheetData>
  <autoFilter ref="$A$1:$F$5683"/>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2026-06-28T06:48:15Z</dcterms:created>
  <dc:creator>restidenni dsd</dc:creator>
</cp:coreProperties>
</file>